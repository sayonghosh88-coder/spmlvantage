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473899174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 Decisions" sheetId="1" r:id="Rd6dde8a3a7224d9b"/>
    <x:sheet xmlns:r="http://schemas.openxmlformats.org/officeDocument/2006/relationships" name="Project Status &amp; EVM" sheetId="2" r:id="R6e9de56de98e4671"/>
    <x:sheet xmlns:r="http://schemas.openxmlformats.org/officeDocument/2006/relationships" name="Construction &amp; Resources" sheetId="3" r:id="R9a3688bb77eb4efa"/>
    <x:sheet xmlns:r="http://schemas.openxmlformats.org/officeDocument/2006/relationships" name="Invoicing Status" sheetId="4" r:id="Ra0128b437d274d29"/>
    <x:sheet xmlns:r="http://schemas.openxmlformats.org/officeDocument/2006/relationships" name="Liability Status" sheetId="5" r:id="Re73e0f426afd40bb"/>
    <x:sheet xmlns:r="http://schemas.openxmlformats.org/officeDocument/2006/relationships" name="Engineering Status" sheetId="6" r:id="Rea9ceb1daf3b4548"/>
    <x:sheet xmlns:r="http://schemas.openxmlformats.org/officeDocument/2006/relationships" name="Procurement Status" sheetId="7" r:id="Rc28016c26a634cd3"/>
    <x:sheet xmlns:r="http://schemas.openxmlformats.org/officeDocument/2006/relationships" name="Lookahead Plan" sheetId="8" r:id="Rbf9b265b2f8946ae"/>
    <x:sheet xmlns:r="http://schemas.openxmlformats.org/officeDocument/2006/relationships" name="Daily MOM" sheetId="9" r:id="R081e2e8d4ecc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"/>
    <x:numFmt numFmtId="201" formatCode="#,##0.00;(#,##0.00);0.00"/>
    <x:numFmt numFmtId="202" formatCode="0.00%"/>
    <x:numFmt numFmtId="203" formatCode="mmm yy"/>
    <x:numFmt numFmtId="204" formatCode="#,##0.00"/>
    <x:numFmt numFmtId="205" formatCode="#,##0"/>
    <x:numFmt numFmtId="206" formatCode="0"/>
  </x:numFmts>
  <x:fonts count="10">
    <x:font>
      <x:sz val="11"/>
      <x:name val="Carlito"/>
    </x:font>
    <x:font>
      <x:sz val="10"/>
      <x:color rgb="FF20344B"/>
      <x:name val="Arial"/>
    </x:font>
    <x:font>
      <x:b/>
      <x:sz val="16"/>
      <x:color rgb="FF20344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65BA8"/>
      <x:name val="Arial"/>
    </x:font>
    <x:font>
      <x:sz val="10"/>
      <x:color rgb="FF9A4D12"/>
      <x:name val="Arial"/>
    </x:font>
    <x:font>
      <x:b/>
      <x:sz val="14"/>
      <x:color rgb="FF20344B"/>
      <x:name val="Arial"/>
    </x:font>
    <x:font>
      <x:sz val="10"/>
      <x:color rgb="FF526579"/>
      <x:name val="Arial"/>
    </x:font>
    <x:font>
      <x:b/>
      <x:i/>
      <x:sz val="10"/>
      <x:color rgb="FFA33A1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8E7"/>
      </x:patternFill>
    </x:fill>
    <x:fill>
      <x:patternFill patternType="solid">
        <x:fgColor rgb="FF243E59"/>
      </x:patternFill>
    </x:fill>
    <x:fill>
      <x:patternFill patternType="solid">
        <x:fgColor rgb="FFFFFFFF"/>
      </x:patternFill>
    </x:fill>
    <x:fill>
      <x:patternFill patternType="solid">
        <x:fgColor rgb="FFFFF0CB"/>
      </x:patternFill>
    </x:fill>
    <x:fill>
      <x:patternFill patternType="solid">
        <x:fgColor rgb="FFEEF3F7"/>
      </x:patternFill>
    </x:fill>
    <x:fill>
      <x:patternFill patternType="solid">
        <x:fgColor rgb="FFFFFFFF"/>
      </x:patternFill>
    </x:fill>
    <x:fill>
      <x:patternFill patternType="solid">
        <x:fgColor rgb="FFEEF3F7"/>
      </x:patternFill>
    </x:fill>
  </x:fills>
  <x:borders count="2">
    <x:border/>
    <x:border>
      <x:bottom style="thin">
        <x:color rgb="FFD5DF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horizontal="right"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horizontal="right"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horizontal="right" vertical="top" wrapText="1"/>
    </x:xf>
    <x:xf numFmtId="203" fontId="5" fillId="4" borderId="0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horizontal="right" vertical="top" wrapText="1"/>
    </x:xf>
    <x:xf numFmtId="204" fontId="5" fillId="4" borderId="0" xfId="0" applyNumberFormat="1" applyFont="1" applyFill="1" applyBorder="1" applyAlignment="1">
      <x:alignment vertical="top" wrapText="1"/>
    </x:xf>
    <x:xf numFmtId="204" fontId="5" fillId="4" borderId="0" xfId="0" applyNumberFormat="1" applyFont="1" applyFill="1" applyBorder="1" applyAlignment="1">
      <x:alignment horizontal="right" vertical="top" wrapText="1"/>
    </x:xf>
    <x:xf numFmtId="200" fontId="5" fillId="5" borderId="0" xfId="0" applyNumberFormat="1" applyFont="1" applyFill="1" applyBorder="1" applyAlignment="1">
      <x:alignment horizontal="right" vertical="top" wrapText="1"/>
    </x:xf>
    <x:xf numFmtId="205" fontId="5" fillId="4" borderId="0" xfId="0" applyNumberFormat="1" applyFont="1" applyFill="1" applyBorder="1" applyAlignment="1">
      <x:alignment vertical="top" wrapText="1"/>
    </x:xf>
    <x:xf numFmtId="205" fontId="5" fillId="4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4" fontId="5" fillId="6" borderId="0" xfId="0" applyNumberFormat="1" applyFont="1" applyFill="1" applyBorder="1" applyAlignment="1">
      <x:alignment horizontal="right" vertical="top" wrapText="1"/>
    </x:xf>
    <x:xf numFmtId="204" fontId="1" fillId="6" borderId="0" xfId="0" applyNumberFormat="1" applyFont="1" applyFill="1" applyBorder="1" applyAlignment="1">
      <x:alignment horizontal="right" vertical="top" wrapText="1"/>
    </x:xf>
    <x:xf numFmtId="201" fontId="5" fillId="6" borderId="0" xfId="0" applyNumberFormat="1" applyFont="1" applyFill="1" applyBorder="1" applyAlignment="1">
      <x:alignment horizontal="right" vertical="top" wrapText="1"/>
    </x:xf>
    <x:xf numFmtId="201" fontId="1" fillId="6" borderId="0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horizontal="right" vertical="top" wrapText="1"/>
    </x:xf>
    <x:xf numFmtId="201" fontId="5" fillId="7" borderId="0" xfId="0" applyNumberFormat="1" applyFont="1" applyFill="1" applyBorder="1" applyAlignment="1">
      <x:alignment horizontal="right" vertical="top" wrapText="1"/>
    </x:xf>
    <x:xf numFmtId="0" fontId="9" fillId="0" borderId="0" xfId="0" applyNumberFormat="1" applyFont="1" applyFill="1" applyBorder="1" applyAlignment="1">
      <x:alignment vertical="center" wrapText="0"/>
    </x:xf>
    <x:xf numFmtId="202" fontId="5" fillId="7" borderId="0" xfId="0" applyNumberFormat="1" applyFont="1" applyFill="1" applyBorder="1" applyAlignment="1">
      <x:alignment horizontal="right" vertical="top" wrapText="1"/>
    </x:xf>
    <x:xf numFmtId="203" fontId="5" fillId="7" borderId="0" xfId="0" applyNumberFormat="1" applyFont="1" applyFill="1" applyBorder="1" applyAlignment="1">
      <x:alignment horizontal="right" vertical="top" wrapText="1"/>
    </x:xf>
    <x:xf numFmtId="204" fontId="1" fillId="7" borderId="0" xfId="0" applyNumberFormat="1" applyFont="1" applyFill="1" applyBorder="1" applyAlignment="1">
      <x:alignment horizontal="right" vertical="top" wrapText="1"/>
    </x:xf>
    <x:xf numFmtId="201" fontId="1" fillId="7" borderId="0" xfId="0" applyNumberFormat="1" applyFont="1" applyFill="1" applyBorder="1" applyAlignment="1">
      <x:alignment horizontal="right" vertical="top" wrapText="1"/>
    </x:xf>
    <x:xf numFmtId="204" fontId="5" fillId="7" borderId="0" xfId="0" applyNumberFormat="1" applyFont="1" applyFill="1" applyBorder="1" applyAlignment="1">
      <x:alignment horizontal="right" vertical="top" wrapText="1"/>
    </x:xf>
    <x:xf numFmtId="204" fontId="5" fillId="8" borderId="0" xfId="0" applyNumberFormat="1" applyFont="1" applyFill="1" applyBorder="1" applyAlignment="1">
      <x:alignment horizontal="right" vertical="top" wrapText="1"/>
    </x:xf>
    <x:xf numFmtId="204" fontId="1" fillId="8" borderId="0" xfId="0" applyNumberFormat="1" applyFont="1" applyFill="1" applyBorder="1" applyAlignment="1">
      <x:alignment horizontal="right" vertical="top" wrapText="1"/>
    </x:xf>
    <x:xf numFmtId="201" fontId="5" fillId="8" borderId="0" xfId="0" applyNumberFormat="1" applyFont="1" applyFill="1" applyBorder="1" applyAlignment="1">
      <x:alignment horizontal="right" vertical="top" wrapText="1"/>
    </x:xf>
    <x:xf numFmtId="201" fontId="1" fillId="8" borderId="0" xfId="0" applyNumberFormat="1" applyFont="1" applyFill="1" applyBorder="1" applyAlignment="1">
      <x:alignment horizontal="right" vertical="top" wrapText="1"/>
    </x:xf>
    <x:xf numFmtId="205" fontId="5" fillId="7" borderId="0" xfId="0" applyNumberFormat="1" applyFont="1" applyFill="1" applyBorder="1" applyAlignment="1">
      <x:alignment horizontal="right" vertical="top" wrapText="1"/>
    </x:xf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206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/>
    </x:xf>
    <x:xf numFmtId="200" fontId="5" fillId="7" borderId="0" xfId="0" applyNumberFormat="1" applyFont="1" applyFill="1" applyBorder="1" applyAlignment="1">
      <x:alignment vertical="top"/>
    </x:xf>
    <x:xf numFmtId="206" fontId="5" fillId="7" borderId="0" xfId="0" applyNumberFormat="1" applyFont="1" applyFill="1" applyBorder="1" applyAlignment="1">
      <x:alignment vertical="top"/>
    </x:xf>
  </x:cellXfs>
  <x:cellStyles count="1">
    <x:cellStyle name="Normal" xfId="0"/>
  </x:cellStyles>
  <x:dxfs count="38">
    <x:dxf>
      <x:fill>
        <x:patternFill>
          <x:bgColor rgb="FFE6F2E8"/>
        </x:patternFill>
      </x:fill>
    </x:dxf>
    <x:dxf>
      <x:fill>
        <x:patternFill>
          <x:bgColor rgb="FFFFF0CB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FF0CB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FF0CB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FF0CB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FF0CB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FF0CB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E6F2E8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BE7E7"/>
        </x:patternFill>
      </x:fill>
    </x:dxf>
    <x:dxf>
      <x:fill>
        <x:patternFill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8ddcae30c41c6" /><Relationship Type="http://schemas.openxmlformats.org/officeDocument/2006/relationships/theme" Target="/xl/theme/theme1.xml" Id="R0c536fd9529a4701" /><Relationship Type="http://schemas.openxmlformats.org/officeDocument/2006/relationships/sharedStrings" Target="/xl/sharedStrings.xml" Id="R6562196f06004678" /><Relationship Type="http://schemas.openxmlformats.org/officeDocument/2006/relationships/worksheet" Target="/xl/worksheets/sheet1.xml" Id="Rd6dde8a3a7224d9b" /><Relationship Type="http://schemas.openxmlformats.org/officeDocument/2006/relationships/worksheet" Target="/xl/worksheets/sheet2.xml" Id="R6e9de56de98e4671" /><Relationship Type="http://schemas.openxmlformats.org/officeDocument/2006/relationships/worksheet" Target="/xl/worksheets/sheet3.xml" Id="R9a3688bb77eb4efa" /><Relationship Type="http://schemas.openxmlformats.org/officeDocument/2006/relationships/worksheet" Target="/xl/worksheets/sheet4.xml" Id="Ra0128b437d274d29" /><Relationship Type="http://schemas.openxmlformats.org/officeDocument/2006/relationships/worksheet" Target="/xl/worksheets/sheet5.xml" Id="Re73e0f426afd40bb" /><Relationship Type="http://schemas.openxmlformats.org/officeDocument/2006/relationships/worksheet" Target="/xl/worksheets/sheet6.xml" Id="Rea9ceb1daf3b4548" /><Relationship Type="http://schemas.openxmlformats.org/officeDocument/2006/relationships/worksheet" Target="/xl/worksheets/sheet7.xml" Id="Rc28016c26a634cd3" /><Relationship Type="http://schemas.openxmlformats.org/officeDocument/2006/relationships/worksheet" Target="/xl/worksheets/sheet8.xml" Id="Rbf9b265b2f8946ae" /><Relationship Type="http://schemas.openxmlformats.org/officeDocument/2006/relationships/worksheet" Target="/xl/worksheets/sheet9.xml" Id="R081e2e8d4ecc4e24" /></Relationships>
</file>

<file path=xl/tables/table1.xml><?xml version="1.0" encoding="utf-8"?>
<x:table xmlns:x="http://schemas.openxmlformats.org/spreadsheetml/2006/main" id="1" name="MD_1" displayName="MD_1" ref="A16:P216" headerRowCount="1" totalsRowCount="0" totalsRowShown="0">
  <x:autoFilter ref="A16:P216"/>
  <x:tableColumns count="16">
    <x:tableColumn id="1" name="Project code"/>
    <x:tableColumn id="2" name="Site / location"/>
    <x:tableColumn id="3" name="Decision ID"/>
    <x:tableColumn id="4" name="Review Meeting Ref"/>
    <x:tableColumn id="5" name="Review Meeting Date"/>
    <x:tableColumn id="6" name="Issue / blocker"/>
    <x:tableColumn id="7" name="Impact if unresolved"/>
    <x:tableColumn id="8" name="Decision / support required"/>
    <x:tableColumn id="9" name="Recommended action"/>
    <x:tableColumn id="10" name="Responsible owner"/>
    <x:tableColumn id="11" name="Financial Impact (INR lakh)"/>
    <x:tableColumn id="12" name="Result due date"/>
    <x:tableColumn id="13" name="Status"/>
    <x:tableColumn id="14" name="MD decision / direction"/>
    <x:tableColumn id="15" name="Last updated"/>
    <x:tableColumn id="16" name="Source / entry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MD_2" displayName="MD_2" ref="A16:BG216" headerRowCount="1" totalsRowCount="0" totalsRowShown="0">
  <x:autoFilter ref="A16:BG216"/>
  <x:tableColumns count="59">
    <x:tableColumn id="1" name="Project code"/>
    <x:tableColumn id="2" name="Project name"/>
    <x:tableColumn id="3" name="Sites / locations covered"/>
    <x:tableColumn id="4" name="Project head"/>
    <x:tableColumn id="5" name="Reporting date"/>
    <x:tableColumn id="6" name="Contract value (INR lakh)"/>
    <x:tableColumn id="7" name="Overall planned progress"/>
    <x:tableColumn id="8" name="Overall actual progress"/>
    <x:tableColumn id="9" name="Engineering planned progress"/>
    <x:tableColumn id="10" name="Engineering actual progress"/>
    <x:tableColumn id="11" name="Procurement planned progress"/>
    <x:tableColumn id="12" name="Procurement actual progress"/>
    <x:tableColumn id="13" name="Construction planned progress"/>
    <x:tableColumn id="14" name="Construction actual progress"/>
    <x:tableColumn id="15" name="Original contractual completion"/>
    <x:tableColumn id="16" name="Latest approved completion"/>
    <x:tableColumn id="17" name="Forecast completion"/>
    <x:tableColumn id="18" name="EOT requested up to"/>
    <x:tableColumn id="19" name="EOT status"/>
    <x:tableColumn id="20" name="Next critical milestone"/>
    <x:tableColumn id="21" name="Milestone planned date"/>
    <x:tableColumn id="22" name="Milestone forecast date"/>
    <x:tableColumn id="23" name="Main reason for slippage"/>
    <x:tableColumn id="24" name="Goal month"/>
    <x:tableColumn id="25" name="Project Goal 1"/>
    <x:tableColumn id="26" name="Goal 1 Status"/>
    <x:tableColumn id="27" name="Goal 1 Completion"/>
    <x:tableColumn id="28" name="Project Goal 2"/>
    <x:tableColumn id="29" name="Goal 2 Status"/>
    <x:tableColumn id="30" name="Goal 2 Completion"/>
    <x:tableColumn id="31" name="Project Goal 3"/>
    <x:tableColumn id="32" name="Goal 3 Status"/>
    <x:tableColumn id="33" name="Goal 3 Completion"/>
    <x:tableColumn id="34" name="Project Goal 4"/>
    <x:tableColumn id="35" name="Goal 4 Status"/>
    <x:tableColumn id="36" name="Goal 4 Completion"/>
    <x:tableColumn id="37" name="Project Goal 5"/>
    <x:tableColumn id="38" name="Goal 5 Status"/>
    <x:tableColumn id="39" name="Goal 5 Completion"/>
    <x:tableColumn id="40" name="EVM reporting date"/>
    <x:tableColumn id="41" name="BAC approved cost budget (INR lakh)"/>
    <x:tableColumn id="42" name="PV planned value (INR lakh)"/>
    <x:tableColumn id="43" name="EV earned value (INR lakh)"/>
    <x:tableColumn id="44" name="AC actual cost (INR lakh)"/>
    <x:tableColumn id="45" name="CPI cost performance index"/>
    <x:tableColumn id="46" name="SPI schedule performance index"/>
    <x:tableColumn id="47" name="Cost variance (INR lakh)"/>
    <x:tableColumn id="48" name="Schedule variance (INR lakh)"/>
    <x:tableColumn id="49" name="EAC forecast final cost (INR lakh)"/>
    <x:tableColumn id="50" name="ETC forecast remaining cost (INR lakh)"/>
    <x:tableColumn id="51" name="VAC budget less forecast cost (INR lakh)"/>
    <x:tableColumn id="52" name="EVM validation status"/>
    <x:tableColumn id="53" name="Budget reference / EV measurement basis"/>
    <x:tableColumn id="54" name="Reason for EVM variance"/>
    <x:tableColumn id="55" name="EVM corrective action"/>
    <x:tableColumn id="56" name="EVM responsible owner"/>
    <x:tableColumn id="57" name="EVM action due date"/>
    <x:tableColumn id="58" name="Last updated"/>
    <x:tableColumn id="59" name="Source / entry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MD_3" displayName="MD_3" ref="A16:AJ216" headerRowCount="1" totalsRowCount="0" totalsRowShown="0">
  <x:autoFilter ref="A16:AJ216"/>
  <x:tableColumns count="36">
    <x:tableColumn id="1" name="Project code"/>
    <x:tableColumn id="2" name="Site / location"/>
    <x:tableColumn id="3" name="Plan Month"/>
    <x:tableColumn id="4" name="Front / activity ID"/>
    <x:tableColumn id="5" name="Work front / structure"/>
    <x:tableColumn id="6" name="Activity"/>
    <x:tableColumn id="7" name="Week starting"/>
    <x:tableColumn id="8" name="Unit"/>
    <x:tableColumn id="9" name="Weekly target quantity"/>
    <x:tableColumn id="10" name="Actual quantity achieved"/>
    <x:tableColumn id="11" name="Shortfall quantity"/>
    <x:tableColumn id="12" name="Quantity ready for execution"/>
    <x:tableColumn id="13" name="Labour deployed - Planned"/>
    <x:tableColumn id="14" name="Labour deployed - Actual"/>
    <x:tableColumn id="15" name="Drawing Approval Status"/>
    <x:tableColumn id="16" name="Contractor Deployment Status"/>
    <x:tableColumn id="17" name="Planned Contractor Deployment"/>
    <x:tableColumn id="18" name="Actual Contractor Deployment"/>
    <x:tableColumn id="19" name="Shuttering Availability Status"/>
    <x:tableColumn id="20" name="Steel Availability Status"/>
    <x:tableColumn id="21" name="Steel Required"/>
    <x:tableColumn id="22" name="Steel Available"/>
    <x:tableColumn id="23" name="Steel Unit"/>
    <x:tableColumn id="24" name="Front readiness"/>
    <x:tableColumn id="25" name="Pending prerequisite"/>
    <x:tableColumn id="26" name="Reason for low / no execution"/>
    <x:tableColumn id="27" name="Resources requiring intervention"/>
    <x:tableColumn id="28" name="Shortage / support required"/>
    <x:tableColumn id="29" name="Recovery action required"/>
    <x:tableColumn id="30" name="Additional funds required (INR lakh)"/>
    <x:tableColumn id="31" name="Responsible owner"/>
    <x:tableColumn id="32" name="Committed execution date"/>
    <x:tableColumn id="33" name="Expected weekly output after action"/>
    <x:tableColumn id="34" name="Linked Decision ID"/>
    <x:tableColumn id="35" name="Last updated"/>
    <x:tableColumn id="36" name="Source / entry note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0" name="ProjectDeployment" displayName="ProjectDeployment" ref="A227:N327" headerRowCount="1" totalsRowCount="0" totalsRowShown="0">
  <x:tableColumns count="14">
    <x:tableColumn id="1" name="Project code"/>
    <x:tableColumn id="2" name="Site / scope"/>
    <x:tableColumn id="3" name="Reporting date"/>
    <x:tableColumn id="4" name="Labour planned"/>
    <x:tableColumn id="5" name="Labour actual"/>
    <x:tableColumn id="6" name="Batching plant"/>
    <x:tableColumn id="7" name="Ajax"/>
    <x:tableColumn id="8" name="Excavator"/>
    <x:tableColumn id="9" name="Miller"/>
    <x:tableColumn id="10" name="Truck / dumper"/>
    <x:tableColumn id="11" name="Tractor / breaker"/>
    <x:tableColumn id="12" name="JCB"/>
    <x:tableColumn id="13" name="Other machines"/>
    <x:tableColumn id="14" name="Snapshot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MD_4" displayName="MD_4" ref="A16:T216" headerRowCount="1" totalsRowCount="0" totalsRowShown="0">
  <x:autoFilter ref="A16:T216"/>
  <x:tableColumns count="20">
    <x:tableColumn id="1" name="Project code"/>
    <x:tableColumn id="2" name="Invoice / RA bill reference"/>
    <x:tableColumn id="3" name="Client name"/>
    <x:tableColumn id="4" name="Bill amount (INR lakh)"/>
    <x:tableColumn id="5" name="Submission date"/>
    <x:tableColumn id="6" name="Present Status"/>
    <x:tableColumn id="7" name="Next Status"/>
    <x:tableColumn id="8" name="Next Status Target Date"/>
    <x:tableColumn id="9" name="Expected certification date"/>
    <x:tableColumn id="10" name="Certified amount (INR lakh)"/>
    <x:tableColumn id="11" name="Amount received (INR lakh)"/>
    <x:tableColumn id="12" name="Outstanding balance (INR lakh)"/>
    <x:tableColumn id="13" name="Contractual payment due date"/>
    <x:tableColumn id="14" name="Expected collection date"/>
    <x:tableColumn id="15" name="Reason pending"/>
    <x:tableColumn id="16" name="Action / MD support required"/>
    <x:tableColumn id="17" name="Responsible owner"/>
    <x:tableColumn id="18" name="Linked Decision ID"/>
    <x:tableColumn id="19" name="Last updated"/>
    <x:tableColumn id="20" name="Source / entry note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MD_5" displayName="MD_5" ref="A16:V216" headerRowCount="1" totalsRowCount="0" totalsRowShown="0">
  <x:autoFilter ref="A16:V216"/>
  <x:tableColumns count="22">
    <x:tableColumn id="1" name="Project code"/>
    <x:tableColumn id="2" name="Liability / bill reference"/>
    <x:tableColumn id="3" name="Party type"/>
    <x:tableColumn id="4" name="Contractor / vendor name"/>
    <x:tableColumn id="5" name="Work / supply description"/>
    <x:tableColumn id="6" name="Bill / claim amount (INR lakh)"/>
    <x:tableColumn id="7" name="Bill received date"/>
    <x:tableColumn id="8" name="Present Status"/>
    <x:tableColumn id="9" name="Next Status"/>
    <x:tableColumn id="10" name="Next Status Target Date"/>
    <x:tableColumn id="11" name="Certified / approved amount (INR lakh)"/>
    <x:tableColumn id="12" name="Amount paid (INR lakh)"/>
    <x:tableColumn id="13" name="Outstanding liability (INR lakh)"/>
    <x:tableColumn id="14" name="Contractual payment due date"/>
    <x:tableColumn id="15" name="Expected payment date"/>
    <x:tableColumn id="16" name="Reason pending"/>
    <x:tableColumn id="17" name="Work affected if delayed"/>
    <x:tableColumn id="18" name="Action / MD support required"/>
    <x:tableColumn id="19" name="Responsible owner"/>
    <x:tableColumn id="20" name="Linked Decision ID"/>
    <x:tableColumn id="21" name="Last updated"/>
    <x:tableColumn id="22" name="Source / entry note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MD_6" displayName="MD_6" ref="A16:V216" headerRowCount="1" totalsRowCount="0" totalsRowShown="0">
  <x:autoFilter ref="A16:V216"/>
  <x:tableColumns count="22">
    <x:tableColumn id="1" name="Project code"/>
    <x:tableColumn id="2" name="Site / location"/>
    <x:tableColumn id="3" name="Plan Month"/>
    <x:tableColumn id="4" name="Drawing / document reference"/>
    <x:tableColumn id="5" name="Drawing / document description"/>
    <x:tableColumn id="6" name="Linked front / activity ID"/>
    <x:tableColumn id="7" name="Responsible designer / consultant"/>
    <x:tableColumn id="8" name="Required-for-construction date"/>
    <x:tableColumn id="9" name="Planned submission date"/>
    <x:tableColumn id="10" name="Actual submission date"/>
    <x:tableColumn id="11" name="Present Status"/>
    <x:tableColumn id="12" name="Next Status"/>
    <x:tableColumn id="13" name="Next Status Target Date"/>
    <x:tableColumn id="14" name="Expected approval date"/>
    <x:tableColumn id="15" name="Actual approval date"/>
    <x:tableColumn id="16" name="Reason pending / blocker"/>
    <x:tableColumn id="17" name="Work affected if delayed"/>
    <x:tableColumn id="18" name="Action / MD support required"/>
    <x:tableColumn id="19" name="Responsible owner"/>
    <x:tableColumn id="20" name="Linked Decision ID"/>
    <x:tableColumn id="21" name="Last updated"/>
    <x:tableColumn id="22" name="Source / entry notes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7" name="MD_7" displayName="MD_7" ref="A16:AA216" headerRowCount="1" totalsRowCount="0" totalsRowShown="0">
  <x:autoFilter ref="A16:AA216"/>
  <x:tableColumns count="27">
    <x:tableColumn id="1" name="Project code"/>
    <x:tableColumn id="2" name="Site / location"/>
    <x:tableColumn id="3" name="Plan Month"/>
    <x:tableColumn id="4" name="Procurement package / item ID"/>
    <x:tableColumn id="5" name="Item / package description"/>
    <x:tableColumn id="6" name="Linked front / activity ID"/>
    <x:tableColumn id="7" name="Vendor / supplier"/>
    <x:tableColumn id="8" name="Unit"/>
    <x:tableColumn id="9" name="Total required quantity"/>
    <x:tableColumn id="10" name="Ordered quantity"/>
    <x:tableColumn id="11" name="Quantity received at site"/>
    <x:tableColumn id="12" name="Balance quantity to receive"/>
    <x:tableColumn id="13" name="Required-at-site date"/>
    <x:tableColumn id="14" name="Planned PO date"/>
    <x:tableColumn id="15" name="Actual PO date"/>
    <x:tableColumn id="16" name="Present Status"/>
    <x:tableColumn id="17" name="Next Status"/>
    <x:tableColumn id="18" name="Next Status Target Date"/>
    <x:tableColumn id="19" name="Committed delivery date"/>
    <x:tableColumn id="20" name="Actual final delivery date"/>
    <x:tableColumn id="21" name="Reason pending / blocker"/>
    <x:tableColumn id="22" name="Work affected if delayed"/>
    <x:tableColumn id="23" name="Action / MD support required"/>
    <x:tableColumn id="24" name="Responsible owner"/>
    <x:tableColumn id="25" name="Linked Decision ID"/>
    <x:tableColumn id="26" name="Last updated"/>
    <x:tableColumn id="27" name="Source / entry notes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8" name="MD_8" displayName="MD_8" ref="A16:U216" headerRowCount="1" totalsRowCount="0" totalsRowShown="0">
  <x:autoFilter ref="A16:U216"/>
  <x:tableColumns count="21">
    <x:tableColumn id="1" name="Project code"/>
    <x:tableColumn id="2" name="Site / location"/>
    <x:tableColumn id="3" name="Plan Month"/>
    <x:tableColumn id="4" name="Front / activity ID"/>
    <x:tableColumn id="5" name="Work front / structure"/>
    <x:tableColumn id="6" name="Planned activity"/>
    <x:tableColumn id="7" name="Week starting"/>
    <x:tableColumn id="8" name="Planned start"/>
    <x:tableColumn id="9" name="Planned finish"/>
    <x:tableColumn id="10" name="Unit"/>
    <x:tableColumn id="11" name="Planned quantity for the week"/>
    <x:tableColumn id="12" name="Execution readiness"/>
    <x:tableColumn id="13" name="Constraint / support required"/>
    <x:tableColumn id="14" name="Constraint owner"/>
    <x:tableColumn id="15" name="Constraint clearance target date"/>
    <x:tableColumn id="16" name="MD support required"/>
    <x:tableColumn id="17" name="Linked Decision ID"/>
    <x:tableColumn id="18" name="Activity owner"/>
    <x:tableColumn id="19" name="Activity status"/>
    <x:tableColumn id="20" name="Last updated"/>
    <x:tableColumn id="21" name="Source / entry notes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9" name="MD_9" displayName="MD_9" ref="A16:T216" headerRowCount="1" totalsRowCount="0" totalsRowShown="0">
  <x:autoFilter ref="A16:T216"/>
  <x:tableColumns count="20">
    <x:tableColumn id="1" name="Project code"/>
    <x:tableColumn id="2" name="Site / location"/>
    <x:tableColumn id="3" name="Meeting reference"/>
    <x:tableColumn id="4" name="Meeting date"/>
    <x:tableColumn id="5" name="Meeting chaired by"/>
    <x:tableColumn id="6" name="Participants"/>
    <x:tableColumn id="7" name="Item / action ID"/>
    <x:tableColumn id="8" name="Category"/>
    <x:tableColumn id="9" name="Discussion point / issue"/>
    <x:tableColumn id="10" name="Decision / instruction given"/>
    <x:tableColumn id="11" name="Agreed action"/>
    <x:tableColumn id="12" name="Responsible owner"/>
    <x:tableColumn id="13" name="Target closure date"/>
    <x:tableColumn id="14" name="Present Status"/>
    <x:tableColumn id="15" name="Progress / closure remarks"/>
    <x:tableColumn id="16" name="Actual closure date"/>
    <x:tableColumn id="17" name="MD escalation required"/>
    <x:tableColumn id="18" name="Linked Decision ID"/>
    <x:tableColumn id="19" name="Last updated"/>
    <x:tableColumn id="20" name="Source / entry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6305e2e1842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d2022a2db2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3e3b0899cc422e" /><Relationship Type="http://schemas.openxmlformats.org/officeDocument/2006/relationships/table" Target="/xl/tables/table4.xml" Id="R813f3a9d8e3644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998e1d6967444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e0a386b875a74c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4f049ac551f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167a15da4f549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0f6b5c8f64f49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326ba25eb05e4299" /></Relationships>
</file>

<file path=xl/worksheets/sheet1.xml><?xml version="1.0" encoding="utf-8"?>
<x:worksheet xmlns:x="http://schemas.openxmlformats.org/spreadsheetml/2006/main">
  <x:sheetPr>
    <x:tabColor rgb="FF243E59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2" hidden="0" customWidth="1"/>
    <x:col min="4" max="4" width="22" hidden="0" customWidth="1"/>
    <x:col min="5" max="5" width="17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  <x:col min="10" max="10" width="25" hidden="0" customWidth="1"/>
    <x:col min="11" max="11" width="20" hidden="0" customWidth="1"/>
    <x:col min="12" max="12" width="17" hidden="0" customWidth="1"/>
    <x:col min="13" max="13" width="25" hidden="0" customWidth="1"/>
    <x:col min="14" max="14" width="46" hidden="0" customWidth="1"/>
    <x:col min="15" max="15" width="17" hidden="0" customWidth="1"/>
    <x:col min="16" max="16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4" t="str">
        <x:v>1. MD Decisions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Open decisions</x:v>
      </x:c>
      <x:c r="E4" s="31" t="n">
        <x:f>COUNTIFS($A$17:$A$216,$B$4,$C$17:$C$216,"&lt;&gt;")-COUNTIFS($A$17:$A$216,$B$4,$C$17:$C$216,"&lt;&gt;",$M$17:$M$216,"Closed")</x:f>
        <x:v>3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4" customHeight="1">
      <x:c r="A5" s="3" t="str">
        <x:v>Review date</x:v>
      </x:c>
      <x:c r="B5" s="8" t="n">
        <x:v>46285</x:v>
      </x:c>
      <x:c r="C5" s="2"/>
      <x:c r="D5" s="3" t="str">
        <x:v>Results overdue</x:v>
      </x:c>
      <x:c r="E5" s="31" t="n">
        <x:f>COUNTIFS($A$17:$A$216,$B$4,$L$17:$L$216,"&gt;0",$L$17:$L$216,"&lt;"&amp;$B$5,$M$17:$M$216,"&lt;&gt;Closed")</x:f>
        <x:v>1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4" customHeight="1">
      <x:c r="A11" s="3" t="str">
        <x:v>Review Meeting Ref = Monthly / Weekly / Daily. Financial Impact is a separate reported amount; do not add overlapping exposures.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54" customHeight="1">
      <x:c r="A16" s="13" t="str">
        <x:v>Project code</x:v>
      </x:c>
      <x:c r="B16" s="13" t="str">
        <x:v>Site / location</x:v>
      </x:c>
      <x:c r="C16" s="13" t="str">
        <x:v>Decision ID</x:v>
      </x:c>
      <x:c r="D16" s="13" t="str">
        <x:v>Review Meeting Ref</x:v>
      </x:c>
      <x:c r="E16" s="13" t="str">
        <x:v>Review Meeting Date</x:v>
      </x:c>
      <x:c r="F16" s="13" t="str">
        <x:v>Issue / blocker</x:v>
      </x:c>
      <x:c r="G16" s="13" t="str">
        <x:v>Impact if unresolved</x:v>
      </x:c>
      <x:c r="H16" s="13" t="str">
        <x:v>Decision / support required</x:v>
      </x:c>
      <x:c r="I16" s="13" t="str">
        <x:v>Recommended action</x:v>
      </x:c>
      <x:c r="J16" s="13" t="str">
        <x:v>Responsible owner</x:v>
      </x:c>
      <x:c r="K16" s="13" t="str">
        <x:v>Financial Impact (INR lakh)</x:v>
      </x:c>
      <x:c r="L16" s="13" t="str">
        <x:v>Result due date</x:v>
      </x:c>
      <x:c r="M16" s="13" t="str">
        <x:v>Status</x:v>
      </x:c>
      <x:c r="N16" s="13" t="str">
        <x:v>MD decision / direction</x:v>
      </x:c>
      <x:c r="O16" s="13" t="str">
        <x:v>Last updated</x:v>
      </x:c>
      <x:c r="P16" s="13" t="str">
        <x:v>Source / entry notes</x:v>
      </x:c>
    </x:row>
    <x:row r="17" ht="102" customHeight="1">
      <x:c r="A17" s="55" t="str">
        <x:v>S25WRJ01</x:v>
      </x:c>
      <x:c r="B17" s="55" t="str">
        <x:v>P1-SITE-1</x:v>
      </x:c>
      <x:c r="C17" s="55" t="str">
        <x:v>S25WRJ01-DEC-01</x:v>
      </x:c>
      <x:c r="D17" s="55" t="str">
        <x:v>Daily</x:v>
      </x:c>
      <x:c r="E17" s="56" t="n">
        <x:v>46275</x:v>
      </x:c>
      <x:c r="F17" s="55" t="str">
        <x:v>Concrete pump availability</x:v>
      </x:c>
      <x:c r="G17" s="55" t="str">
        <x:v>Delay to foundation pour</x:v>
      </x:c>
      <x:c r="H17" s="55" t="str">
        <x:v>Approve pump hire</x:v>
      </x:c>
      <x:c r="I17" s="55" t="str">
        <x:v>Release the identified constraint and review output within two days.</x:v>
      </x:c>
      <x:c r="J17" s="55" t="str">
        <x:v>Demo Construction Lead P1</x:v>
      </x:c>
      <x:c r="K17" s="57" t="n">
        <x:v>15</x:v>
      </x:c>
      <x:c r="L17" s="56" t="n">
        <x:v>46277</x:v>
      </x:c>
      <x:c r="M17" s="55" t="str">
        <x:v>Closed</x:v>
      </x:c>
      <x:c r="N17" s="55" t="str">
        <x:v>Demo approval given; execution completed.</x:v>
      </x:c>
      <x:c r="O17" s="56" t="n">
        <x:v>46285</x:v>
      </x:c>
      <x:c r="P17" s="55" t="str">
        <x:v>FICTIONAL TEST DATA. All people, quantities, money, dates and statuses are invented; not project records.</x:v>
      </x:c>
    </x:row>
    <x:row r="18" ht="102" customHeight="1">
      <x:c r="A18" s="55" t="str">
        <x:v>S25WRJ01</x:v>
      </x:c>
      <x:c r="B18" s="55" t="str">
        <x:v>P1-SITE-2</x:v>
      </x:c>
      <x:c r="C18" s="55" t="str">
        <x:v>S25WRJ01-DEC-02</x:v>
      </x:c>
      <x:c r="D18" s="55" t="str">
        <x:v>Weekly</x:v>
      </x:c>
      <x:c r="E18" s="56" t="n">
        <x:v>46280</x:v>
      </x:c>
      <x:c r="F18" s="55" t="str">
        <x:v>Vendor release awaiting cash allocation</x:v>
      </x:c>
      <x:c r="G18" s="55" t="str">
        <x:v>Material delivery slips by five days</x:v>
      </x:c>
      <x:c r="H18" s="55" t="str">
        <x:v>Approve phased vendor payment</x:v>
      </x:c>
      <x:c r="I18" s="55" t="str">
        <x:v>Release the identified constraint and review output within two days.</x:v>
      </x:c>
      <x:c r="J18" s="55" t="str">
        <x:v>Demo Finance Lead P1</x:v>
      </x:c>
      <x:c r="K18" s="57" t="n">
        <x:v>20</x:v>
      </x:c>
      <x:c r="L18" s="56" t="n">
        <x:v>46283</x:v>
      </x:c>
      <x:c r="M18" s="55" t="str">
        <x:v>Under execution</x:v>
      </x:c>
      <x:c r="N18" s="55" t="str">
        <x:v>Demo release approved; track delivery daily.</x:v>
      </x:c>
      <x:c r="O18" s="56" t="n">
        <x:v>46285</x:v>
      </x:c>
      <x:c r="P18" s="55" t="str">
        <x:v>FICTIONAL TEST DATA. All people, quantities, money, dates and statuses are invented; not project records.</x:v>
      </x:c>
    </x:row>
    <x:row r="19" ht="102" customHeight="1">
      <x:c r="A19" s="55" t="str">
        <x:v>S25WRJ01</x:v>
      </x:c>
      <x:c r="B19" s="55" t="str">
        <x:v>P1-SITE-1</x:v>
      </x:c>
      <x:c r="C19" s="55" t="str">
        <x:v>S25WRJ01-DEC-03</x:v>
      </x:c>
      <x:c r="D19" s="55" t="str">
        <x:v>Monthly</x:v>
      </x:c>
      <x:c r="E19" s="56" t="n">
        <x:v>46283</x:v>
      </x:c>
      <x:c r="F19" s="55" t="str">
        <x:v>Drawing revision awaiting decision</x:v>
      </x:c>
      <x:c r="G19" s="55" t="str">
        <x:v>Ready front remains idle</x:v>
      </x:c>
      <x:c r="H19" s="55" t="str">
        <x:v>Approve revised design route</x:v>
      </x:c>
      <x:c r="I19" s="55" t="str">
        <x:v>Release the identified constraint and review output within two days.</x:v>
      </x:c>
      <x:c r="J19" s="55" t="str">
        <x:v>Demo Engineering Lead P1</x:v>
      </x:c>
      <x:c r="K19" s="57" t="n">
        <x:v>25</x:v>
      </x:c>
      <x:c r="L19" s="56" t="n">
        <x:v>46289</x:v>
      </x:c>
      <x:c r="M19" s="55" t="str">
        <x:v>Awaiting decision</x:v>
      </x:c>
      <x:c r="N19" s="55" t="str">
        <x:v>Demo decision awaited; recommendation submitted.</x:v>
      </x:c>
      <x:c r="O19" s="56" t="n">
        <x:v>46285</x:v>
      </x:c>
      <x:c r="P19" s="55" t="str">
        <x:v>FICTIONAL TEST DATA. All people, quantities, money, dates and statuses are invented; not project records.</x:v>
      </x:c>
    </x:row>
    <x:row r="20" ht="102" customHeight="1">
      <x:c r="A20" s="55" t="str">
        <x:v>S25WRJ01</x:v>
      </x:c>
      <x:c r="B20" s="55" t="str">
        <x:v>P1-SITE-2</x:v>
      </x:c>
      <x:c r="C20" s="55" t="str">
        <x:v>S25WRJ01-DEC-04</x:v>
      </x:c>
      <x:c r="D20" s="55" t="str">
        <x:v>Weekly</x:v>
      </x:c>
      <x:c r="E20" s="56" t="n">
        <x:v>46285</x:v>
      </x:c>
      <x:c r="F20" s="55" t="str">
        <x:v>Recovery crew mobilisation</x:v>
      </x:c>
      <x:c r="G20" s="55" t="str">
        <x:v>Weekly output below target</x:v>
      </x:c>
      <x:c r="H20" s="55" t="str">
        <x:v>Approve crew transfer</x:v>
      </x:c>
      <x:c r="I20" s="55" t="str">
        <x:v>Release the identified constraint and review output within two days.</x:v>
      </x:c>
      <x:c r="J20" s="55" t="str">
        <x:v>Demo Project Head P1</x:v>
      </x:c>
      <x:c r="K20" s="57" t="n">
        <x:v>30</x:v>
      </x:c>
      <x:c r="L20" s="56" t="n">
        <x:v>46293</x:v>
      </x:c>
      <x:c r="M20" s="55" t="str">
        <x:v>Awaiting decision</x:v>
      </x:c>
      <x:c r="N20" s="55" t="str">
        <x:v>Demo decision awaited; recommendation submitted.</x:v>
      </x:c>
      <x:c r="O20" s="56" t="n">
        <x:v>46285</x:v>
      </x:c>
      <x:c r="P20" s="55" t="str">
        <x:v>FICTIONAL TEST DATA. All people, quantities, money, dates and statuses are invented; not project records.</x:v>
      </x:c>
    </x:row>
    <x:row r="21" ht="102" customHeight="1">
      <x:c r="A21" s="55" t="str">
        <x:v>S25WJH01</x:v>
      </x:c>
      <x:c r="B21" s="55" t="str">
        <x:v>P2-SITE-1</x:v>
      </x:c>
      <x:c r="C21" s="55" t="str">
        <x:v>S25WJH01-DEC-01</x:v>
      </x:c>
      <x:c r="D21" s="55" t="str">
        <x:v>Daily</x:v>
      </x:c>
      <x:c r="E21" s="56" t="n">
        <x:v>46275</x:v>
      </x:c>
      <x:c r="F21" s="55" t="str">
        <x:v>Concrete pump availability</x:v>
      </x:c>
      <x:c r="G21" s="55" t="str">
        <x:v>Delay to foundation pour</x:v>
      </x:c>
      <x:c r="H21" s="55" t="str">
        <x:v>Approve pump hire</x:v>
      </x:c>
      <x:c r="I21" s="55" t="str">
        <x:v>Release the identified constraint and review output within two days.</x:v>
      </x:c>
      <x:c r="J21" s="55" t="str">
        <x:v>Demo Construction Lead P2</x:v>
      </x:c>
      <x:c r="K21" s="57" t="n">
        <x:v>25</x:v>
      </x:c>
      <x:c r="L21" s="56" t="n">
        <x:v>46277</x:v>
      </x:c>
      <x:c r="M21" s="55" t="str">
        <x:v>Closed</x:v>
      </x:c>
      <x:c r="N21" s="55" t="str">
        <x:v>Demo approval given; execution completed.</x:v>
      </x:c>
      <x:c r="O21" s="56" t="n">
        <x:v>46285</x:v>
      </x:c>
      <x:c r="P21" s="55" t="str">
        <x:v>FICTIONAL TEST DATA. All people, quantities, money, dates and statuses are invented; not project records.</x:v>
      </x:c>
    </x:row>
    <x:row r="22" ht="102" customHeight="1">
      <x:c r="A22" s="55" t="str">
        <x:v>S25WJH01</x:v>
      </x:c>
      <x:c r="B22" s="55" t="str">
        <x:v>P2-SITE-2</x:v>
      </x:c>
      <x:c r="C22" s="55" t="str">
        <x:v>S25WJH01-DEC-02</x:v>
      </x:c>
      <x:c r="D22" s="55" t="str">
        <x:v>Weekly</x:v>
      </x:c>
      <x:c r="E22" s="56" t="n">
        <x:v>46280</x:v>
      </x:c>
      <x:c r="F22" s="55" t="str">
        <x:v>Vendor release awaiting cash allocation</x:v>
      </x:c>
      <x:c r="G22" s="55" t="str">
        <x:v>Material delivery slips by five days</x:v>
      </x:c>
      <x:c r="H22" s="55" t="str">
        <x:v>Approve phased vendor payment</x:v>
      </x:c>
      <x:c r="I22" s="55" t="str">
        <x:v>Release the identified constraint and review output within two days.</x:v>
      </x:c>
      <x:c r="J22" s="55" t="str">
        <x:v>Demo Finance Lead P2</x:v>
      </x:c>
      <x:c r="K22" s="57" t="n">
        <x:v>30</x:v>
      </x:c>
      <x:c r="L22" s="56" t="n">
        <x:v>46283</x:v>
      </x:c>
      <x:c r="M22" s="55" t="str">
        <x:v>Under execution</x:v>
      </x:c>
      <x:c r="N22" s="55" t="str">
        <x:v>Demo release approved; track delivery daily.</x:v>
      </x:c>
      <x:c r="O22" s="56" t="n">
        <x:v>46285</x:v>
      </x:c>
      <x:c r="P22" s="55" t="str">
        <x:v>FICTIONAL TEST DATA. All people, quantities, money, dates and statuses are invented; not project records.</x:v>
      </x:c>
    </x:row>
    <x:row r="23" ht="102" customHeight="1">
      <x:c r="A23" s="55" t="str">
        <x:v>S25WJH01</x:v>
      </x:c>
      <x:c r="B23" s="55" t="str">
        <x:v>P2-SITE-1</x:v>
      </x:c>
      <x:c r="C23" s="55" t="str">
        <x:v>S25WJH01-DEC-03</x:v>
      </x:c>
      <x:c r="D23" s="55" t="str">
        <x:v>Monthly</x:v>
      </x:c>
      <x:c r="E23" s="56" t="n">
        <x:v>46283</x:v>
      </x:c>
      <x:c r="F23" s="55" t="str">
        <x:v>Drawing revision awaiting decision</x:v>
      </x:c>
      <x:c r="G23" s="55" t="str">
        <x:v>Ready front remains idle</x:v>
      </x:c>
      <x:c r="H23" s="55" t="str">
        <x:v>Approve revised design route</x:v>
      </x:c>
      <x:c r="I23" s="55" t="str">
        <x:v>Release the identified constraint and review output within two days.</x:v>
      </x:c>
      <x:c r="J23" s="55" t="str">
        <x:v>Demo Engineering Lead P2</x:v>
      </x:c>
      <x:c r="K23" s="57" t="n">
        <x:v>35</x:v>
      </x:c>
      <x:c r="L23" s="56" t="n">
        <x:v>46289</x:v>
      </x:c>
      <x:c r="M23" s="55" t="str">
        <x:v>Awaiting decision</x:v>
      </x:c>
      <x:c r="N23" s="55" t="str">
        <x:v>Demo decision awaited; recommendation submitted.</x:v>
      </x:c>
      <x:c r="O23" s="56" t="n">
        <x:v>46285</x:v>
      </x:c>
      <x:c r="P23" s="55" t="str">
        <x:v>FICTIONAL TEST DATA. All people, quantities, money, dates and statuses are invented; not project records.</x:v>
      </x:c>
    </x:row>
    <x:row r="24" ht="102" customHeight="1">
      <x:c r="A24" s="55" t="str">
        <x:v>S25WJH01</x:v>
      </x:c>
      <x:c r="B24" s="55" t="str">
        <x:v>P2-SITE-2</x:v>
      </x:c>
      <x:c r="C24" s="55" t="str">
        <x:v>S25WJH01-DEC-04</x:v>
      </x:c>
      <x:c r="D24" s="55" t="str">
        <x:v>Weekly</x:v>
      </x:c>
      <x:c r="E24" s="56" t="n">
        <x:v>46285</x:v>
      </x:c>
      <x:c r="F24" s="55" t="str">
        <x:v>Recovery crew mobilisation</x:v>
      </x:c>
      <x:c r="G24" s="55" t="str">
        <x:v>Weekly output below target</x:v>
      </x:c>
      <x:c r="H24" s="55" t="str">
        <x:v>Approve crew transfer</x:v>
      </x:c>
      <x:c r="I24" s="55" t="str">
        <x:v>Release the identified constraint and review output within two days.</x:v>
      </x:c>
      <x:c r="J24" s="55" t="str">
        <x:v>Demo Project Head P2</x:v>
      </x:c>
      <x:c r="K24" s="57" t="n">
        <x:v>40</x:v>
      </x:c>
      <x:c r="L24" s="56" t="n">
        <x:v>46293</x:v>
      </x:c>
      <x:c r="M24" s="55" t="str">
        <x:v>Awaiting decision</x:v>
      </x:c>
      <x:c r="N24" s="55" t="str">
        <x:v>Demo decision awaited; recommendation submitted.</x:v>
      </x:c>
      <x:c r="O24" s="56" t="n">
        <x:v>46285</x:v>
      </x:c>
      <x:c r="P24" s="55" t="str">
        <x:v>FICTIONAL TEST DATA. All people, quantities, money, dates and statuses are invented; not project records.</x:v>
      </x:c>
    </x:row>
    <x:row r="25" ht="102" customHeight="1">
      <x:c r="A25" s="55" t="str">
        <x:v>S25WMP01</x:v>
      </x:c>
      <x:c r="B25" s="55" t="str">
        <x:v>P3-SITE-1</x:v>
      </x:c>
      <x:c r="C25" s="55" t="str">
        <x:v>S25WMP01-DEC-01</x:v>
      </x:c>
      <x:c r="D25" s="55" t="str">
        <x:v>Daily</x:v>
      </x:c>
      <x:c r="E25" s="56" t="n">
        <x:v>46275</x:v>
      </x:c>
      <x:c r="F25" s="55" t="str">
        <x:v>Concrete pump availability</x:v>
      </x:c>
      <x:c r="G25" s="55" t="str">
        <x:v>Delay to foundation pour</x:v>
      </x:c>
      <x:c r="H25" s="55" t="str">
        <x:v>Approve pump hire</x:v>
      </x:c>
      <x:c r="I25" s="55" t="str">
        <x:v>Release the identified constraint and review output within two days.</x:v>
      </x:c>
      <x:c r="J25" s="55" t="str">
        <x:v>Demo Construction Lead P3</x:v>
      </x:c>
      <x:c r="K25" s="57" t="n">
        <x:v>35</x:v>
      </x:c>
      <x:c r="L25" s="56" t="n">
        <x:v>46277</x:v>
      </x:c>
      <x:c r="M25" s="55" t="str">
        <x:v>Closed</x:v>
      </x:c>
      <x:c r="N25" s="55" t="str">
        <x:v>Demo approval given; execution completed.</x:v>
      </x:c>
      <x:c r="O25" s="56" t="n">
        <x:v>46285</x:v>
      </x:c>
      <x:c r="P25" s="55" t="str">
        <x:v>FICTIONAL TEST DATA. All people, quantities, money, dates and statuses are invented; not project records.</x:v>
      </x:c>
    </x:row>
    <x:row r="26" ht="102" customHeight="1">
      <x:c r="A26" s="55" t="str">
        <x:v>S25WMP01</x:v>
      </x:c>
      <x:c r="B26" s="55" t="str">
        <x:v>P3-SITE-2</x:v>
      </x:c>
      <x:c r="C26" s="55" t="str">
        <x:v>S25WMP01-DEC-02</x:v>
      </x:c>
      <x:c r="D26" s="55" t="str">
        <x:v>Weekly</x:v>
      </x:c>
      <x:c r="E26" s="56" t="n">
        <x:v>46280</x:v>
      </x:c>
      <x:c r="F26" s="55" t="str">
        <x:v>Vendor release awaiting cash allocation</x:v>
      </x:c>
      <x:c r="G26" s="55" t="str">
        <x:v>Material delivery slips by five days</x:v>
      </x:c>
      <x:c r="H26" s="55" t="str">
        <x:v>Approve phased vendor payment</x:v>
      </x:c>
      <x:c r="I26" s="55" t="str">
        <x:v>Release the identified constraint and review output within two days.</x:v>
      </x:c>
      <x:c r="J26" s="55" t="str">
        <x:v>Demo Finance Lead P3</x:v>
      </x:c>
      <x:c r="K26" s="57" t="n">
        <x:v>40</x:v>
      </x:c>
      <x:c r="L26" s="56" t="n">
        <x:v>46283</x:v>
      </x:c>
      <x:c r="M26" s="55" t="str">
        <x:v>Under execution</x:v>
      </x:c>
      <x:c r="N26" s="55" t="str">
        <x:v>Demo release approved; track delivery daily.</x:v>
      </x:c>
      <x:c r="O26" s="56" t="n">
        <x:v>46285</x:v>
      </x:c>
      <x:c r="P26" s="55" t="str">
        <x:v>FICTIONAL TEST DATA. All people, quantities, money, dates and statuses are invented; not project records.</x:v>
      </x:c>
    </x:row>
    <x:row r="27" ht="102" customHeight="1">
      <x:c r="A27" s="55" t="str">
        <x:v>S25WMP01</x:v>
      </x:c>
      <x:c r="B27" s="55" t="str">
        <x:v>P3-SITE-1</x:v>
      </x:c>
      <x:c r="C27" s="55" t="str">
        <x:v>S25WMP01-DEC-03</x:v>
      </x:c>
      <x:c r="D27" s="55" t="str">
        <x:v>Monthly</x:v>
      </x:c>
      <x:c r="E27" s="56" t="n">
        <x:v>46283</x:v>
      </x:c>
      <x:c r="F27" s="55" t="str">
        <x:v>Drawing revision awaiting decision</x:v>
      </x:c>
      <x:c r="G27" s="55" t="str">
        <x:v>Ready front remains idle</x:v>
      </x:c>
      <x:c r="H27" s="55" t="str">
        <x:v>Approve revised design route</x:v>
      </x:c>
      <x:c r="I27" s="55" t="str">
        <x:v>Release the identified constraint and review output within two days.</x:v>
      </x:c>
      <x:c r="J27" s="55" t="str">
        <x:v>Demo Engineering Lead P3</x:v>
      </x:c>
      <x:c r="K27" s="57" t="n">
        <x:v>45</x:v>
      </x:c>
      <x:c r="L27" s="56" t="n">
        <x:v>46289</x:v>
      </x:c>
      <x:c r="M27" s="55" t="str">
        <x:v>Awaiting decision</x:v>
      </x:c>
      <x:c r="N27" s="55" t="str">
        <x:v>Demo decision awaited; recommendation submitted.</x:v>
      </x:c>
      <x:c r="O27" s="56" t="n">
        <x:v>46285</x:v>
      </x:c>
      <x:c r="P27" s="55" t="str">
        <x:v>FICTIONAL TEST DATA. All people, quantities, money, dates and statuses are invented; not project records.</x:v>
      </x:c>
    </x:row>
    <x:row r="28" ht="102" customHeight="1">
      <x:c r="A28" s="55" t="str">
        <x:v>S25WMP01</x:v>
      </x:c>
      <x:c r="B28" s="55" t="str">
        <x:v>P3-SITE-2</x:v>
      </x:c>
      <x:c r="C28" s="55" t="str">
        <x:v>S25WMP01-DEC-04</x:v>
      </x:c>
      <x:c r="D28" s="55" t="str">
        <x:v>Weekly</x:v>
      </x:c>
      <x:c r="E28" s="56" t="n">
        <x:v>46285</x:v>
      </x:c>
      <x:c r="F28" s="55" t="str">
        <x:v>Recovery crew mobilisation</x:v>
      </x:c>
      <x:c r="G28" s="55" t="str">
        <x:v>Weekly output below target</x:v>
      </x:c>
      <x:c r="H28" s="55" t="str">
        <x:v>Approve crew transfer</x:v>
      </x:c>
      <x:c r="I28" s="55" t="str">
        <x:v>Release the identified constraint and review output within two days.</x:v>
      </x:c>
      <x:c r="J28" s="55" t="str">
        <x:v>Demo Project Head P3</x:v>
      </x:c>
      <x:c r="K28" s="57" t="n">
        <x:v>50</x:v>
      </x:c>
      <x:c r="L28" s="56" t="n">
        <x:v>46293</x:v>
      </x:c>
      <x:c r="M28" s="55" t="str">
        <x:v>Awaiting decision</x:v>
      </x:c>
      <x:c r="N28" s="55" t="str">
        <x:v>Demo decision awaited; recommendation submitted.</x:v>
      </x:c>
      <x:c r="O28" s="56" t="n">
        <x:v>46285</x:v>
      </x:c>
      <x:c r="P28" s="55" t="str">
        <x:v>FICTIONAL TEST DATA. All people, quantities, money, dates and statuses are invented; not project records.</x:v>
      </x:c>
    </x:row>
    <x:row r="29" ht="102" customHeight="1">
      <x:c r="A29" s="55" t="str">
        <x:v>S26BBI01</x:v>
      </x:c>
      <x:c r="B29" s="55" t="str">
        <x:v>P4-SITE-1</x:v>
      </x:c>
      <x:c r="C29" s="55" t="str">
        <x:v>S26BBI01-DEC-01</x:v>
      </x:c>
      <x:c r="D29" s="55" t="str">
        <x:v>Daily</x:v>
      </x:c>
      <x:c r="E29" s="56" t="n">
        <x:v>46275</x:v>
      </x:c>
      <x:c r="F29" s="55" t="str">
        <x:v>Concrete pump availability</x:v>
      </x:c>
      <x:c r="G29" s="55" t="str">
        <x:v>Delay to foundation pour</x:v>
      </x:c>
      <x:c r="H29" s="55" t="str">
        <x:v>Approve pump hire</x:v>
      </x:c>
      <x:c r="I29" s="55" t="str">
        <x:v>Release the identified constraint and review output within two days.</x:v>
      </x:c>
      <x:c r="J29" s="55" t="str">
        <x:v>Demo Construction Lead P4</x:v>
      </x:c>
      <x:c r="K29" s="57" t="n">
        <x:v>45</x:v>
      </x:c>
      <x:c r="L29" s="56" t="n">
        <x:v>46277</x:v>
      </x:c>
      <x:c r="M29" s="55" t="str">
        <x:v>Closed</x:v>
      </x:c>
      <x:c r="N29" s="55" t="str">
        <x:v>Demo approval given; execution completed.</x:v>
      </x:c>
      <x:c r="O29" s="56" t="n">
        <x:v>46285</x:v>
      </x:c>
      <x:c r="P29" s="55" t="str">
        <x:v>FICTIONAL TEST DATA. All people, quantities, money, dates and statuses are invented; not project records.</x:v>
      </x:c>
    </x:row>
    <x:row r="30" ht="102" customHeight="1">
      <x:c r="A30" s="55" t="str">
        <x:v>S26BBI01</x:v>
      </x:c>
      <x:c r="B30" s="55" t="str">
        <x:v>P4-SITE-2</x:v>
      </x:c>
      <x:c r="C30" s="55" t="str">
        <x:v>S26BBI01-DEC-02</x:v>
      </x:c>
      <x:c r="D30" s="55" t="str">
        <x:v>Weekly</x:v>
      </x:c>
      <x:c r="E30" s="56" t="n">
        <x:v>46280</x:v>
      </x:c>
      <x:c r="F30" s="55" t="str">
        <x:v>Vendor release awaiting cash allocation</x:v>
      </x:c>
      <x:c r="G30" s="55" t="str">
        <x:v>Material delivery slips by five days</x:v>
      </x:c>
      <x:c r="H30" s="55" t="str">
        <x:v>Approve phased vendor payment</x:v>
      </x:c>
      <x:c r="I30" s="55" t="str">
        <x:v>Release the identified constraint and review output within two days.</x:v>
      </x:c>
      <x:c r="J30" s="55" t="str">
        <x:v>Demo Finance Lead P4</x:v>
      </x:c>
      <x:c r="K30" s="57" t="n">
        <x:v>50</x:v>
      </x:c>
      <x:c r="L30" s="56" t="n">
        <x:v>46283</x:v>
      </x:c>
      <x:c r="M30" s="55" t="str">
        <x:v>Under execution</x:v>
      </x:c>
      <x:c r="N30" s="55" t="str">
        <x:v>Demo release approved; track delivery daily.</x:v>
      </x:c>
      <x:c r="O30" s="56" t="n">
        <x:v>46285</x:v>
      </x:c>
      <x:c r="P30" s="55" t="str">
        <x:v>FICTIONAL TEST DATA. All people, quantities, money, dates and statuses are invented; not project records.</x:v>
      </x:c>
    </x:row>
    <x:row r="31" ht="102" customHeight="1">
      <x:c r="A31" s="55" t="str">
        <x:v>S26BBI01</x:v>
      </x:c>
      <x:c r="B31" s="55" t="str">
        <x:v>P4-SITE-1</x:v>
      </x:c>
      <x:c r="C31" s="55" t="str">
        <x:v>S26BBI01-DEC-03</x:v>
      </x:c>
      <x:c r="D31" s="55" t="str">
        <x:v>Monthly</x:v>
      </x:c>
      <x:c r="E31" s="56" t="n">
        <x:v>46283</x:v>
      </x:c>
      <x:c r="F31" s="55" t="str">
        <x:v>Drawing revision awaiting decision</x:v>
      </x:c>
      <x:c r="G31" s="55" t="str">
        <x:v>Ready front remains idle</x:v>
      </x:c>
      <x:c r="H31" s="55" t="str">
        <x:v>Approve revised design route</x:v>
      </x:c>
      <x:c r="I31" s="55" t="str">
        <x:v>Release the identified constraint and review output within two days.</x:v>
      </x:c>
      <x:c r="J31" s="55" t="str">
        <x:v>Demo Engineering Lead P4</x:v>
      </x:c>
      <x:c r="K31" s="57" t="n">
        <x:v>55</x:v>
      </x:c>
      <x:c r="L31" s="56" t="n">
        <x:v>46289</x:v>
      </x:c>
      <x:c r="M31" s="55" t="str">
        <x:v>Awaiting decision</x:v>
      </x:c>
      <x:c r="N31" s="55" t="str">
        <x:v>Demo decision awaited; recommendation submitted.</x:v>
      </x:c>
      <x:c r="O31" s="56" t="n">
        <x:v>46285</x:v>
      </x:c>
      <x:c r="P31" s="55" t="str">
        <x:v>FICTIONAL TEST DATA. All people, quantities, money, dates and statuses are invented; not project records.</x:v>
      </x:c>
    </x:row>
    <x:row r="32" ht="102" customHeight="1">
      <x:c r="A32" s="55" t="str">
        <x:v>S26BBI01</x:v>
      </x:c>
      <x:c r="B32" s="55" t="str">
        <x:v>P4-SITE-2</x:v>
      </x:c>
      <x:c r="C32" s="55" t="str">
        <x:v>S26BBI01-DEC-04</x:v>
      </x:c>
      <x:c r="D32" s="55" t="str">
        <x:v>Weekly</x:v>
      </x:c>
      <x:c r="E32" s="56" t="n">
        <x:v>46285</x:v>
      </x:c>
      <x:c r="F32" s="55" t="str">
        <x:v>Recovery crew mobilisation</x:v>
      </x:c>
      <x:c r="G32" s="55" t="str">
        <x:v>Weekly output below target</x:v>
      </x:c>
      <x:c r="H32" s="55" t="str">
        <x:v>Approve crew transfer</x:v>
      </x:c>
      <x:c r="I32" s="55" t="str">
        <x:v>Release the identified constraint and review output within two days.</x:v>
      </x:c>
      <x:c r="J32" s="55" t="str">
        <x:v>Demo Project Head P4</x:v>
      </x:c>
      <x:c r="K32" s="57" t="n">
        <x:v>60</x:v>
      </x:c>
      <x:c r="L32" s="56" t="n">
        <x:v>46293</x:v>
      </x:c>
      <x:c r="M32" s="55" t="str">
        <x:v>Awaiting decision</x:v>
      </x:c>
      <x:c r="N32" s="55" t="str">
        <x:v>Demo decision awaited; recommendation submitted.</x:v>
      </x:c>
      <x:c r="O32" s="56" t="n">
        <x:v>46285</x:v>
      </x:c>
      <x:c r="P32" s="55" t="str">
        <x:v>FICTIONAL TEST DATA. All people, quantities, money, dates and statuses are invented; not project records.</x:v>
      </x:c>
    </x:row>
    <x:row r="33" ht="102" customHeight="1">
      <x:c r="A33" s="55" t="str">
        <x:v>S26PRJ01</x:v>
      </x:c>
      <x:c r="B33" s="55" t="str">
        <x:v>P5-SITE-1</x:v>
      </x:c>
      <x:c r="C33" s="55" t="str">
        <x:v>S26PRJ01-DEC-01</x:v>
      </x:c>
      <x:c r="D33" s="55" t="str">
        <x:v>Daily</x:v>
      </x:c>
      <x:c r="E33" s="56" t="n">
        <x:v>46275</x:v>
      </x:c>
      <x:c r="F33" s="55" t="str">
        <x:v>Concrete pump availability</x:v>
      </x:c>
      <x:c r="G33" s="55" t="str">
        <x:v>Delay to foundation pour</x:v>
      </x:c>
      <x:c r="H33" s="55" t="str">
        <x:v>Approve pump hire</x:v>
      </x:c>
      <x:c r="I33" s="55" t="str">
        <x:v>Release the identified constraint and review output within two days.</x:v>
      </x:c>
      <x:c r="J33" s="55" t="str">
        <x:v>Demo Construction Lead P5</x:v>
      </x:c>
      <x:c r="K33" s="57" t="n">
        <x:v>55</x:v>
      </x:c>
      <x:c r="L33" s="56" t="n">
        <x:v>46277</x:v>
      </x:c>
      <x:c r="M33" s="55" t="str">
        <x:v>Closed</x:v>
      </x:c>
      <x:c r="N33" s="55" t="str">
        <x:v>Demo approval given; execution completed.</x:v>
      </x:c>
      <x:c r="O33" s="56" t="n">
        <x:v>46285</x:v>
      </x:c>
      <x:c r="P33" s="55" t="str">
        <x:v>FICTIONAL TEST DATA. All people, quantities, money, dates and statuses are invented; not project records.</x:v>
      </x:c>
    </x:row>
    <x:row r="34" ht="102" customHeight="1">
      <x:c r="A34" s="55" t="str">
        <x:v>S26PRJ01</x:v>
      </x:c>
      <x:c r="B34" s="55" t="str">
        <x:v>P5-SITE-2</x:v>
      </x:c>
      <x:c r="C34" s="55" t="str">
        <x:v>S26PRJ01-DEC-02</x:v>
      </x:c>
      <x:c r="D34" s="55" t="str">
        <x:v>Weekly</x:v>
      </x:c>
      <x:c r="E34" s="56" t="n">
        <x:v>46280</x:v>
      </x:c>
      <x:c r="F34" s="55" t="str">
        <x:v>Vendor release awaiting cash allocation</x:v>
      </x:c>
      <x:c r="G34" s="55" t="str">
        <x:v>Material delivery slips by five days</x:v>
      </x:c>
      <x:c r="H34" s="55" t="str">
        <x:v>Approve phased vendor payment</x:v>
      </x:c>
      <x:c r="I34" s="55" t="str">
        <x:v>Release the identified constraint and review output within two days.</x:v>
      </x:c>
      <x:c r="J34" s="55" t="str">
        <x:v>Demo Finance Lead P5</x:v>
      </x:c>
      <x:c r="K34" s="57" t="n">
        <x:v>60</x:v>
      </x:c>
      <x:c r="L34" s="56" t="n">
        <x:v>46283</x:v>
      </x:c>
      <x:c r="M34" s="55" t="str">
        <x:v>Under execution</x:v>
      </x:c>
      <x:c r="N34" s="55" t="str">
        <x:v>Demo release approved; track delivery daily.</x:v>
      </x:c>
      <x:c r="O34" s="56" t="n">
        <x:v>46285</x:v>
      </x:c>
      <x:c r="P34" s="55" t="str">
        <x:v>FICTIONAL TEST DATA. All people, quantities, money, dates and statuses are invented; not project records.</x:v>
      </x:c>
    </x:row>
    <x:row r="35" ht="102" customHeight="1">
      <x:c r="A35" s="55" t="str">
        <x:v>S26PRJ01</x:v>
      </x:c>
      <x:c r="B35" s="55" t="str">
        <x:v>P5-SITE-1</x:v>
      </x:c>
      <x:c r="C35" s="55" t="str">
        <x:v>S26PRJ01-DEC-03</x:v>
      </x:c>
      <x:c r="D35" s="55" t="str">
        <x:v>Monthly</x:v>
      </x:c>
      <x:c r="E35" s="56" t="n">
        <x:v>46283</x:v>
      </x:c>
      <x:c r="F35" s="55" t="str">
        <x:v>Drawing revision awaiting decision</x:v>
      </x:c>
      <x:c r="G35" s="55" t="str">
        <x:v>Ready front remains idle</x:v>
      </x:c>
      <x:c r="H35" s="55" t="str">
        <x:v>Approve revised design route</x:v>
      </x:c>
      <x:c r="I35" s="55" t="str">
        <x:v>Release the identified constraint and review output within two days.</x:v>
      </x:c>
      <x:c r="J35" s="55" t="str">
        <x:v>Demo Engineering Lead P5</x:v>
      </x:c>
      <x:c r="K35" s="57" t="n">
        <x:v>65</x:v>
      </x:c>
      <x:c r="L35" s="56" t="n">
        <x:v>46289</x:v>
      </x:c>
      <x:c r="M35" s="55" t="str">
        <x:v>Awaiting decision</x:v>
      </x:c>
      <x:c r="N35" s="55" t="str">
        <x:v>Demo decision awaited; recommendation submitted.</x:v>
      </x:c>
      <x:c r="O35" s="56" t="n">
        <x:v>46285</x:v>
      </x:c>
      <x:c r="P35" s="55" t="str">
        <x:v>FICTIONAL TEST DATA. All people, quantities, money, dates and statuses are invented; not project records.</x:v>
      </x:c>
    </x:row>
    <x:row r="36" ht="102" customHeight="1">
      <x:c r="A36" s="55" t="str">
        <x:v>S26PRJ01</x:v>
      </x:c>
      <x:c r="B36" s="55" t="str">
        <x:v>P5-SITE-2</x:v>
      </x:c>
      <x:c r="C36" s="55" t="str">
        <x:v>S26PRJ01-DEC-04</x:v>
      </x:c>
      <x:c r="D36" s="55" t="str">
        <x:v>Weekly</x:v>
      </x:c>
      <x:c r="E36" s="56" t="n">
        <x:v>46285</x:v>
      </x:c>
      <x:c r="F36" s="55" t="str">
        <x:v>Recovery crew mobilisation</x:v>
      </x:c>
      <x:c r="G36" s="55" t="str">
        <x:v>Weekly output below target</x:v>
      </x:c>
      <x:c r="H36" s="55" t="str">
        <x:v>Approve crew transfer</x:v>
      </x:c>
      <x:c r="I36" s="55" t="str">
        <x:v>Release the identified constraint and review output within two days.</x:v>
      </x:c>
      <x:c r="J36" s="55" t="str">
        <x:v>Demo Project Head P5</x:v>
      </x:c>
      <x:c r="K36" s="57" t="n">
        <x:v>70</x:v>
      </x:c>
      <x:c r="L36" s="56" t="n">
        <x:v>46293</x:v>
      </x:c>
      <x:c r="M36" s="55" t="str">
        <x:v>Awaiting decision</x:v>
      </x:c>
      <x:c r="N36" s="55" t="str">
        <x:v>Demo decision awaited; recommendation submitted.</x:v>
      </x:c>
      <x:c r="O36" s="56" t="n">
        <x:v>46285</x:v>
      </x:c>
      <x:c r="P36" s="55" t="str">
        <x:v>FICTIONAL TEST DATA. All people, quantities, money, dates and statuses are invented; not project records.</x:v>
      </x:c>
    </x:row>
    <x:row r="37" ht="28" customHeight="1">
      <x:c r="A37" s="55"/>
      <x:c r="B37" s="55"/>
      <x:c r="C37" s="55"/>
      <x:c r="D37" s="55"/>
      <x:c r="E37" s="56"/>
      <x:c r="F37" s="55"/>
      <x:c r="G37" s="55"/>
      <x:c r="H37" s="55"/>
      <x:c r="I37" s="55"/>
      <x:c r="J37" s="55"/>
      <x:c r="K37" s="57"/>
      <x:c r="L37" s="56"/>
      <x:c r="M37" s="55"/>
      <x:c r="N37" s="55"/>
      <x:c r="O37" s="56"/>
      <x:c r="P37" s="55"/>
    </x:row>
    <x:row r="38" ht="28" customHeight="1">
      <x:c r="A38" s="55"/>
      <x:c r="B38" s="55"/>
      <x:c r="C38" s="55"/>
      <x:c r="D38" s="55"/>
      <x:c r="E38" s="56"/>
      <x:c r="F38" s="55"/>
      <x:c r="G38" s="55"/>
      <x:c r="H38" s="55"/>
      <x:c r="I38" s="55"/>
      <x:c r="J38" s="55"/>
      <x:c r="K38" s="57"/>
      <x:c r="L38" s="56"/>
      <x:c r="M38" s="55"/>
      <x:c r="N38" s="55"/>
      <x:c r="O38" s="56"/>
      <x:c r="P38" s="55"/>
    </x:row>
    <x:row r="39" ht="28" customHeight="1">
      <x:c r="A39" s="55"/>
      <x:c r="B39" s="55"/>
      <x:c r="C39" s="55"/>
      <x:c r="D39" s="55"/>
      <x:c r="E39" s="56"/>
      <x:c r="F39" s="55"/>
      <x:c r="G39" s="55"/>
      <x:c r="H39" s="55"/>
      <x:c r="I39" s="55"/>
      <x:c r="J39" s="55"/>
      <x:c r="K39" s="57"/>
      <x:c r="L39" s="56"/>
      <x:c r="M39" s="55"/>
      <x:c r="N39" s="55"/>
      <x:c r="O39" s="56"/>
      <x:c r="P39" s="55"/>
    </x:row>
    <x:row r="40" ht="28" customHeight="1">
      <x:c r="A40" s="55"/>
      <x:c r="B40" s="55"/>
      <x:c r="C40" s="55"/>
      <x:c r="D40" s="55"/>
      <x:c r="E40" s="56"/>
      <x:c r="F40" s="55"/>
      <x:c r="G40" s="55"/>
      <x:c r="H40" s="55"/>
      <x:c r="I40" s="55"/>
      <x:c r="J40" s="55"/>
      <x:c r="K40" s="57"/>
      <x:c r="L40" s="56"/>
      <x:c r="M40" s="55"/>
      <x:c r="N40" s="55"/>
      <x:c r="O40" s="56"/>
      <x:c r="P40" s="55"/>
    </x:row>
    <x:row r="41" ht="28" customHeight="1">
      <x:c r="A41" s="55"/>
      <x:c r="B41" s="55"/>
      <x:c r="C41" s="55"/>
      <x:c r="D41" s="55"/>
      <x:c r="E41" s="56"/>
      <x:c r="F41" s="55"/>
      <x:c r="G41" s="55"/>
      <x:c r="H41" s="55"/>
      <x:c r="I41" s="55"/>
      <x:c r="J41" s="55"/>
      <x:c r="K41" s="57"/>
      <x:c r="L41" s="56"/>
      <x:c r="M41" s="55"/>
      <x:c r="N41" s="55"/>
      <x:c r="O41" s="56"/>
      <x:c r="P41" s="55"/>
    </x:row>
    <x:row r="42" ht="28" customHeight="1">
      <x:c r="A42" s="55"/>
      <x:c r="B42" s="55"/>
      <x:c r="C42" s="55"/>
      <x:c r="D42" s="55"/>
      <x:c r="E42" s="56"/>
      <x:c r="F42" s="55"/>
      <x:c r="G42" s="55"/>
      <x:c r="H42" s="55"/>
      <x:c r="I42" s="55"/>
      <x:c r="J42" s="55"/>
      <x:c r="K42" s="57"/>
      <x:c r="L42" s="56"/>
      <x:c r="M42" s="55"/>
      <x:c r="N42" s="55"/>
      <x:c r="O42" s="56"/>
      <x:c r="P42" s="55"/>
    </x:row>
    <x:row r="43" ht="28" customHeight="1">
      <x:c r="A43" s="55"/>
      <x:c r="B43" s="55"/>
      <x:c r="C43" s="55"/>
      <x:c r="D43" s="55"/>
      <x:c r="E43" s="56"/>
      <x:c r="F43" s="55"/>
      <x:c r="G43" s="55"/>
      <x:c r="H43" s="55"/>
      <x:c r="I43" s="55"/>
      <x:c r="J43" s="55"/>
      <x:c r="K43" s="57"/>
      <x:c r="L43" s="56"/>
      <x:c r="M43" s="55"/>
      <x:c r="N43" s="55"/>
      <x:c r="O43" s="56"/>
      <x:c r="P43" s="55"/>
    </x:row>
    <x:row r="44" ht="28" customHeight="1">
      <x:c r="A44" s="55"/>
      <x:c r="B44" s="55"/>
      <x:c r="C44" s="55"/>
      <x:c r="D44" s="55"/>
      <x:c r="E44" s="56"/>
      <x:c r="F44" s="55"/>
      <x:c r="G44" s="55"/>
      <x:c r="H44" s="55"/>
      <x:c r="I44" s="55"/>
      <x:c r="J44" s="55"/>
      <x:c r="K44" s="57"/>
      <x:c r="L44" s="56"/>
      <x:c r="M44" s="55"/>
      <x:c r="N44" s="55"/>
      <x:c r="O44" s="56"/>
      <x:c r="P44" s="55"/>
    </x:row>
    <x:row r="45" ht="28" customHeight="1">
      <x:c r="A45" s="55"/>
      <x:c r="B45" s="55"/>
      <x:c r="C45" s="55"/>
      <x:c r="D45" s="55"/>
      <x:c r="E45" s="56"/>
      <x:c r="F45" s="55"/>
      <x:c r="G45" s="55"/>
      <x:c r="H45" s="55"/>
      <x:c r="I45" s="55"/>
      <x:c r="J45" s="55"/>
      <x:c r="K45" s="57"/>
      <x:c r="L45" s="56"/>
      <x:c r="M45" s="55"/>
      <x:c r="N45" s="55"/>
      <x:c r="O45" s="56"/>
      <x:c r="P45" s="55"/>
    </x:row>
    <x:row r="46" ht="28" customHeight="1">
      <x:c r="A46" s="55"/>
      <x:c r="B46" s="55"/>
      <x:c r="C46" s="55"/>
      <x:c r="D46" s="55"/>
      <x:c r="E46" s="56"/>
      <x:c r="F46" s="55"/>
      <x:c r="G46" s="55"/>
      <x:c r="H46" s="55"/>
      <x:c r="I46" s="55"/>
      <x:c r="J46" s="55"/>
      <x:c r="K46" s="57"/>
      <x:c r="L46" s="56"/>
      <x:c r="M46" s="55"/>
      <x:c r="N46" s="55"/>
      <x:c r="O46" s="56"/>
      <x:c r="P46" s="55"/>
    </x:row>
    <x:row r="47" ht="28" customHeight="1">
      <x:c r="A47" s="55"/>
      <x:c r="B47" s="55"/>
      <x:c r="C47" s="55"/>
      <x:c r="D47" s="55"/>
      <x:c r="E47" s="56"/>
      <x:c r="F47" s="55"/>
      <x:c r="G47" s="55"/>
      <x:c r="H47" s="55"/>
      <x:c r="I47" s="55"/>
      <x:c r="J47" s="55"/>
      <x:c r="K47" s="57"/>
      <x:c r="L47" s="56"/>
      <x:c r="M47" s="55"/>
      <x:c r="N47" s="55"/>
      <x:c r="O47" s="56"/>
      <x:c r="P47" s="55"/>
    </x:row>
    <x:row r="48" ht="28" customHeight="1">
      <x:c r="A48" s="55"/>
      <x:c r="B48" s="55"/>
      <x:c r="C48" s="55"/>
      <x:c r="D48" s="55"/>
      <x:c r="E48" s="56"/>
      <x:c r="F48" s="55"/>
      <x:c r="G48" s="55"/>
      <x:c r="H48" s="55"/>
      <x:c r="I48" s="55"/>
      <x:c r="J48" s="55"/>
      <x:c r="K48" s="57"/>
      <x:c r="L48" s="56"/>
      <x:c r="M48" s="55"/>
      <x:c r="N48" s="55"/>
      <x:c r="O48" s="56"/>
      <x:c r="P48" s="55"/>
    </x:row>
    <x:row r="49" ht="28" customHeight="1">
      <x:c r="A49" s="55"/>
      <x:c r="B49" s="55"/>
      <x:c r="C49" s="55"/>
      <x:c r="D49" s="55"/>
      <x:c r="E49" s="56"/>
      <x:c r="F49" s="55"/>
      <x:c r="G49" s="55"/>
      <x:c r="H49" s="55"/>
      <x:c r="I49" s="55"/>
      <x:c r="J49" s="55"/>
      <x:c r="K49" s="57"/>
      <x:c r="L49" s="56"/>
      <x:c r="M49" s="55"/>
      <x:c r="N49" s="55"/>
      <x:c r="O49" s="56"/>
      <x:c r="P49" s="55"/>
    </x:row>
    <x:row r="50" ht="28" customHeight="1">
      <x:c r="A50" s="55"/>
      <x:c r="B50" s="55"/>
      <x:c r="C50" s="55"/>
      <x:c r="D50" s="55"/>
      <x:c r="E50" s="56"/>
      <x:c r="F50" s="55"/>
      <x:c r="G50" s="55"/>
      <x:c r="H50" s="55"/>
      <x:c r="I50" s="55"/>
      <x:c r="J50" s="55"/>
      <x:c r="K50" s="57"/>
      <x:c r="L50" s="56"/>
      <x:c r="M50" s="55"/>
      <x:c r="N50" s="55"/>
      <x:c r="O50" s="56"/>
      <x:c r="P50" s="55"/>
    </x:row>
    <x:row r="51" ht="28" customHeight="1">
      <x:c r="A51" s="55"/>
      <x:c r="B51" s="55"/>
      <x:c r="C51" s="55"/>
      <x:c r="D51" s="55"/>
      <x:c r="E51" s="56"/>
      <x:c r="F51" s="55"/>
      <x:c r="G51" s="55"/>
      <x:c r="H51" s="55"/>
      <x:c r="I51" s="55"/>
      <x:c r="J51" s="55"/>
      <x:c r="K51" s="57"/>
      <x:c r="L51" s="56"/>
      <x:c r="M51" s="55"/>
      <x:c r="N51" s="55"/>
      <x:c r="O51" s="56"/>
      <x:c r="P51" s="55"/>
    </x:row>
    <x:row r="52" ht="28" customHeight="1">
      <x:c r="A52" s="55"/>
      <x:c r="B52" s="55"/>
      <x:c r="C52" s="55"/>
      <x:c r="D52" s="55"/>
      <x:c r="E52" s="56"/>
      <x:c r="F52" s="55"/>
      <x:c r="G52" s="55"/>
      <x:c r="H52" s="55"/>
      <x:c r="I52" s="55"/>
      <x:c r="J52" s="55"/>
      <x:c r="K52" s="57"/>
      <x:c r="L52" s="56"/>
      <x:c r="M52" s="55"/>
      <x:c r="N52" s="55"/>
      <x:c r="O52" s="56"/>
      <x:c r="P52" s="55"/>
    </x:row>
    <x:row r="53" ht="28" customHeight="1">
      <x:c r="A53" s="55"/>
      <x:c r="B53" s="55"/>
      <x:c r="C53" s="55"/>
      <x:c r="D53" s="55"/>
      <x:c r="E53" s="56"/>
      <x:c r="F53" s="55"/>
      <x:c r="G53" s="55"/>
      <x:c r="H53" s="55"/>
      <x:c r="I53" s="55"/>
      <x:c r="J53" s="55"/>
      <x:c r="K53" s="57"/>
      <x:c r="L53" s="56"/>
      <x:c r="M53" s="55"/>
      <x:c r="N53" s="55"/>
      <x:c r="O53" s="56"/>
      <x:c r="P53" s="55"/>
    </x:row>
    <x:row r="54" ht="28" customHeight="1">
      <x:c r="A54" s="55"/>
      <x:c r="B54" s="55"/>
      <x:c r="C54" s="55"/>
      <x:c r="D54" s="55"/>
      <x:c r="E54" s="56"/>
      <x:c r="F54" s="55"/>
      <x:c r="G54" s="55"/>
      <x:c r="H54" s="55"/>
      <x:c r="I54" s="55"/>
      <x:c r="J54" s="55"/>
      <x:c r="K54" s="57"/>
      <x:c r="L54" s="56"/>
      <x:c r="M54" s="55"/>
      <x:c r="N54" s="55"/>
      <x:c r="O54" s="56"/>
      <x:c r="P54" s="55"/>
    </x:row>
    <x:row r="55" ht="28" customHeight="1">
      <x:c r="A55" s="55"/>
      <x:c r="B55" s="55"/>
      <x:c r="C55" s="55"/>
      <x:c r="D55" s="55"/>
      <x:c r="E55" s="56"/>
      <x:c r="F55" s="55"/>
      <x:c r="G55" s="55"/>
      <x:c r="H55" s="55"/>
      <x:c r="I55" s="55"/>
      <x:c r="J55" s="55"/>
      <x:c r="K55" s="57"/>
      <x:c r="L55" s="56"/>
      <x:c r="M55" s="55"/>
      <x:c r="N55" s="55"/>
      <x:c r="O55" s="56"/>
      <x:c r="P55" s="55"/>
    </x:row>
    <x:row r="56" ht="28" customHeight="1">
      <x:c r="A56" s="55"/>
      <x:c r="B56" s="55"/>
      <x:c r="C56" s="55"/>
      <x:c r="D56" s="55"/>
      <x:c r="E56" s="56"/>
      <x:c r="F56" s="55"/>
      <x:c r="G56" s="55"/>
      <x:c r="H56" s="55"/>
      <x:c r="I56" s="55"/>
      <x:c r="J56" s="55"/>
      <x:c r="K56" s="57"/>
      <x:c r="L56" s="56"/>
      <x:c r="M56" s="55"/>
      <x:c r="N56" s="55"/>
      <x:c r="O56" s="56"/>
      <x:c r="P56" s="55"/>
    </x:row>
    <x:row r="57" ht="28" customHeight="1">
      <x:c r="A57" s="55"/>
      <x:c r="B57" s="55"/>
      <x:c r="C57" s="55"/>
      <x:c r="D57" s="55"/>
      <x:c r="E57" s="56"/>
      <x:c r="F57" s="55"/>
      <x:c r="G57" s="55"/>
      <x:c r="H57" s="55"/>
      <x:c r="I57" s="55"/>
      <x:c r="J57" s="55"/>
      <x:c r="K57" s="57"/>
      <x:c r="L57" s="56"/>
      <x:c r="M57" s="55"/>
      <x:c r="N57" s="55"/>
      <x:c r="O57" s="56"/>
      <x:c r="P57" s="55"/>
    </x:row>
    <x:row r="58" ht="28" customHeight="1">
      <x:c r="A58" s="55"/>
      <x:c r="B58" s="55"/>
      <x:c r="C58" s="55"/>
      <x:c r="D58" s="55"/>
      <x:c r="E58" s="56"/>
      <x:c r="F58" s="55"/>
      <x:c r="G58" s="55"/>
      <x:c r="H58" s="55"/>
      <x:c r="I58" s="55"/>
      <x:c r="J58" s="55"/>
      <x:c r="K58" s="57"/>
      <x:c r="L58" s="56"/>
      <x:c r="M58" s="55"/>
      <x:c r="N58" s="55"/>
      <x:c r="O58" s="56"/>
      <x:c r="P58" s="55"/>
    </x:row>
    <x:row r="59" ht="28" customHeight="1">
      <x:c r="A59" s="55"/>
      <x:c r="B59" s="55"/>
      <x:c r="C59" s="55"/>
      <x:c r="D59" s="55"/>
      <x:c r="E59" s="56"/>
      <x:c r="F59" s="55"/>
      <x:c r="G59" s="55"/>
      <x:c r="H59" s="55"/>
      <x:c r="I59" s="55"/>
      <x:c r="J59" s="55"/>
      <x:c r="K59" s="57"/>
      <x:c r="L59" s="56"/>
      <x:c r="M59" s="55"/>
      <x:c r="N59" s="55"/>
      <x:c r="O59" s="56"/>
      <x:c r="P59" s="55"/>
    </x:row>
    <x:row r="60" ht="28" customHeight="1">
      <x:c r="A60" s="55"/>
      <x:c r="B60" s="55"/>
      <x:c r="C60" s="55"/>
      <x:c r="D60" s="55"/>
      <x:c r="E60" s="56"/>
      <x:c r="F60" s="55"/>
      <x:c r="G60" s="55"/>
      <x:c r="H60" s="55"/>
      <x:c r="I60" s="55"/>
      <x:c r="J60" s="55"/>
      <x:c r="K60" s="57"/>
      <x:c r="L60" s="56"/>
      <x:c r="M60" s="55"/>
      <x:c r="N60" s="55"/>
      <x:c r="O60" s="56"/>
      <x:c r="P60" s="55"/>
    </x:row>
    <x:row r="61" ht="28" customHeight="1">
      <x:c r="A61" s="55"/>
      <x:c r="B61" s="55"/>
      <x:c r="C61" s="55"/>
      <x:c r="D61" s="55"/>
      <x:c r="E61" s="56"/>
      <x:c r="F61" s="55"/>
      <x:c r="G61" s="55"/>
      <x:c r="H61" s="55"/>
      <x:c r="I61" s="55"/>
      <x:c r="J61" s="55"/>
      <x:c r="K61" s="57"/>
      <x:c r="L61" s="56"/>
      <x:c r="M61" s="55"/>
      <x:c r="N61" s="55"/>
      <x:c r="O61" s="56"/>
      <x:c r="P61" s="55"/>
    </x:row>
    <x:row r="62" ht="28" customHeight="1">
      <x:c r="A62" s="55"/>
      <x:c r="B62" s="55"/>
      <x:c r="C62" s="55"/>
      <x:c r="D62" s="55"/>
      <x:c r="E62" s="56"/>
      <x:c r="F62" s="55"/>
      <x:c r="G62" s="55"/>
      <x:c r="H62" s="55"/>
      <x:c r="I62" s="55"/>
      <x:c r="J62" s="55"/>
      <x:c r="K62" s="57"/>
      <x:c r="L62" s="56"/>
      <x:c r="M62" s="55"/>
      <x:c r="N62" s="55"/>
      <x:c r="O62" s="56"/>
      <x:c r="P62" s="55"/>
    </x:row>
    <x:row r="63" ht="28" customHeight="1">
      <x:c r="A63" s="55"/>
      <x:c r="B63" s="55"/>
      <x:c r="C63" s="55"/>
      <x:c r="D63" s="55"/>
      <x:c r="E63" s="56"/>
      <x:c r="F63" s="55"/>
      <x:c r="G63" s="55"/>
      <x:c r="H63" s="55"/>
      <x:c r="I63" s="55"/>
      <x:c r="J63" s="55"/>
      <x:c r="K63" s="57"/>
      <x:c r="L63" s="56"/>
      <x:c r="M63" s="55"/>
      <x:c r="N63" s="55"/>
      <x:c r="O63" s="56"/>
      <x:c r="P63" s="55"/>
    </x:row>
    <x:row r="64" ht="28" customHeight="1">
      <x:c r="A64" s="55"/>
      <x:c r="B64" s="55"/>
      <x:c r="C64" s="55"/>
      <x:c r="D64" s="55"/>
      <x:c r="E64" s="56"/>
      <x:c r="F64" s="55"/>
      <x:c r="G64" s="55"/>
      <x:c r="H64" s="55"/>
      <x:c r="I64" s="55"/>
      <x:c r="J64" s="55"/>
      <x:c r="K64" s="57"/>
      <x:c r="L64" s="56"/>
      <x:c r="M64" s="55"/>
      <x:c r="N64" s="55"/>
      <x:c r="O64" s="56"/>
      <x:c r="P64" s="55"/>
    </x:row>
    <x:row r="65" ht="28" customHeight="1">
      <x:c r="A65" s="55"/>
      <x:c r="B65" s="55"/>
      <x:c r="C65" s="55"/>
      <x:c r="D65" s="55"/>
      <x:c r="E65" s="56"/>
      <x:c r="F65" s="55"/>
      <x:c r="G65" s="55"/>
      <x:c r="H65" s="55"/>
      <x:c r="I65" s="55"/>
      <x:c r="J65" s="55"/>
      <x:c r="K65" s="57"/>
      <x:c r="L65" s="56"/>
      <x:c r="M65" s="55"/>
      <x:c r="N65" s="55"/>
      <x:c r="O65" s="56"/>
      <x:c r="P65" s="55"/>
    </x:row>
    <x:row r="66" ht="28" customHeight="1">
      <x:c r="A66" s="55"/>
      <x:c r="B66" s="55"/>
      <x:c r="C66" s="55"/>
      <x:c r="D66" s="55"/>
      <x:c r="E66" s="56"/>
      <x:c r="F66" s="55"/>
      <x:c r="G66" s="55"/>
      <x:c r="H66" s="55"/>
      <x:c r="I66" s="55"/>
      <x:c r="J66" s="55"/>
      <x:c r="K66" s="57"/>
      <x:c r="L66" s="56"/>
      <x:c r="M66" s="55"/>
      <x:c r="N66" s="55"/>
      <x:c r="O66" s="56"/>
      <x:c r="P66" s="55"/>
    </x:row>
    <x:row r="67" ht="28" customHeight="1">
      <x:c r="A67" s="55"/>
      <x:c r="B67" s="55"/>
      <x:c r="C67" s="55"/>
      <x:c r="D67" s="55"/>
      <x:c r="E67" s="56"/>
      <x:c r="F67" s="55"/>
      <x:c r="G67" s="55"/>
      <x:c r="H67" s="55"/>
      <x:c r="I67" s="55"/>
      <x:c r="J67" s="55"/>
      <x:c r="K67" s="57"/>
      <x:c r="L67" s="56"/>
      <x:c r="M67" s="55"/>
      <x:c r="N67" s="55"/>
      <x:c r="O67" s="56"/>
      <x:c r="P67" s="55"/>
    </x:row>
    <x:row r="68" ht="28" customHeight="1">
      <x:c r="A68" s="55"/>
      <x:c r="B68" s="55"/>
      <x:c r="C68" s="55"/>
      <x:c r="D68" s="55"/>
      <x:c r="E68" s="56"/>
      <x:c r="F68" s="55"/>
      <x:c r="G68" s="55"/>
      <x:c r="H68" s="55"/>
      <x:c r="I68" s="55"/>
      <x:c r="J68" s="55"/>
      <x:c r="K68" s="57"/>
      <x:c r="L68" s="56"/>
      <x:c r="M68" s="55"/>
      <x:c r="N68" s="55"/>
      <x:c r="O68" s="56"/>
      <x:c r="P68" s="55"/>
    </x:row>
    <x:row r="69" ht="28" customHeight="1">
      <x:c r="A69" s="55"/>
      <x:c r="B69" s="55"/>
      <x:c r="C69" s="55"/>
      <x:c r="D69" s="55"/>
      <x:c r="E69" s="56"/>
      <x:c r="F69" s="55"/>
      <x:c r="G69" s="55"/>
      <x:c r="H69" s="55"/>
      <x:c r="I69" s="55"/>
      <x:c r="J69" s="55"/>
      <x:c r="K69" s="57"/>
      <x:c r="L69" s="56"/>
      <x:c r="M69" s="55"/>
      <x:c r="N69" s="55"/>
      <x:c r="O69" s="56"/>
      <x:c r="P69" s="55"/>
    </x:row>
    <x:row r="70" ht="28" customHeight="1">
      <x:c r="A70" s="55"/>
      <x:c r="B70" s="55"/>
      <x:c r="C70" s="55"/>
      <x:c r="D70" s="55"/>
      <x:c r="E70" s="56"/>
      <x:c r="F70" s="55"/>
      <x:c r="G70" s="55"/>
      <x:c r="H70" s="55"/>
      <x:c r="I70" s="55"/>
      <x:c r="J70" s="55"/>
      <x:c r="K70" s="57"/>
      <x:c r="L70" s="56"/>
      <x:c r="M70" s="55"/>
      <x:c r="N70" s="55"/>
      <x:c r="O70" s="56"/>
      <x:c r="P70" s="55"/>
    </x:row>
    <x:row r="71" ht="28" customHeight="1">
      <x:c r="A71" s="55"/>
      <x:c r="B71" s="55"/>
      <x:c r="C71" s="55"/>
      <x:c r="D71" s="55"/>
      <x:c r="E71" s="56"/>
      <x:c r="F71" s="55"/>
      <x:c r="G71" s="55"/>
      <x:c r="H71" s="55"/>
      <x:c r="I71" s="55"/>
      <x:c r="J71" s="55"/>
      <x:c r="K71" s="57"/>
      <x:c r="L71" s="56"/>
      <x:c r="M71" s="55"/>
      <x:c r="N71" s="55"/>
      <x:c r="O71" s="56"/>
      <x:c r="P71" s="55"/>
    </x:row>
    <x:row r="72" ht="28" customHeight="1">
      <x:c r="A72" s="55"/>
      <x:c r="B72" s="55"/>
      <x:c r="C72" s="55"/>
      <x:c r="D72" s="55"/>
      <x:c r="E72" s="56"/>
      <x:c r="F72" s="55"/>
      <x:c r="G72" s="55"/>
      <x:c r="H72" s="55"/>
      <x:c r="I72" s="55"/>
      <x:c r="J72" s="55"/>
      <x:c r="K72" s="57"/>
      <x:c r="L72" s="56"/>
      <x:c r="M72" s="55"/>
      <x:c r="N72" s="55"/>
      <x:c r="O72" s="56"/>
      <x:c r="P72" s="55"/>
    </x:row>
    <x:row r="73" ht="28" customHeight="1">
      <x:c r="A73" s="55"/>
      <x:c r="B73" s="55"/>
      <x:c r="C73" s="55"/>
      <x:c r="D73" s="55"/>
      <x:c r="E73" s="56"/>
      <x:c r="F73" s="55"/>
      <x:c r="G73" s="55"/>
      <x:c r="H73" s="55"/>
      <x:c r="I73" s="55"/>
      <x:c r="J73" s="55"/>
      <x:c r="K73" s="57"/>
      <x:c r="L73" s="56"/>
      <x:c r="M73" s="55"/>
      <x:c r="N73" s="55"/>
      <x:c r="O73" s="56"/>
      <x:c r="P73" s="55"/>
    </x:row>
    <x:row r="74" ht="28" customHeight="1">
      <x:c r="A74" s="55"/>
      <x:c r="B74" s="55"/>
      <x:c r="C74" s="55"/>
      <x:c r="D74" s="55"/>
      <x:c r="E74" s="56"/>
      <x:c r="F74" s="55"/>
      <x:c r="G74" s="55"/>
      <x:c r="H74" s="55"/>
      <x:c r="I74" s="55"/>
      <x:c r="J74" s="55"/>
      <x:c r="K74" s="57"/>
      <x:c r="L74" s="56"/>
      <x:c r="M74" s="55"/>
      <x:c r="N74" s="55"/>
      <x:c r="O74" s="56"/>
      <x:c r="P74" s="55"/>
    </x:row>
    <x:row r="75" ht="28" customHeight="1">
      <x:c r="A75" s="55"/>
      <x:c r="B75" s="55"/>
      <x:c r="C75" s="55"/>
      <x:c r="D75" s="55"/>
      <x:c r="E75" s="56"/>
      <x:c r="F75" s="55"/>
      <x:c r="G75" s="55"/>
      <x:c r="H75" s="55"/>
      <x:c r="I75" s="55"/>
      <x:c r="J75" s="55"/>
      <x:c r="K75" s="57"/>
      <x:c r="L75" s="56"/>
      <x:c r="M75" s="55"/>
      <x:c r="N75" s="55"/>
      <x:c r="O75" s="56"/>
      <x:c r="P75" s="55"/>
    </x:row>
    <x:row r="76" ht="28" customHeight="1">
      <x:c r="A76" s="55"/>
      <x:c r="B76" s="55"/>
      <x:c r="C76" s="55"/>
      <x:c r="D76" s="55"/>
      <x:c r="E76" s="56"/>
      <x:c r="F76" s="55"/>
      <x:c r="G76" s="55"/>
      <x:c r="H76" s="55"/>
      <x:c r="I76" s="55"/>
      <x:c r="J76" s="55"/>
      <x:c r="K76" s="57"/>
      <x:c r="L76" s="56"/>
      <x:c r="M76" s="55"/>
      <x:c r="N76" s="55"/>
      <x:c r="O76" s="56"/>
      <x:c r="P76" s="55"/>
    </x:row>
    <x:row r="77" ht="28" customHeight="1">
      <x:c r="A77" s="55"/>
      <x:c r="B77" s="55"/>
      <x:c r="C77" s="55"/>
      <x:c r="D77" s="55"/>
      <x:c r="E77" s="56"/>
      <x:c r="F77" s="55"/>
      <x:c r="G77" s="55"/>
      <x:c r="H77" s="55"/>
      <x:c r="I77" s="55"/>
      <x:c r="J77" s="55"/>
      <x:c r="K77" s="57"/>
      <x:c r="L77" s="56"/>
      <x:c r="M77" s="55"/>
      <x:c r="N77" s="55"/>
      <x:c r="O77" s="56"/>
      <x:c r="P77" s="55"/>
    </x:row>
    <x:row r="78" ht="28" customHeight="1">
      <x:c r="A78" s="55"/>
      <x:c r="B78" s="55"/>
      <x:c r="C78" s="55"/>
      <x:c r="D78" s="55"/>
      <x:c r="E78" s="56"/>
      <x:c r="F78" s="55"/>
      <x:c r="G78" s="55"/>
      <x:c r="H78" s="55"/>
      <x:c r="I78" s="55"/>
      <x:c r="J78" s="55"/>
      <x:c r="K78" s="57"/>
      <x:c r="L78" s="56"/>
      <x:c r="M78" s="55"/>
      <x:c r="N78" s="55"/>
      <x:c r="O78" s="56"/>
      <x:c r="P78" s="55"/>
    </x:row>
    <x:row r="79" ht="28" customHeight="1">
      <x:c r="A79" s="55"/>
      <x:c r="B79" s="55"/>
      <x:c r="C79" s="55"/>
      <x:c r="D79" s="55"/>
      <x:c r="E79" s="56"/>
      <x:c r="F79" s="55"/>
      <x:c r="G79" s="55"/>
      <x:c r="H79" s="55"/>
      <x:c r="I79" s="55"/>
      <x:c r="J79" s="55"/>
      <x:c r="K79" s="57"/>
      <x:c r="L79" s="56"/>
      <x:c r="M79" s="55"/>
      <x:c r="N79" s="55"/>
      <x:c r="O79" s="56"/>
      <x:c r="P79" s="55"/>
    </x:row>
    <x:row r="80" ht="28" customHeight="1">
      <x:c r="A80" s="55"/>
      <x:c r="B80" s="55"/>
      <x:c r="C80" s="55"/>
      <x:c r="D80" s="55"/>
      <x:c r="E80" s="56"/>
      <x:c r="F80" s="55"/>
      <x:c r="G80" s="55"/>
      <x:c r="H80" s="55"/>
      <x:c r="I80" s="55"/>
      <x:c r="J80" s="55"/>
      <x:c r="K80" s="57"/>
      <x:c r="L80" s="56"/>
      <x:c r="M80" s="55"/>
      <x:c r="N80" s="55"/>
      <x:c r="O80" s="56"/>
      <x:c r="P80" s="55"/>
    </x:row>
    <x:row r="81" ht="28" customHeight="1">
      <x:c r="A81" s="55"/>
      <x:c r="B81" s="55"/>
      <x:c r="C81" s="55"/>
      <x:c r="D81" s="55"/>
      <x:c r="E81" s="56"/>
      <x:c r="F81" s="55"/>
      <x:c r="G81" s="55"/>
      <x:c r="H81" s="55"/>
      <x:c r="I81" s="55"/>
      <x:c r="J81" s="55"/>
      <x:c r="K81" s="57"/>
      <x:c r="L81" s="56"/>
      <x:c r="M81" s="55"/>
      <x:c r="N81" s="55"/>
      <x:c r="O81" s="56"/>
      <x:c r="P81" s="55"/>
    </x:row>
    <x:row r="82" ht="28" customHeight="1">
      <x:c r="A82" s="55"/>
      <x:c r="B82" s="55"/>
      <x:c r="C82" s="55"/>
      <x:c r="D82" s="55"/>
      <x:c r="E82" s="56"/>
      <x:c r="F82" s="55"/>
      <x:c r="G82" s="55"/>
      <x:c r="H82" s="55"/>
      <x:c r="I82" s="55"/>
      <x:c r="J82" s="55"/>
      <x:c r="K82" s="57"/>
      <x:c r="L82" s="56"/>
      <x:c r="M82" s="55"/>
      <x:c r="N82" s="55"/>
      <x:c r="O82" s="56"/>
      <x:c r="P82" s="55"/>
    </x:row>
    <x:row r="83" ht="28" customHeight="1">
      <x:c r="A83" s="55"/>
      <x:c r="B83" s="55"/>
      <x:c r="C83" s="55"/>
      <x:c r="D83" s="55"/>
      <x:c r="E83" s="56"/>
      <x:c r="F83" s="55"/>
      <x:c r="G83" s="55"/>
      <x:c r="H83" s="55"/>
      <x:c r="I83" s="55"/>
      <x:c r="J83" s="55"/>
      <x:c r="K83" s="57"/>
      <x:c r="L83" s="56"/>
      <x:c r="M83" s="55"/>
      <x:c r="N83" s="55"/>
      <x:c r="O83" s="56"/>
      <x:c r="P83" s="55"/>
    </x:row>
    <x:row r="84" ht="28" customHeight="1">
      <x:c r="A84" s="55"/>
      <x:c r="B84" s="55"/>
      <x:c r="C84" s="55"/>
      <x:c r="D84" s="55"/>
      <x:c r="E84" s="56"/>
      <x:c r="F84" s="55"/>
      <x:c r="G84" s="55"/>
      <x:c r="H84" s="55"/>
      <x:c r="I84" s="55"/>
      <x:c r="J84" s="55"/>
      <x:c r="K84" s="57"/>
      <x:c r="L84" s="56"/>
      <x:c r="M84" s="55"/>
      <x:c r="N84" s="55"/>
      <x:c r="O84" s="56"/>
      <x:c r="P84" s="55"/>
    </x:row>
    <x:row r="85" ht="28" customHeight="1">
      <x:c r="A85" s="55"/>
      <x:c r="B85" s="55"/>
      <x:c r="C85" s="55"/>
      <x:c r="D85" s="55"/>
      <x:c r="E85" s="56"/>
      <x:c r="F85" s="55"/>
      <x:c r="G85" s="55"/>
      <x:c r="H85" s="55"/>
      <x:c r="I85" s="55"/>
      <x:c r="J85" s="55"/>
      <x:c r="K85" s="57"/>
      <x:c r="L85" s="56"/>
      <x:c r="M85" s="55"/>
      <x:c r="N85" s="55"/>
      <x:c r="O85" s="56"/>
      <x:c r="P85" s="55"/>
    </x:row>
    <x:row r="86" ht="28" customHeight="1">
      <x:c r="A86" s="55"/>
      <x:c r="B86" s="55"/>
      <x:c r="C86" s="55"/>
      <x:c r="D86" s="55"/>
      <x:c r="E86" s="56"/>
      <x:c r="F86" s="55"/>
      <x:c r="G86" s="55"/>
      <x:c r="H86" s="55"/>
      <x:c r="I86" s="55"/>
      <x:c r="J86" s="55"/>
      <x:c r="K86" s="57"/>
      <x:c r="L86" s="56"/>
      <x:c r="M86" s="55"/>
      <x:c r="N86" s="55"/>
      <x:c r="O86" s="56"/>
      <x:c r="P86" s="55"/>
    </x:row>
    <x:row r="87" ht="28" customHeight="1">
      <x:c r="A87" s="55"/>
      <x:c r="B87" s="55"/>
      <x:c r="C87" s="55"/>
      <x:c r="D87" s="55"/>
      <x:c r="E87" s="56"/>
      <x:c r="F87" s="55"/>
      <x:c r="G87" s="55"/>
      <x:c r="H87" s="55"/>
      <x:c r="I87" s="55"/>
      <x:c r="J87" s="55"/>
      <x:c r="K87" s="57"/>
      <x:c r="L87" s="56"/>
      <x:c r="M87" s="55"/>
      <x:c r="N87" s="55"/>
      <x:c r="O87" s="56"/>
      <x:c r="P87" s="55"/>
    </x:row>
    <x:row r="88" ht="28" customHeight="1">
      <x:c r="A88" s="55"/>
      <x:c r="B88" s="55"/>
      <x:c r="C88" s="55"/>
      <x:c r="D88" s="55"/>
      <x:c r="E88" s="56"/>
      <x:c r="F88" s="55"/>
      <x:c r="G88" s="55"/>
      <x:c r="H88" s="55"/>
      <x:c r="I88" s="55"/>
      <x:c r="J88" s="55"/>
      <x:c r="K88" s="57"/>
      <x:c r="L88" s="56"/>
      <x:c r="M88" s="55"/>
      <x:c r="N88" s="55"/>
      <x:c r="O88" s="56"/>
      <x:c r="P88" s="55"/>
    </x:row>
    <x:row r="89" ht="28" customHeight="1">
      <x:c r="A89" s="55"/>
      <x:c r="B89" s="55"/>
      <x:c r="C89" s="55"/>
      <x:c r="D89" s="55"/>
      <x:c r="E89" s="56"/>
      <x:c r="F89" s="55"/>
      <x:c r="G89" s="55"/>
      <x:c r="H89" s="55"/>
      <x:c r="I89" s="55"/>
      <x:c r="J89" s="55"/>
      <x:c r="K89" s="57"/>
      <x:c r="L89" s="56"/>
      <x:c r="M89" s="55"/>
      <x:c r="N89" s="55"/>
      <x:c r="O89" s="56"/>
      <x:c r="P89" s="55"/>
    </x:row>
    <x:row r="90" ht="28" customHeight="1">
      <x:c r="A90" s="55"/>
      <x:c r="B90" s="55"/>
      <x:c r="C90" s="55"/>
      <x:c r="D90" s="55"/>
      <x:c r="E90" s="56"/>
      <x:c r="F90" s="55"/>
      <x:c r="G90" s="55"/>
      <x:c r="H90" s="55"/>
      <x:c r="I90" s="55"/>
      <x:c r="J90" s="55"/>
      <x:c r="K90" s="57"/>
      <x:c r="L90" s="56"/>
      <x:c r="M90" s="55"/>
      <x:c r="N90" s="55"/>
      <x:c r="O90" s="56"/>
      <x:c r="P90" s="55"/>
    </x:row>
    <x:row r="91" ht="28" customHeight="1">
      <x:c r="A91" s="55"/>
      <x:c r="B91" s="55"/>
      <x:c r="C91" s="55"/>
      <x:c r="D91" s="55"/>
      <x:c r="E91" s="56"/>
      <x:c r="F91" s="55"/>
      <x:c r="G91" s="55"/>
      <x:c r="H91" s="55"/>
      <x:c r="I91" s="55"/>
      <x:c r="J91" s="55"/>
      <x:c r="K91" s="57"/>
      <x:c r="L91" s="56"/>
      <x:c r="M91" s="55"/>
      <x:c r="N91" s="55"/>
      <x:c r="O91" s="56"/>
      <x:c r="P91" s="55"/>
    </x:row>
    <x:row r="92" ht="28" customHeight="1">
      <x:c r="A92" s="55"/>
      <x:c r="B92" s="55"/>
      <x:c r="C92" s="55"/>
      <x:c r="D92" s="55"/>
      <x:c r="E92" s="56"/>
      <x:c r="F92" s="55"/>
      <x:c r="G92" s="55"/>
      <x:c r="H92" s="55"/>
      <x:c r="I92" s="55"/>
      <x:c r="J92" s="55"/>
      <x:c r="K92" s="57"/>
      <x:c r="L92" s="56"/>
      <x:c r="M92" s="55"/>
      <x:c r="N92" s="55"/>
      <x:c r="O92" s="56"/>
      <x:c r="P92" s="55"/>
    </x:row>
    <x:row r="93" ht="28" customHeight="1">
      <x:c r="A93" s="55"/>
      <x:c r="B93" s="55"/>
      <x:c r="C93" s="55"/>
      <x:c r="D93" s="55"/>
      <x:c r="E93" s="56"/>
      <x:c r="F93" s="55"/>
      <x:c r="G93" s="55"/>
      <x:c r="H93" s="55"/>
      <x:c r="I93" s="55"/>
      <x:c r="J93" s="55"/>
      <x:c r="K93" s="57"/>
      <x:c r="L93" s="56"/>
      <x:c r="M93" s="55"/>
      <x:c r="N93" s="55"/>
      <x:c r="O93" s="56"/>
      <x:c r="P93" s="55"/>
    </x:row>
    <x:row r="94" ht="28" customHeight="1">
      <x:c r="A94" s="55"/>
      <x:c r="B94" s="55"/>
      <x:c r="C94" s="55"/>
      <x:c r="D94" s="55"/>
      <x:c r="E94" s="56"/>
      <x:c r="F94" s="55"/>
      <x:c r="G94" s="55"/>
      <x:c r="H94" s="55"/>
      <x:c r="I94" s="55"/>
      <x:c r="J94" s="55"/>
      <x:c r="K94" s="57"/>
      <x:c r="L94" s="56"/>
      <x:c r="M94" s="55"/>
      <x:c r="N94" s="55"/>
      <x:c r="O94" s="56"/>
      <x:c r="P94" s="55"/>
    </x:row>
    <x:row r="95" ht="28" customHeight="1">
      <x:c r="A95" s="55"/>
      <x:c r="B95" s="55"/>
      <x:c r="C95" s="55"/>
      <x:c r="D95" s="55"/>
      <x:c r="E95" s="56"/>
      <x:c r="F95" s="55"/>
      <x:c r="G95" s="55"/>
      <x:c r="H95" s="55"/>
      <x:c r="I95" s="55"/>
      <x:c r="J95" s="55"/>
      <x:c r="K95" s="57"/>
      <x:c r="L95" s="56"/>
      <x:c r="M95" s="55"/>
      <x:c r="N95" s="55"/>
      <x:c r="O95" s="56"/>
      <x:c r="P95" s="55"/>
    </x:row>
    <x:row r="96" ht="28" customHeight="1">
      <x:c r="A96" s="55"/>
      <x:c r="B96" s="55"/>
      <x:c r="C96" s="55"/>
      <x:c r="D96" s="55"/>
      <x:c r="E96" s="56"/>
      <x:c r="F96" s="55"/>
      <x:c r="G96" s="55"/>
      <x:c r="H96" s="55"/>
      <x:c r="I96" s="55"/>
      <x:c r="J96" s="55"/>
      <x:c r="K96" s="57"/>
      <x:c r="L96" s="56"/>
      <x:c r="M96" s="55"/>
      <x:c r="N96" s="55"/>
      <x:c r="O96" s="56"/>
      <x:c r="P96" s="55"/>
    </x:row>
    <x:row r="97" ht="28" customHeight="1">
      <x:c r="A97" s="55"/>
      <x:c r="B97" s="55"/>
      <x:c r="C97" s="55"/>
      <x:c r="D97" s="55"/>
      <x:c r="E97" s="56"/>
      <x:c r="F97" s="55"/>
      <x:c r="G97" s="55"/>
      <x:c r="H97" s="55"/>
      <x:c r="I97" s="55"/>
      <x:c r="J97" s="55"/>
      <x:c r="K97" s="57"/>
      <x:c r="L97" s="56"/>
      <x:c r="M97" s="55"/>
      <x:c r="N97" s="55"/>
      <x:c r="O97" s="56"/>
      <x:c r="P97" s="55"/>
    </x:row>
    <x:row r="98" ht="28" customHeight="1">
      <x:c r="A98" s="55"/>
      <x:c r="B98" s="55"/>
      <x:c r="C98" s="55"/>
      <x:c r="D98" s="55"/>
      <x:c r="E98" s="56"/>
      <x:c r="F98" s="55"/>
      <x:c r="G98" s="55"/>
      <x:c r="H98" s="55"/>
      <x:c r="I98" s="55"/>
      <x:c r="J98" s="55"/>
      <x:c r="K98" s="57"/>
      <x:c r="L98" s="56"/>
      <x:c r="M98" s="55"/>
      <x:c r="N98" s="55"/>
      <x:c r="O98" s="56"/>
      <x:c r="P98" s="55"/>
    </x:row>
    <x:row r="99" ht="28" customHeight="1">
      <x:c r="A99" s="55"/>
      <x:c r="B99" s="55"/>
      <x:c r="C99" s="55"/>
      <x:c r="D99" s="55"/>
      <x:c r="E99" s="56"/>
      <x:c r="F99" s="55"/>
      <x:c r="G99" s="55"/>
      <x:c r="H99" s="55"/>
      <x:c r="I99" s="55"/>
      <x:c r="J99" s="55"/>
      <x:c r="K99" s="57"/>
      <x:c r="L99" s="56"/>
      <x:c r="M99" s="55"/>
      <x:c r="N99" s="55"/>
      <x:c r="O99" s="56"/>
      <x:c r="P99" s="55"/>
    </x:row>
    <x:row r="100" ht="28" customHeight="1">
      <x:c r="A100" s="55"/>
      <x:c r="B100" s="55"/>
      <x:c r="C100" s="55"/>
      <x:c r="D100" s="55"/>
      <x:c r="E100" s="56"/>
      <x:c r="F100" s="55"/>
      <x:c r="G100" s="55"/>
      <x:c r="H100" s="55"/>
      <x:c r="I100" s="55"/>
      <x:c r="J100" s="55"/>
      <x:c r="K100" s="57"/>
      <x:c r="L100" s="56"/>
      <x:c r="M100" s="55"/>
      <x:c r="N100" s="55"/>
      <x:c r="O100" s="56"/>
      <x:c r="P100" s="55"/>
    </x:row>
    <x:row r="101" ht="28" customHeight="1">
      <x:c r="A101" s="55"/>
      <x:c r="B101" s="55"/>
      <x:c r="C101" s="55"/>
      <x:c r="D101" s="55"/>
      <x:c r="E101" s="56"/>
      <x:c r="F101" s="55"/>
      <x:c r="G101" s="55"/>
      <x:c r="H101" s="55"/>
      <x:c r="I101" s="55"/>
      <x:c r="J101" s="55"/>
      <x:c r="K101" s="57"/>
      <x:c r="L101" s="56"/>
      <x:c r="M101" s="55"/>
      <x:c r="N101" s="55"/>
      <x:c r="O101" s="56"/>
      <x:c r="P101" s="55"/>
    </x:row>
    <x:row r="102" ht="28" customHeight="1">
      <x:c r="A102" s="55"/>
      <x:c r="B102" s="55"/>
      <x:c r="C102" s="55"/>
      <x:c r="D102" s="55"/>
      <x:c r="E102" s="56"/>
      <x:c r="F102" s="55"/>
      <x:c r="G102" s="55"/>
      <x:c r="H102" s="55"/>
      <x:c r="I102" s="55"/>
      <x:c r="J102" s="55"/>
      <x:c r="K102" s="57"/>
      <x:c r="L102" s="56"/>
      <x:c r="M102" s="55"/>
      <x:c r="N102" s="55"/>
      <x:c r="O102" s="56"/>
      <x:c r="P102" s="55"/>
    </x:row>
    <x:row r="103" ht="28" customHeight="1">
      <x:c r="A103" s="55"/>
      <x:c r="B103" s="55"/>
      <x:c r="C103" s="55"/>
      <x:c r="D103" s="55"/>
      <x:c r="E103" s="56"/>
      <x:c r="F103" s="55"/>
      <x:c r="G103" s="55"/>
      <x:c r="H103" s="55"/>
      <x:c r="I103" s="55"/>
      <x:c r="J103" s="55"/>
      <x:c r="K103" s="57"/>
      <x:c r="L103" s="56"/>
      <x:c r="M103" s="55"/>
      <x:c r="N103" s="55"/>
      <x:c r="O103" s="56"/>
      <x:c r="P103" s="55"/>
    </x:row>
    <x:row r="104" ht="28" customHeight="1">
      <x:c r="A104" s="55"/>
      <x:c r="B104" s="55"/>
      <x:c r="C104" s="55"/>
      <x:c r="D104" s="55"/>
      <x:c r="E104" s="56"/>
      <x:c r="F104" s="55"/>
      <x:c r="G104" s="55"/>
      <x:c r="H104" s="55"/>
      <x:c r="I104" s="55"/>
      <x:c r="J104" s="55"/>
      <x:c r="K104" s="57"/>
      <x:c r="L104" s="56"/>
      <x:c r="M104" s="55"/>
      <x:c r="N104" s="55"/>
      <x:c r="O104" s="56"/>
      <x:c r="P104" s="55"/>
    </x:row>
    <x:row r="105" ht="28" customHeight="1">
      <x:c r="A105" s="55"/>
      <x:c r="B105" s="55"/>
      <x:c r="C105" s="55"/>
      <x:c r="D105" s="55"/>
      <x:c r="E105" s="56"/>
      <x:c r="F105" s="55"/>
      <x:c r="G105" s="55"/>
      <x:c r="H105" s="55"/>
      <x:c r="I105" s="55"/>
      <x:c r="J105" s="55"/>
      <x:c r="K105" s="57"/>
      <x:c r="L105" s="56"/>
      <x:c r="M105" s="55"/>
      <x:c r="N105" s="55"/>
      <x:c r="O105" s="56"/>
      <x:c r="P105" s="55"/>
    </x:row>
    <x:row r="106" ht="28" customHeight="1">
      <x:c r="A106" s="55"/>
      <x:c r="B106" s="55"/>
      <x:c r="C106" s="55"/>
      <x:c r="D106" s="55"/>
      <x:c r="E106" s="56"/>
      <x:c r="F106" s="55"/>
      <x:c r="G106" s="55"/>
      <x:c r="H106" s="55"/>
      <x:c r="I106" s="55"/>
      <x:c r="J106" s="55"/>
      <x:c r="K106" s="57"/>
      <x:c r="L106" s="56"/>
      <x:c r="M106" s="55"/>
      <x:c r="N106" s="55"/>
      <x:c r="O106" s="56"/>
      <x:c r="P106" s="55"/>
    </x:row>
    <x:row r="107" ht="28" customHeight="1">
      <x:c r="A107" s="55"/>
      <x:c r="B107" s="55"/>
      <x:c r="C107" s="55"/>
      <x:c r="D107" s="55"/>
      <x:c r="E107" s="56"/>
      <x:c r="F107" s="55"/>
      <x:c r="G107" s="55"/>
      <x:c r="H107" s="55"/>
      <x:c r="I107" s="55"/>
      <x:c r="J107" s="55"/>
      <x:c r="K107" s="57"/>
      <x:c r="L107" s="56"/>
      <x:c r="M107" s="55"/>
      <x:c r="N107" s="55"/>
      <x:c r="O107" s="56"/>
      <x:c r="P107" s="55"/>
    </x:row>
    <x:row r="108" ht="28" customHeight="1">
      <x:c r="A108" s="55"/>
      <x:c r="B108" s="55"/>
      <x:c r="C108" s="55"/>
      <x:c r="D108" s="55"/>
      <x:c r="E108" s="56"/>
      <x:c r="F108" s="55"/>
      <x:c r="G108" s="55"/>
      <x:c r="H108" s="55"/>
      <x:c r="I108" s="55"/>
      <x:c r="J108" s="55"/>
      <x:c r="K108" s="57"/>
      <x:c r="L108" s="56"/>
      <x:c r="M108" s="55"/>
      <x:c r="N108" s="55"/>
      <x:c r="O108" s="56"/>
      <x:c r="P108" s="55"/>
    </x:row>
    <x:row r="109" ht="28" customHeight="1">
      <x:c r="A109" s="55"/>
      <x:c r="B109" s="55"/>
      <x:c r="C109" s="55"/>
      <x:c r="D109" s="55"/>
      <x:c r="E109" s="56"/>
      <x:c r="F109" s="55"/>
      <x:c r="G109" s="55"/>
      <x:c r="H109" s="55"/>
      <x:c r="I109" s="55"/>
      <x:c r="J109" s="55"/>
      <x:c r="K109" s="57"/>
      <x:c r="L109" s="56"/>
      <x:c r="M109" s="55"/>
      <x:c r="N109" s="55"/>
      <x:c r="O109" s="56"/>
      <x:c r="P109" s="55"/>
    </x:row>
    <x:row r="110" ht="28" customHeight="1">
      <x:c r="A110" s="55"/>
      <x:c r="B110" s="55"/>
      <x:c r="C110" s="55"/>
      <x:c r="D110" s="55"/>
      <x:c r="E110" s="56"/>
      <x:c r="F110" s="55"/>
      <x:c r="G110" s="55"/>
      <x:c r="H110" s="55"/>
      <x:c r="I110" s="55"/>
      <x:c r="J110" s="55"/>
      <x:c r="K110" s="57"/>
      <x:c r="L110" s="56"/>
      <x:c r="M110" s="55"/>
      <x:c r="N110" s="55"/>
      <x:c r="O110" s="56"/>
      <x:c r="P110" s="55"/>
    </x:row>
    <x:row r="111" ht="28" customHeight="1">
      <x:c r="A111" s="55"/>
      <x:c r="B111" s="55"/>
      <x:c r="C111" s="55"/>
      <x:c r="D111" s="55"/>
      <x:c r="E111" s="56"/>
      <x:c r="F111" s="55"/>
      <x:c r="G111" s="55"/>
      <x:c r="H111" s="55"/>
      <x:c r="I111" s="55"/>
      <x:c r="J111" s="55"/>
      <x:c r="K111" s="57"/>
      <x:c r="L111" s="56"/>
      <x:c r="M111" s="55"/>
      <x:c r="N111" s="55"/>
      <x:c r="O111" s="56"/>
      <x:c r="P111" s="55"/>
    </x:row>
    <x:row r="112" ht="28" customHeight="1">
      <x:c r="A112" s="55"/>
      <x:c r="B112" s="55"/>
      <x:c r="C112" s="55"/>
      <x:c r="D112" s="55"/>
      <x:c r="E112" s="56"/>
      <x:c r="F112" s="55"/>
      <x:c r="G112" s="55"/>
      <x:c r="H112" s="55"/>
      <x:c r="I112" s="55"/>
      <x:c r="J112" s="55"/>
      <x:c r="K112" s="57"/>
      <x:c r="L112" s="56"/>
      <x:c r="M112" s="55"/>
      <x:c r="N112" s="55"/>
      <x:c r="O112" s="56"/>
      <x:c r="P112" s="55"/>
    </x:row>
    <x:row r="113" ht="28" customHeight="1">
      <x:c r="A113" s="55"/>
      <x:c r="B113" s="55"/>
      <x:c r="C113" s="55"/>
      <x:c r="D113" s="55"/>
      <x:c r="E113" s="56"/>
      <x:c r="F113" s="55"/>
      <x:c r="G113" s="55"/>
      <x:c r="H113" s="55"/>
      <x:c r="I113" s="55"/>
      <x:c r="J113" s="55"/>
      <x:c r="K113" s="57"/>
      <x:c r="L113" s="56"/>
      <x:c r="M113" s="55"/>
      <x:c r="N113" s="55"/>
      <x:c r="O113" s="56"/>
      <x:c r="P113" s="55"/>
    </x:row>
    <x:row r="114" ht="28" customHeight="1">
      <x:c r="A114" s="55"/>
      <x:c r="B114" s="55"/>
      <x:c r="C114" s="55"/>
      <x:c r="D114" s="55"/>
      <x:c r="E114" s="56"/>
      <x:c r="F114" s="55"/>
      <x:c r="G114" s="55"/>
      <x:c r="H114" s="55"/>
      <x:c r="I114" s="55"/>
      <x:c r="J114" s="55"/>
      <x:c r="K114" s="57"/>
      <x:c r="L114" s="56"/>
      <x:c r="M114" s="55"/>
      <x:c r="N114" s="55"/>
      <x:c r="O114" s="56"/>
      <x:c r="P114" s="55"/>
    </x:row>
    <x:row r="115" ht="28" customHeight="1">
      <x:c r="A115" s="55"/>
      <x:c r="B115" s="55"/>
      <x:c r="C115" s="55"/>
      <x:c r="D115" s="55"/>
      <x:c r="E115" s="56"/>
      <x:c r="F115" s="55"/>
      <x:c r="G115" s="55"/>
      <x:c r="H115" s="55"/>
      <x:c r="I115" s="55"/>
      <x:c r="J115" s="55"/>
      <x:c r="K115" s="57"/>
      <x:c r="L115" s="56"/>
      <x:c r="M115" s="55"/>
      <x:c r="N115" s="55"/>
      <x:c r="O115" s="56"/>
      <x:c r="P115" s="55"/>
    </x:row>
    <x:row r="116" ht="28" customHeight="1">
      <x:c r="A116" s="55"/>
      <x:c r="B116" s="55"/>
      <x:c r="C116" s="55"/>
      <x:c r="D116" s="55"/>
      <x:c r="E116" s="56"/>
      <x:c r="F116" s="55"/>
      <x:c r="G116" s="55"/>
      <x:c r="H116" s="55"/>
      <x:c r="I116" s="55"/>
      <x:c r="J116" s="55"/>
      <x:c r="K116" s="57"/>
      <x:c r="L116" s="56"/>
      <x:c r="M116" s="55"/>
      <x:c r="N116" s="55"/>
      <x:c r="O116" s="56"/>
      <x:c r="P116" s="55"/>
    </x:row>
    <x:row r="117" ht="28" customHeight="1">
      <x:c r="A117" s="55"/>
      <x:c r="B117" s="55"/>
      <x:c r="C117" s="55"/>
      <x:c r="D117" s="55"/>
      <x:c r="E117" s="56"/>
      <x:c r="F117" s="55"/>
      <x:c r="G117" s="55"/>
      <x:c r="H117" s="55"/>
      <x:c r="I117" s="55"/>
      <x:c r="J117" s="55"/>
      <x:c r="K117" s="57"/>
      <x:c r="L117" s="56"/>
      <x:c r="M117" s="55"/>
      <x:c r="N117" s="55"/>
      <x:c r="O117" s="56"/>
      <x:c r="P117" s="55"/>
    </x:row>
    <x:row r="118" ht="28" customHeight="1">
      <x:c r="A118" s="55"/>
      <x:c r="B118" s="55"/>
      <x:c r="C118" s="55"/>
      <x:c r="D118" s="55"/>
      <x:c r="E118" s="56"/>
      <x:c r="F118" s="55"/>
      <x:c r="G118" s="55"/>
      <x:c r="H118" s="55"/>
      <x:c r="I118" s="55"/>
      <x:c r="J118" s="55"/>
      <x:c r="K118" s="57"/>
      <x:c r="L118" s="56"/>
      <x:c r="M118" s="55"/>
      <x:c r="N118" s="55"/>
      <x:c r="O118" s="56"/>
      <x:c r="P118" s="55"/>
    </x:row>
    <x:row r="119" ht="28" customHeight="1">
      <x:c r="A119" s="55"/>
      <x:c r="B119" s="55"/>
      <x:c r="C119" s="55"/>
      <x:c r="D119" s="55"/>
      <x:c r="E119" s="56"/>
      <x:c r="F119" s="55"/>
      <x:c r="G119" s="55"/>
      <x:c r="H119" s="55"/>
      <x:c r="I119" s="55"/>
      <x:c r="J119" s="55"/>
      <x:c r="K119" s="57"/>
      <x:c r="L119" s="56"/>
      <x:c r="M119" s="55"/>
      <x:c r="N119" s="55"/>
      <x:c r="O119" s="56"/>
      <x:c r="P119" s="55"/>
    </x:row>
    <x:row r="120" ht="28" customHeight="1">
      <x:c r="A120" s="55"/>
      <x:c r="B120" s="55"/>
      <x:c r="C120" s="55"/>
      <x:c r="D120" s="55"/>
      <x:c r="E120" s="56"/>
      <x:c r="F120" s="55"/>
      <x:c r="G120" s="55"/>
      <x:c r="H120" s="55"/>
      <x:c r="I120" s="55"/>
      <x:c r="J120" s="55"/>
      <x:c r="K120" s="57"/>
      <x:c r="L120" s="56"/>
      <x:c r="M120" s="55"/>
      <x:c r="N120" s="55"/>
      <x:c r="O120" s="56"/>
      <x:c r="P120" s="55"/>
    </x:row>
    <x:row r="121" ht="28" customHeight="1">
      <x:c r="A121" s="55"/>
      <x:c r="B121" s="55"/>
      <x:c r="C121" s="55"/>
      <x:c r="D121" s="55"/>
      <x:c r="E121" s="56"/>
      <x:c r="F121" s="55"/>
      <x:c r="G121" s="55"/>
      <x:c r="H121" s="55"/>
      <x:c r="I121" s="55"/>
      <x:c r="J121" s="55"/>
      <x:c r="K121" s="57"/>
      <x:c r="L121" s="56"/>
      <x:c r="M121" s="55"/>
      <x:c r="N121" s="55"/>
      <x:c r="O121" s="56"/>
      <x:c r="P121" s="55"/>
    </x:row>
    <x:row r="122" ht="28" customHeight="1">
      <x:c r="A122" s="55"/>
      <x:c r="B122" s="55"/>
      <x:c r="C122" s="55"/>
      <x:c r="D122" s="55"/>
      <x:c r="E122" s="56"/>
      <x:c r="F122" s="55"/>
      <x:c r="G122" s="55"/>
      <x:c r="H122" s="55"/>
      <x:c r="I122" s="55"/>
      <x:c r="J122" s="55"/>
      <x:c r="K122" s="57"/>
      <x:c r="L122" s="56"/>
      <x:c r="M122" s="55"/>
      <x:c r="N122" s="55"/>
      <x:c r="O122" s="56"/>
      <x:c r="P122" s="55"/>
    </x:row>
    <x:row r="123" ht="28" customHeight="1">
      <x:c r="A123" s="55"/>
      <x:c r="B123" s="55"/>
      <x:c r="C123" s="55"/>
      <x:c r="D123" s="55"/>
      <x:c r="E123" s="56"/>
      <x:c r="F123" s="55"/>
      <x:c r="G123" s="55"/>
      <x:c r="H123" s="55"/>
      <x:c r="I123" s="55"/>
      <x:c r="J123" s="55"/>
      <x:c r="K123" s="57"/>
      <x:c r="L123" s="56"/>
      <x:c r="M123" s="55"/>
      <x:c r="N123" s="55"/>
      <x:c r="O123" s="56"/>
      <x:c r="P123" s="55"/>
    </x:row>
    <x:row r="124" ht="28" customHeight="1">
      <x:c r="A124" s="55"/>
      <x:c r="B124" s="55"/>
      <x:c r="C124" s="55"/>
      <x:c r="D124" s="55"/>
      <x:c r="E124" s="56"/>
      <x:c r="F124" s="55"/>
      <x:c r="G124" s="55"/>
      <x:c r="H124" s="55"/>
      <x:c r="I124" s="55"/>
      <x:c r="J124" s="55"/>
      <x:c r="K124" s="57"/>
      <x:c r="L124" s="56"/>
      <x:c r="M124" s="55"/>
      <x:c r="N124" s="55"/>
      <x:c r="O124" s="56"/>
      <x:c r="P124" s="55"/>
    </x:row>
    <x:row r="125" ht="28" customHeight="1">
      <x:c r="A125" s="55"/>
      <x:c r="B125" s="55"/>
      <x:c r="C125" s="55"/>
      <x:c r="D125" s="55"/>
      <x:c r="E125" s="56"/>
      <x:c r="F125" s="55"/>
      <x:c r="G125" s="55"/>
      <x:c r="H125" s="55"/>
      <x:c r="I125" s="55"/>
      <x:c r="J125" s="55"/>
      <x:c r="K125" s="57"/>
      <x:c r="L125" s="56"/>
      <x:c r="M125" s="55"/>
      <x:c r="N125" s="55"/>
      <x:c r="O125" s="56"/>
      <x:c r="P125" s="55"/>
    </x:row>
    <x:row r="126" ht="28" customHeight="1">
      <x:c r="A126" s="55"/>
      <x:c r="B126" s="55"/>
      <x:c r="C126" s="55"/>
      <x:c r="D126" s="55"/>
      <x:c r="E126" s="56"/>
      <x:c r="F126" s="55"/>
      <x:c r="G126" s="55"/>
      <x:c r="H126" s="55"/>
      <x:c r="I126" s="55"/>
      <x:c r="J126" s="55"/>
      <x:c r="K126" s="57"/>
      <x:c r="L126" s="56"/>
      <x:c r="M126" s="55"/>
      <x:c r="N126" s="55"/>
      <x:c r="O126" s="56"/>
      <x:c r="P126" s="55"/>
    </x:row>
    <x:row r="127" ht="28" customHeight="1">
      <x:c r="A127" s="55"/>
      <x:c r="B127" s="55"/>
      <x:c r="C127" s="55"/>
      <x:c r="D127" s="55"/>
      <x:c r="E127" s="56"/>
      <x:c r="F127" s="55"/>
      <x:c r="G127" s="55"/>
      <x:c r="H127" s="55"/>
      <x:c r="I127" s="55"/>
      <x:c r="J127" s="55"/>
      <x:c r="K127" s="57"/>
      <x:c r="L127" s="56"/>
      <x:c r="M127" s="55"/>
      <x:c r="N127" s="55"/>
      <x:c r="O127" s="56"/>
      <x:c r="P127" s="55"/>
    </x:row>
    <x:row r="128" ht="28" customHeight="1">
      <x:c r="A128" s="55"/>
      <x:c r="B128" s="55"/>
      <x:c r="C128" s="55"/>
      <x:c r="D128" s="55"/>
      <x:c r="E128" s="56"/>
      <x:c r="F128" s="55"/>
      <x:c r="G128" s="55"/>
      <x:c r="H128" s="55"/>
      <x:c r="I128" s="55"/>
      <x:c r="J128" s="55"/>
      <x:c r="K128" s="57"/>
      <x:c r="L128" s="56"/>
      <x:c r="M128" s="55"/>
      <x:c r="N128" s="55"/>
      <x:c r="O128" s="56"/>
      <x:c r="P128" s="55"/>
    </x:row>
    <x:row r="129" ht="28" customHeight="1">
      <x:c r="A129" s="55"/>
      <x:c r="B129" s="55"/>
      <x:c r="C129" s="55"/>
      <x:c r="D129" s="55"/>
      <x:c r="E129" s="56"/>
      <x:c r="F129" s="55"/>
      <x:c r="G129" s="55"/>
      <x:c r="H129" s="55"/>
      <x:c r="I129" s="55"/>
      <x:c r="J129" s="55"/>
      <x:c r="K129" s="57"/>
      <x:c r="L129" s="56"/>
      <x:c r="M129" s="55"/>
      <x:c r="N129" s="55"/>
      <x:c r="O129" s="56"/>
      <x:c r="P129" s="55"/>
    </x:row>
    <x:row r="130" ht="28" customHeight="1">
      <x:c r="A130" s="55"/>
      <x:c r="B130" s="55"/>
      <x:c r="C130" s="55"/>
      <x:c r="D130" s="55"/>
      <x:c r="E130" s="56"/>
      <x:c r="F130" s="55"/>
      <x:c r="G130" s="55"/>
      <x:c r="H130" s="55"/>
      <x:c r="I130" s="55"/>
      <x:c r="J130" s="55"/>
      <x:c r="K130" s="57"/>
      <x:c r="L130" s="56"/>
      <x:c r="M130" s="55"/>
      <x:c r="N130" s="55"/>
      <x:c r="O130" s="56"/>
      <x:c r="P130" s="55"/>
    </x:row>
    <x:row r="131" ht="28" customHeight="1">
      <x:c r="A131" s="55"/>
      <x:c r="B131" s="55"/>
      <x:c r="C131" s="55"/>
      <x:c r="D131" s="55"/>
      <x:c r="E131" s="56"/>
      <x:c r="F131" s="55"/>
      <x:c r="G131" s="55"/>
      <x:c r="H131" s="55"/>
      <x:c r="I131" s="55"/>
      <x:c r="J131" s="55"/>
      <x:c r="K131" s="57"/>
      <x:c r="L131" s="56"/>
      <x:c r="M131" s="55"/>
      <x:c r="N131" s="55"/>
      <x:c r="O131" s="56"/>
      <x:c r="P131" s="55"/>
    </x:row>
    <x:row r="132" ht="28" customHeight="1">
      <x:c r="A132" s="55"/>
      <x:c r="B132" s="55"/>
      <x:c r="C132" s="55"/>
      <x:c r="D132" s="55"/>
      <x:c r="E132" s="56"/>
      <x:c r="F132" s="55"/>
      <x:c r="G132" s="55"/>
      <x:c r="H132" s="55"/>
      <x:c r="I132" s="55"/>
      <x:c r="J132" s="55"/>
      <x:c r="K132" s="57"/>
      <x:c r="L132" s="56"/>
      <x:c r="M132" s="55"/>
      <x:c r="N132" s="55"/>
      <x:c r="O132" s="56"/>
      <x:c r="P132" s="55"/>
    </x:row>
    <x:row r="133" ht="28" customHeight="1">
      <x:c r="A133" s="55"/>
      <x:c r="B133" s="55"/>
      <x:c r="C133" s="55"/>
      <x:c r="D133" s="55"/>
      <x:c r="E133" s="56"/>
      <x:c r="F133" s="55"/>
      <x:c r="G133" s="55"/>
      <x:c r="H133" s="55"/>
      <x:c r="I133" s="55"/>
      <x:c r="J133" s="55"/>
      <x:c r="K133" s="57"/>
      <x:c r="L133" s="56"/>
      <x:c r="M133" s="55"/>
      <x:c r="N133" s="55"/>
      <x:c r="O133" s="56"/>
      <x:c r="P133" s="55"/>
    </x:row>
    <x:row r="134" ht="28" customHeight="1">
      <x:c r="A134" s="55"/>
      <x:c r="B134" s="55"/>
      <x:c r="C134" s="55"/>
      <x:c r="D134" s="55"/>
      <x:c r="E134" s="56"/>
      <x:c r="F134" s="55"/>
      <x:c r="G134" s="55"/>
      <x:c r="H134" s="55"/>
      <x:c r="I134" s="55"/>
      <x:c r="J134" s="55"/>
      <x:c r="K134" s="57"/>
      <x:c r="L134" s="56"/>
      <x:c r="M134" s="55"/>
      <x:c r="N134" s="55"/>
      <x:c r="O134" s="56"/>
      <x:c r="P134" s="55"/>
    </x:row>
    <x:row r="135" ht="28" customHeight="1">
      <x:c r="A135" s="55"/>
      <x:c r="B135" s="55"/>
      <x:c r="C135" s="55"/>
      <x:c r="D135" s="55"/>
      <x:c r="E135" s="56"/>
      <x:c r="F135" s="55"/>
      <x:c r="G135" s="55"/>
      <x:c r="H135" s="55"/>
      <x:c r="I135" s="55"/>
      <x:c r="J135" s="55"/>
      <x:c r="K135" s="57"/>
      <x:c r="L135" s="56"/>
      <x:c r="M135" s="55"/>
      <x:c r="N135" s="55"/>
      <x:c r="O135" s="56"/>
      <x:c r="P135" s="55"/>
    </x:row>
    <x:row r="136" ht="28" customHeight="1">
      <x:c r="A136" s="55"/>
      <x:c r="B136" s="55"/>
      <x:c r="C136" s="55"/>
      <x:c r="D136" s="55"/>
      <x:c r="E136" s="56"/>
      <x:c r="F136" s="55"/>
      <x:c r="G136" s="55"/>
      <x:c r="H136" s="55"/>
      <x:c r="I136" s="55"/>
      <x:c r="J136" s="55"/>
      <x:c r="K136" s="57"/>
      <x:c r="L136" s="56"/>
      <x:c r="M136" s="55"/>
      <x:c r="N136" s="55"/>
      <x:c r="O136" s="56"/>
      <x:c r="P136" s="55"/>
    </x:row>
    <x:row r="137" ht="28" customHeight="1">
      <x:c r="A137" s="55"/>
      <x:c r="B137" s="55"/>
      <x:c r="C137" s="55"/>
      <x:c r="D137" s="55"/>
      <x:c r="E137" s="56"/>
      <x:c r="F137" s="55"/>
      <x:c r="G137" s="55"/>
      <x:c r="H137" s="55"/>
      <x:c r="I137" s="55"/>
      <x:c r="J137" s="55"/>
      <x:c r="K137" s="57"/>
      <x:c r="L137" s="56"/>
      <x:c r="M137" s="55"/>
      <x:c r="N137" s="55"/>
      <x:c r="O137" s="56"/>
      <x:c r="P137" s="55"/>
    </x:row>
    <x:row r="138" ht="28" customHeight="1">
      <x:c r="A138" s="55"/>
      <x:c r="B138" s="55"/>
      <x:c r="C138" s="55"/>
      <x:c r="D138" s="55"/>
      <x:c r="E138" s="56"/>
      <x:c r="F138" s="55"/>
      <x:c r="G138" s="55"/>
      <x:c r="H138" s="55"/>
      <x:c r="I138" s="55"/>
      <x:c r="J138" s="55"/>
      <x:c r="K138" s="57"/>
      <x:c r="L138" s="56"/>
      <x:c r="M138" s="55"/>
      <x:c r="N138" s="55"/>
      <x:c r="O138" s="56"/>
      <x:c r="P138" s="55"/>
    </x:row>
    <x:row r="139" ht="28" customHeight="1">
      <x:c r="A139" s="55"/>
      <x:c r="B139" s="55"/>
      <x:c r="C139" s="55"/>
      <x:c r="D139" s="55"/>
      <x:c r="E139" s="56"/>
      <x:c r="F139" s="55"/>
      <x:c r="G139" s="55"/>
      <x:c r="H139" s="55"/>
      <x:c r="I139" s="55"/>
      <x:c r="J139" s="55"/>
      <x:c r="K139" s="57"/>
      <x:c r="L139" s="56"/>
      <x:c r="M139" s="55"/>
      <x:c r="N139" s="55"/>
      <x:c r="O139" s="56"/>
      <x:c r="P139" s="55"/>
    </x:row>
    <x:row r="140" ht="28" customHeight="1">
      <x:c r="A140" s="55"/>
      <x:c r="B140" s="55"/>
      <x:c r="C140" s="55"/>
      <x:c r="D140" s="55"/>
      <x:c r="E140" s="56"/>
      <x:c r="F140" s="55"/>
      <x:c r="G140" s="55"/>
      <x:c r="H140" s="55"/>
      <x:c r="I140" s="55"/>
      <x:c r="J140" s="55"/>
      <x:c r="K140" s="57"/>
      <x:c r="L140" s="56"/>
      <x:c r="M140" s="55"/>
      <x:c r="N140" s="55"/>
      <x:c r="O140" s="56"/>
      <x:c r="P140" s="55"/>
    </x:row>
    <x:row r="141" ht="28" customHeight="1">
      <x:c r="A141" s="55"/>
      <x:c r="B141" s="55"/>
      <x:c r="C141" s="55"/>
      <x:c r="D141" s="55"/>
      <x:c r="E141" s="56"/>
      <x:c r="F141" s="55"/>
      <x:c r="G141" s="55"/>
      <x:c r="H141" s="55"/>
      <x:c r="I141" s="55"/>
      <x:c r="J141" s="55"/>
      <x:c r="K141" s="57"/>
      <x:c r="L141" s="56"/>
      <x:c r="M141" s="55"/>
      <x:c r="N141" s="55"/>
      <x:c r="O141" s="56"/>
      <x:c r="P141" s="55"/>
    </x:row>
    <x:row r="142" ht="28" customHeight="1">
      <x:c r="A142" s="55"/>
      <x:c r="B142" s="55"/>
      <x:c r="C142" s="55"/>
      <x:c r="D142" s="55"/>
      <x:c r="E142" s="56"/>
      <x:c r="F142" s="55"/>
      <x:c r="G142" s="55"/>
      <x:c r="H142" s="55"/>
      <x:c r="I142" s="55"/>
      <x:c r="J142" s="55"/>
      <x:c r="K142" s="57"/>
      <x:c r="L142" s="56"/>
      <x:c r="M142" s="55"/>
      <x:c r="N142" s="55"/>
      <x:c r="O142" s="56"/>
      <x:c r="P142" s="55"/>
    </x:row>
    <x:row r="143" ht="28" customHeight="1">
      <x:c r="A143" s="55"/>
      <x:c r="B143" s="55"/>
      <x:c r="C143" s="55"/>
      <x:c r="D143" s="55"/>
      <x:c r="E143" s="56"/>
      <x:c r="F143" s="55"/>
      <x:c r="G143" s="55"/>
      <x:c r="H143" s="55"/>
      <x:c r="I143" s="55"/>
      <x:c r="J143" s="55"/>
      <x:c r="K143" s="57"/>
      <x:c r="L143" s="56"/>
      <x:c r="M143" s="55"/>
      <x:c r="N143" s="55"/>
      <x:c r="O143" s="56"/>
      <x:c r="P143" s="55"/>
    </x:row>
    <x:row r="144" ht="28" customHeight="1">
      <x:c r="A144" s="55"/>
      <x:c r="B144" s="55"/>
      <x:c r="C144" s="55"/>
      <x:c r="D144" s="55"/>
      <x:c r="E144" s="56"/>
      <x:c r="F144" s="55"/>
      <x:c r="G144" s="55"/>
      <x:c r="H144" s="55"/>
      <x:c r="I144" s="55"/>
      <x:c r="J144" s="55"/>
      <x:c r="K144" s="57"/>
      <x:c r="L144" s="56"/>
      <x:c r="M144" s="55"/>
      <x:c r="N144" s="55"/>
      <x:c r="O144" s="56"/>
      <x:c r="P144" s="55"/>
    </x:row>
    <x:row r="145" ht="28" customHeight="1">
      <x:c r="A145" s="55"/>
      <x:c r="B145" s="55"/>
      <x:c r="C145" s="55"/>
      <x:c r="D145" s="55"/>
      <x:c r="E145" s="56"/>
      <x:c r="F145" s="55"/>
      <x:c r="G145" s="55"/>
      <x:c r="H145" s="55"/>
      <x:c r="I145" s="55"/>
      <x:c r="J145" s="55"/>
      <x:c r="K145" s="57"/>
      <x:c r="L145" s="56"/>
      <x:c r="M145" s="55"/>
      <x:c r="N145" s="55"/>
      <x:c r="O145" s="56"/>
      <x:c r="P145" s="55"/>
    </x:row>
    <x:row r="146" ht="28" customHeight="1">
      <x:c r="A146" s="55"/>
      <x:c r="B146" s="55"/>
      <x:c r="C146" s="55"/>
      <x:c r="D146" s="55"/>
      <x:c r="E146" s="56"/>
      <x:c r="F146" s="55"/>
      <x:c r="G146" s="55"/>
      <x:c r="H146" s="55"/>
      <x:c r="I146" s="55"/>
      <x:c r="J146" s="55"/>
      <x:c r="K146" s="57"/>
      <x:c r="L146" s="56"/>
      <x:c r="M146" s="55"/>
      <x:c r="N146" s="55"/>
      <x:c r="O146" s="56"/>
      <x:c r="P146" s="55"/>
    </x:row>
    <x:row r="147" ht="28" customHeight="1">
      <x:c r="A147" s="55"/>
      <x:c r="B147" s="55"/>
      <x:c r="C147" s="55"/>
      <x:c r="D147" s="55"/>
      <x:c r="E147" s="56"/>
      <x:c r="F147" s="55"/>
      <x:c r="G147" s="55"/>
      <x:c r="H147" s="55"/>
      <x:c r="I147" s="55"/>
      <x:c r="J147" s="55"/>
      <x:c r="K147" s="57"/>
      <x:c r="L147" s="56"/>
      <x:c r="M147" s="55"/>
      <x:c r="N147" s="55"/>
      <x:c r="O147" s="56"/>
      <x:c r="P147" s="55"/>
    </x:row>
    <x:row r="148" ht="28" customHeight="1">
      <x:c r="A148" s="55"/>
      <x:c r="B148" s="55"/>
      <x:c r="C148" s="55"/>
      <x:c r="D148" s="55"/>
      <x:c r="E148" s="56"/>
      <x:c r="F148" s="55"/>
      <x:c r="G148" s="55"/>
      <x:c r="H148" s="55"/>
      <x:c r="I148" s="55"/>
      <x:c r="J148" s="55"/>
      <x:c r="K148" s="57"/>
      <x:c r="L148" s="56"/>
      <x:c r="M148" s="55"/>
      <x:c r="N148" s="55"/>
      <x:c r="O148" s="56"/>
      <x:c r="P148" s="55"/>
    </x:row>
    <x:row r="149" ht="28" customHeight="1">
      <x:c r="A149" s="55"/>
      <x:c r="B149" s="55"/>
      <x:c r="C149" s="55"/>
      <x:c r="D149" s="55"/>
      <x:c r="E149" s="56"/>
      <x:c r="F149" s="55"/>
      <x:c r="G149" s="55"/>
      <x:c r="H149" s="55"/>
      <x:c r="I149" s="55"/>
      <x:c r="J149" s="55"/>
      <x:c r="K149" s="57"/>
      <x:c r="L149" s="56"/>
      <x:c r="M149" s="55"/>
      <x:c r="N149" s="55"/>
      <x:c r="O149" s="56"/>
      <x:c r="P149" s="55"/>
    </x:row>
    <x:row r="150" ht="28" customHeight="1">
      <x:c r="A150" s="55"/>
      <x:c r="B150" s="55"/>
      <x:c r="C150" s="55"/>
      <x:c r="D150" s="55"/>
      <x:c r="E150" s="56"/>
      <x:c r="F150" s="55"/>
      <x:c r="G150" s="55"/>
      <x:c r="H150" s="55"/>
      <x:c r="I150" s="55"/>
      <x:c r="J150" s="55"/>
      <x:c r="K150" s="57"/>
      <x:c r="L150" s="56"/>
      <x:c r="M150" s="55"/>
      <x:c r="N150" s="55"/>
      <x:c r="O150" s="56"/>
      <x:c r="P150" s="55"/>
    </x:row>
    <x:row r="151" ht="28" customHeight="1">
      <x:c r="A151" s="55"/>
      <x:c r="B151" s="55"/>
      <x:c r="C151" s="55"/>
      <x:c r="D151" s="55"/>
      <x:c r="E151" s="56"/>
      <x:c r="F151" s="55"/>
      <x:c r="G151" s="55"/>
      <x:c r="H151" s="55"/>
      <x:c r="I151" s="55"/>
      <x:c r="J151" s="55"/>
      <x:c r="K151" s="57"/>
      <x:c r="L151" s="56"/>
      <x:c r="M151" s="55"/>
      <x:c r="N151" s="55"/>
      <x:c r="O151" s="56"/>
      <x:c r="P151" s="55"/>
    </x:row>
    <x:row r="152" ht="28" customHeight="1">
      <x:c r="A152" s="55"/>
      <x:c r="B152" s="55"/>
      <x:c r="C152" s="55"/>
      <x:c r="D152" s="55"/>
      <x:c r="E152" s="56"/>
      <x:c r="F152" s="55"/>
      <x:c r="G152" s="55"/>
      <x:c r="H152" s="55"/>
      <x:c r="I152" s="55"/>
      <x:c r="J152" s="55"/>
      <x:c r="K152" s="57"/>
      <x:c r="L152" s="56"/>
      <x:c r="M152" s="55"/>
      <x:c r="N152" s="55"/>
      <x:c r="O152" s="56"/>
      <x:c r="P152" s="55"/>
    </x:row>
    <x:row r="153" ht="28" customHeight="1">
      <x:c r="A153" s="55"/>
      <x:c r="B153" s="55"/>
      <x:c r="C153" s="55"/>
      <x:c r="D153" s="55"/>
      <x:c r="E153" s="56"/>
      <x:c r="F153" s="55"/>
      <x:c r="G153" s="55"/>
      <x:c r="H153" s="55"/>
      <x:c r="I153" s="55"/>
      <x:c r="J153" s="55"/>
      <x:c r="K153" s="57"/>
      <x:c r="L153" s="56"/>
      <x:c r="M153" s="55"/>
      <x:c r="N153" s="55"/>
      <x:c r="O153" s="56"/>
      <x:c r="P153" s="55"/>
    </x:row>
    <x:row r="154" ht="28" customHeight="1">
      <x:c r="A154" s="55"/>
      <x:c r="B154" s="55"/>
      <x:c r="C154" s="55"/>
      <x:c r="D154" s="55"/>
      <x:c r="E154" s="56"/>
      <x:c r="F154" s="55"/>
      <x:c r="G154" s="55"/>
      <x:c r="H154" s="55"/>
      <x:c r="I154" s="55"/>
      <x:c r="J154" s="55"/>
      <x:c r="K154" s="57"/>
      <x:c r="L154" s="56"/>
      <x:c r="M154" s="55"/>
      <x:c r="N154" s="55"/>
      <x:c r="O154" s="56"/>
      <x:c r="P154" s="55"/>
    </x:row>
    <x:row r="155" ht="28" customHeight="1">
      <x:c r="A155" s="55"/>
      <x:c r="B155" s="55"/>
      <x:c r="C155" s="55"/>
      <x:c r="D155" s="55"/>
      <x:c r="E155" s="56"/>
      <x:c r="F155" s="55"/>
      <x:c r="G155" s="55"/>
      <x:c r="H155" s="55"/>
      <x:c r="I155" s="55"/>
      <x:c r="J155" s="55"/>
      <x:c r="K155" s="57"/>
      <x:c r="L155" s="56"/>
      <x:c r="M155" s="55"/>
      <x:c r="N155" s="55"/>
      <x:c r="O155" s="56"/>
      <x:c r="P155" s="55"/>
    </x:row>
    <x:row r="156" ht="28" customHeight="1">
      <x:c r="A156" s="55"/>
      <x:c r="B156" s="55"/>
      <x:c r="C156" s="55"/>
      <x:c r="D156" s="55"/>
      <x:c r="E156" s="56"/>
      <x:c r="F156" s="55"/>
      <x:c r="G156" s="55"/>
      <x:c r="H156" s="55"/>
      <x:c r="I156" s="55"/>
      <x:c r="J156" s="55"/>
      <x:c r="K156" s="57"/>
      <x:c r="L156" s="56"/>
      <x:c r="M156" s="55"/>
      <x:c r="N156" s="55"/>
      <x:c r="O156" s="56"/>
      <x:c r="P156" s="55"/>
    </x:row>
    <x:row r="157" ht="28" customHeight="1">
      <x:c r="A157" s="55"/>
      <x:c r="B157" s="55"/>
      <x:c r="C157" s="55"/>
      <x:c r="D157" s="55"/>
      <x:c r="E157" s="56"/>
      <x:c r="F157" s="55"/>
      <x:c r="G157" s="55"/>
      <x:c r="H157" s="55"/>
      <x:c r="I157" s="55"/>
      <x:c r="J157" s="55"/>
      <x:c r="K157" s="57"/>
      <x:c r="L157" s="56"/>
      <x:c r="M157" s="55"/>
      <x:c r="N157" s="55"/>
      <x:c r="O157" s="56"/>
      <x:c r="P157" s="55"/>
    </x:row>
    <x:row r="158" ht="28" customHeight="1">
      <x:c r="A158" s="55"/>
      <x:c r="B158" s="55"/>
      <x:c r="C158" s="55"/>
      <x:c r="D158" s="55"/>
      <x:c r="E158" s="56"/>
      <x:c r="F158" s="55"/>
      <x:c r="G158" s="55"/>
      <x:c r="H158" s="55"/>
      <x:c r="I158" s="55"/>
      <x:c r="J158" s="55"/>
      <x:c r="K158" s="57"/>
      <x:c r="L158" s="56"/>
      <x:c r="M158" s="55"/>
      <x:c r="N158" s="55"/>
      <x:c r="O158" s="56"/>
      <x:c r="P158" s="55"/>
    </x:row>
    <x:row r="159" ht="28" customHeight="1">
      <x:c r="A159" s="55"/>
      <x:c r="B159" s="55"/>
      <x:c r="C159" s="55"/>
      <x:c r="D159" s="55"/>
      <x:c r="E159" s="56"/>
      <x:c r="F159" s="55"/>
      <x:c r="G159" s="55"/>
      <x:c r="H159" s="55"/>
      <x:c r="I159" s="55"/>
      <x:c r="J159" s="55"/>
      <x:c r="K159" s="57"/>
      <x:c r="L159" s="56"/>
      <x:c r="M159" s="55"/>
      <x:c r="N159" s="55"/>
      <x:c r="O159" s="56"/>
      <x:c r="P159" s="55"/>
    </x:row>
    <x:row r="160" ht="28" customHeight="1">
      <x:c r="A160" s="55"/>
      <x:c r="B160" s="55"/>
      <x:c r="C160" s="55"/>
      <x:c r="D160" s="55"/>
      <x:c r="E160" s="56"/>
      <x:c r="F160" s="55"/>
      <x:c r="G160" s="55"/>
      <x:c r="H160" s="55"/>
      <x:c r="I160" s="55"/>
      <x:c r="J160" s="55"/>
      <x:c r="K160" s="57"/>
      <x:c r="L160" s="56"/>
      <x:c r="M160" s="55"/>
      <x:c r="N160" s="55"/>
      <x:c r="O160" s="56"/>
      <x:c r="P160" s="55"/>
    </x:row>
    <x:row r="161" ht="28" customHeight="1">
      <x:c r="A161" s="55"/>
      <x:c r="B161" s="55"/>
      <x:c r="C161" s="55"/>
      <x:c r="D161" s="55"/>
      <x:c r="E161" s="56"/>
      <x:c r="F161" s="55"/>
      <x:c r="G161" s="55"/>
      <x:c r="H161" s="55"/>
      <x:c r="I161" s="55"/>
      <x:c r="J161" s="55"/>
      <x:c r="K161" s="57"/>
      <x:c r="L161" s="56"/>
      <x:c r="M161" s="55"/>
      <x:c r="N161" s="55"/>
      <x:c r="O161" s="56"/>
      <x:c r="P161" s="55"/>
    </x:row>
    <x:row r="162" ht="28" customHeight="1">
      <x:c r="A162" s="55"/>
      <x:c r="B162" s="55"/>
      <x:c r="C162" s="55"/>
      <x:c r="D162" s="55"/>
      <x:c r="E162" s="56"/>
      <x:c r="F162" s="55"/>
      <x:c r="G162" s="55"/>
      <x:c r="H162" s="55"/>
      <x:c r="I162" s="55"/>
      <x:c r="J162" s="55"/>
      <x:c r="K162" s="57"/>
      <x:c r="L162" s="56"/>
      <x:c r="M162" s="55"/>
      <x:c r="N162" s="55"/>
      <x:c r="O162" s="56"/>
      <x:c r="P162" s="55"/>
    </x:row>
    <x:row r="163" ht="28" customHeight="1">
      <x:c r="A163" s="55"/>
      <x:c r="B163" s="55"/>
      <x:c r="C163" s="55"/>
      <x:c r="D163" s="55"/>
      <x:c r="E163" s="56"/>
      <x:c r="F163" s="55"/>
      <x:c r="G163" s="55"/>
      <x:c r="H163" s="55"/>
      <x:c r="I163" s="55"/>
      <x:c r="J163" s="55"/>
      <x:c r="K163" s="57"/>
      <x:c r="L163" s="56"/>
      <x:c r="M163" s="55"/>
      <x:c r="N163" s="55"/>
      <x:c r="O163" s="56"/>
      <x:c r="P163" s="55"/>
    </x:row>
    <x:row r="164" ht="28" customHeight="1">
      <x:c r="A164" s="55"/>
      <x:c r="B164" s="55"/>
      <x:c r="C164" s="55"/>
      <x:c r="D164" s="55"/>
      <x:c r="E164" s="56"/>
      <x:c r="F164" s="55"/>
      <x:c r="G164" s="55"/>
      <x:c r="H164" s="55"/>
      <x:c r="I164" s="55"/>
      <x:c r="J164" s="55"/>
      <x:c r="K164" s="57"/>
      <x:c r="L164" s="56"/>
      <x:c r="M164" s="55"/>
      <x:c r="N164" s="55"/>
      <x:c r="O164" s="56"/>
      <x:c r="P164" s="55"/>
    </x:row>
    <x:row r="165" ht="28" customHeight="1">
      <x:c r="A165" s="55"/>
      <x:c r="B165" s="55"/>
      <x:c r="C165" s="55"/>
      <x:c r="D165" s="55"/>
      <x:c r="E165" s="56"/>
      <x:c r="F165" s="55"/>
      <x:c r="G165" s="55"/>
      <x:c r="H165" s="55"/>
      <x:c r="I165" s="55"/>
      <x:c r="J165" s="55"/>
      <x:c r="K165" s="57"/>
      <x:c r="L165" s="56"/>
      <x:c r="M165" s="55"/>
      <x:c r="N165" s="55"/>
      <x:c r="O165" s="56"/>
      <x:c r="P165" s="55"/>
    </x:row>
    <x:row r="166" ht="28" customHeight="1">
      <x:c r="A166" s="55"/>
      <x:c r="B166" s="55"/>
      <x:c r="C166" s="55"/>
      <x:c r="D166" s="55"/>
      <x:c r="E166" s="56"/>
      <x:c r="F166" s="55"/>
      <x:c r="G166" s="55"/>
      <x:c r="H166" s="55"/>
      <x:c r="I166" s="55"/>
      <x:c r="J166" s="55"/>
      <x:c r="K166" s="57"/>
      <x:c r="L166" s="56"/>
      <x:c r="M166" s="55"/>
      <x:c r="N166" s="55"/>
      <x:c r="O166" s="56"/>
      <x:c r="P166" s="55"/>
    </x:row>
    <x:row r="167" ht="28" customHeight="1">
      <x:c r="A167" s="55"/>
      <x:c r="B167" s="55"/>
      <x:c r="C167" s="55"/>
      <x:c r="D167" s="55"/>
      <x:c r="E167" s="56"/>
      <x:c r="F167" s="55"/>
      <x:c r="G167" s="55"/>
      <x:c r="H167" s="55"/>
      <x:c r="I167" s="55"/>
      <x:c r="J167" s="55"/>
      <x:c r="K167" s="57"/>
      <x:c r="L167" s="56"/>
      <x:c r="M167" s="55"/>
      <x:c r="N167" s="55"/>
      <x:c r="O167" s="56"/>
      <x:c r="P167" s="55"/>
    </x:row>
    <x:row r="168" ht="28" customHeight="1">
      <x:c r="A168" s="55"/>
      <x:c r="B168" s="55"/>
      <x:c r="C168" s="55"/>
      <x:c r="D168" s="55"/>
      <x:c r="E168" s="56"/>
      <x:c r="F168" s="55"/>
      <x:c r="G168" s="55"/>
      <x:c r="H168" s="55"/>
      <x:c r="I168" s="55"/>
      <x:c r="J168" s="55"/>
      <x:c r="K168" s="57"/>
      <x:c r="L168" s="56"/>
      <x:c r="M168" s="55"/>
      <x:c r="N168" s="55"/>
      <x:c r="O168" s="56"/>
      <x:c r="P168" s="55"/>
    </x:row>
    <x:row r="169" ht="28" customHeight="1">
      <x:c r="A169" s="55"/>
      <x:c r="B169" s="55"/>
      <x:c r="C169" s="55"/>
      <x:c r="D169" s="55"/>
      <x:c r="E169" s="56"/>
      <x:c r="F169" s="55"/>
      <x:c r="G169" s="55"/>
      <x:c r="H169" s="55"/>
      <x:c r="I169" s="55"/>
      <x:c r="J169" s="55"/>
      <x:c r="K169" s="57"/>
      <x:c r="L169" s="56"/>
      <x:c r="M169" s="55"/>
      <x:c r="N169" s="55"/>
      <x:c r="O169" s="56"/>
      <x:c r="P169" s="55"/>
    </x:row>
    <x:row r="170" ht="28" customHeight="1">
      <x:c r="A170" s="55"/>
      <x:c r="B170" s="55"/>
      <x:c r="C170" s="55"/>
      <x:c r="D170" s="55"/>
      <x:c r="E170" s="56"/>
      <x:c r="F170" s="55"/>
      <x:c r="G170" s="55"/>
      <x:c r="H170" s="55"/>
      <x:c r="I170" s="55"/>
      <x:c r="J170" s="55"/>
      <x:c r="K170" s="57"/>
      <x:c r="L170" s="56"/>
      <x:c r="M170" s="55"/>
      <x:c r="N170" s="55"/>
      <x:c r="O170" s="56"/>
      <x:c r="P170" s="55"/>
    </x:row>
    <x:row r="171" ht="28" customHeight="1">
      <x:c r="A171" s="55"/>
      <x:c r="B171" s="55"/>
      <x:c r="C171" s="55"/>
      <x:c r="D171" s="55"/>
      <x:c r="E171" s="56"/>
      <x:c r="F171" s="55"/>
      <x:c r="G171" s="55"/>
      <x:c r="H171" s="55"/>
      <x:c r="I171" s="55"/>
      <x:c r="J171" s="55"/>
      <x:c r="K171" s="57"/>
      <x:c r="L171" s="56"/>
      <x:c r="M171" s="55"/>
      <x:c r="N171" s="55"/>
      <x:c r="O171" s="56"/>
      <x:c r="P171" s="55"/>
    </x:row>
    <x:row r="172" ht="28" customHeight="1">
      <x:c r="A172" s="55"/>
      <x:c r="B172" s="55"/>
      <x:c r="C172" s="55"/>
      <x:c r="D172" s="55"/>
      <x:c r="E172" s="56"/>
      <x:c r="F172" s="55"/>
      <x:c r="G172" s="55"/>
      <x:c r="H172" s="55"/>
      <x:c r="I172" s="55"/>
      <x:c r="J172" s="55"/>
      <x:c r="K172" s="57"/>
      <x:c r="L172" s="56"/>
      <x:c r="M172" s="55"/>
      <x:c r="N172" s="55"/>
      <x:c r="O172" s="56"/>
      <x:c r="P172" s="55"/>
    </x:row>
    <x:row r="173" ht="28" customHeight="1">
      <x:c r="A173" s="55"/>
      <x:c r="B173" s="55"/>
      <x:c r="C173" s="55"/>
      <x:c r="D173" s="55"/>
      <x:c r="E173" s="56"/>
      <x:c r="F173" s="55"/>
      <x:c r="G173" s="55"/>
      <x:c r="H173" s="55"/>
      <x:c r="I173" s="55"/>
      <x:c r="J173" s="55"/>
      <x:c r="K173" s="57"/>
      <x:c r="L173" s="56"/>
      <x:c r="M173" s="55"/>
      <x:c r="N173" s="55"/>
      <x:c r="O173" s="56"/>
      <x:c r="P173" s="55"/>
    </x:row>
    <x:row r="174" ht="28" customHeight="1">
      <x:c r="A174" s="55"/>
      <x:c r="B174" s="55"/>
      <x:c r="C174" s="55"/>
      <x:c r="D174" s="55"/>
      <x:c r="E174" s="56"/>
      <x:c r="F174" s="55"/>
      <x:c r="G174" s="55"/>
      <x:c r="H174" s="55"/>
      <x:c r="I174" s="55"/>
      <x:c r="J174" s="55"/>
      <x:c r="K174" s="57"/>
      <x:c r="L174" s="56"/>
      <x:c r="M174" s="55"/>
      <x:c r="N174" s="55"/>
      <x:c r="O174" s="56"/>
      <x:c r="P174" s="55"/>
    </x:row>
    <x:row r="175" ht="28" customHeight="1">
      <x:c r="A175" s="55"/>
      <x:c r="B175" s="55"/>
      <x:c r="C175" s="55"/>
      <x:c r="D175" s="55"/>
      <x:c r="E175" s="56"/>
      <x:c r="F175" s="55"/>
      <x:c r="G175" s="55"/>
      <x:c r="H175" s="55"/>
      <x:c r="I175" s="55"/>
      <x:c r="J175" s="55"/>
      <x:c r="K175" s="57"/>
      <x:c r="L175" s="56"/>
      <x:c r="M175" s="55"/>
      <x:c r="N175" s="55"/>
      <x:c r="O175" s="56"/>
      <x:c r="P175" s="55"/>
    </x:row>
    <x:row r="176" ht="28" customHeight="1">
      <x:c r="A176" s="55"/>
      <x:c r="B176" s="55"/>
      <x:c r="C176" s="55"/>
      <x:c r="D176" s="55"/>
      <x:c r="E176" s="56"/>
      <x:c r="F176" s="55"/>
      <x:c r="G176" s="55"/>
      <x:c r="H176" s="55"/>
      <x:c r="I176" s="55"/>
      <x:c r="J176" s="55"/>
      <x:c r="K176" s="57"/>
      <x:c r="L176" s="56"/>
      <x:c r="M176" s="55"/>
      <x:c r="N176" s="55"/>
      <x:c r="O176" s="56"/>
      <x:c r="P176" s="55"/>
    </x:row>
    <x:row r="177" ht="28" customHeight="1">
      <x:c r="A177" s="55"/>
      <x:c r="B177" s="55"/>
      <x:c r="C177" s="55"/>
      <x:c r="D177" s="55"/>
      <x:c r="E177" s="56"/>
      <x:c r="F177" s="55"/>
      <x:c r="G177" s="55"/>
      <x:c r="H177" s="55"/>
      <x:c r="I177" s="55"/>
      <x:c r="J177" s="55"/>
      <x:c r="K177" s="57"/>
      <x:c r="L177" s="56"/>
      <x:c r="M177" s="55"/>
      <x:c r="N177" s="55"/>
      <x:c r="O177" s="56"/>
      <x:c r="P177" s="55"/>
    </x:row>
    <x:row r="178" ht="28" customHeight="1">
      <x:c r="A178" s="55"/>
      <x:c r="B178" s="55"/>
      <x:c r="C178" s="55"/>
      <x:c r="D178" s="55"/>
      <x:c r="E178" s="56"/>
      <x:c r="F178" s="55"/>
      <x:c r="G178" s="55"/>
      <x:c r="H178" s="55"/>
      <x:c r="I178" s="55"/>
      <x:c r="J178" s="55"/>
      <x:c r="K178" s="57"/>
      <x:c r="L178" s="56"/>
      <x:c r="M178" s="55"/>
      <x:c r="N178" s="55"/>
      <x:c r="O178" s="56"/>
      <x:c r="P178" s="55"/>
    </x:row>
    <x:row r="179" ht="28" customHeight="1">
      <x:c r="A179" s="55"/>
      <x:c r="B179" s="55"/>
      <x:c r="C179" s="55"/>
      <x:c r="D179" s="55"/>
      <x:c r="E179" s="56"/>
      <x:c r="F179" s="55"/>
      <x:c r="G179" s="55"/>
      <x:c r="H179" s="55"/>
      <x:c r="I179" s="55"/>
      <x:c r="J179" s="55"/>
      <x:c r="K179" s="57"/>
      <x:c r="L179" s="56"/>
      <x:c r="M179" s="55"/>
      <x:c r="N179" s="55"/>
      <x:c r="O179" s="56"/>
      <x:c r="P179" s="55"/>
    </x:row>
    <x:row r="180" ht="28" customHeight="1">
      <x:c r="A180" s="55"/>
      <x:c r="B180" s="55"/>
      <x:c r="C180" s="55"/>
      <x:c r="D180" s="55"/>
      <x:c r="E180" s="56"/>
      <x:c r="F180" s="55"/>
      <x:c r="G180" s="55"/>
      <x:c r="H180" s="55"/>
      <x:c r="I180" s="55"/>
      <x:c r="J180" s="55"/>
      <x:c r="K180" s="57"/>
      <x:c r="L180" s="56"/>
      <x:c r="M180" s="55"/>
      <x:c r="N180" s="55"/>
      <x:c r="O180" s="56"/>
      <x:c r="P180" s="55"/>
    </x:row>
    <x:row r="181" ht="28" customHeight="1">
      <x:c r="A181" s="55"/>
      <x:c r="B181" s="55"/>
      <x:c r="C181" s="55"/>
      <x:c r="D181" s="55"/>
      <x:c r="E181" s="56"/>
      <x:c r="F181" s="55"/>
      <x:c r="G181" s="55"/>
      <x:c r="H181" s="55"/>
      <x:c r="I181" s="55"/>
      <x:c r="J181" s="55"/>
      <x:c r="K181" s="57"/>
      <x:c r="L181" s="56"/>
      <x:c r="M181" s="55"/>
      <x:c r="N181" s="55"/>
      <x:c r="O181" s="56"/>
      <x:c r="P181" s="55"/>
    </x:row>
    <x:row r="182" ht="28" customHeight="1">
      <x:c r="A182" s="55"/>
      <x:c r="B182" s="55"/>
      <x:c r="C182" s="55"/>
      <x:c r="D182" s="55"/>
      <x:c r="E182" s="56"/>
      <x:c r="F182" s="55"/>
      <x:c r="G182" s="55"/>
      <x:c r="H182" s="55"/>
      <x:c r="I182" s="55"/>
      <x:c r="J182" s="55"/>
      <x:c r="K182" s="57"/>
      <x:c r="L182" s="56"/>
      <x:c r="M182" s="55"/>
      <x:c r="N182" s="55"/>
      <x:c r="O182" s="56"/>
      <x:c r="P182" s="55"/>
    </x:row>
    <x:row r="183" ht="28" customHeight="1">
      <x:c r="A183" s="55"/>
      <x:c r="B183" s="55"/>
      <x:c r="C183" s="55"/>
      <x:c r="D183" s="55"/>
      <x:c r="E183" s="56"/>
      <x:c r="F183" s="55"/>
      <x:c r="G183" s="55"/>
      <x:c r="H183" s="55"/>
      <x:c r="I183" s="55"/>
      <x:c r="J183" s="55"/>
      <x:c r="K183" s="57"/>
      <x:c r="L183" s="56"/>
      <x:c r="M183" s="55"/>
      <x:c r="N183" s="55"/>
      <x:c r="O183" s="56"/>
      <x:c r="P183" s="55"/>
    </x:row>
    <x:row r="184" ht="28" customHeight="1">
      <x:c r="A184" s="55"/>
      <x:c r="B184" s="55"/>
      <x:c r="C184" s="55"/>
      <x:c r="D184" s="55"/>
      <x:c r="E184" s="56"/>
      <x:c r="F184" s="55"/>
      <x:c r="G184" s="55"/>
      <x:c r="H184" s="55"/>
      <x:c r="I184" s="55"/>
      <x:c r="J184" s="55"/>
      <x:c r="K184" s="57"/>
      <x:c r="L184" s="56"/>
      <x:c r="M184" s="55"/>
      <x:c r="N184" s="55"/>
      <x:c r="O184" s="56"/>
      <x:c r="P184" s="55"/>
    </x:row>
    <x:row r="185" ht="28" customHeight="1">
      <x:c r="A185" s="55"/>
      <x:c r="B185" s="55"/>
      <x:c r="C185" s="55"/>
      <x:c r="D185" s="55"/>
      <x:c r="E185" s="56"/>
      <x:c r="F185" s="55"/>
      <x:c r="G185" s="55"/>
      <x:c r="H185" s="55"/>
      <x:c r="I185" s="55"/>
      <x:c r="J185" s="55"/>
      <x:c r="K185" s="57"/>
      <x:c r="L185" s="56"/>
      <x:c r="M185" s="55"/>
      <x:c r="N185" s="55"/>
      <x:c r="O185" s="56"/>
      <x:c r="P185" s="55"/>
    </x:row>
    <x:row r="186" ht="28" customHeight="1">
      <x:c r="A186" s="55"/>
      <x:c r="B186" s="55"/>
      <x:c r="C186" s="55"/>
      <x:c r="D186" s="55"/>
      <x:c r="E186" s="56"/>
      <x:c r="F186" s="55"/>
      <x:c r="G186" s="55"/>
      <x:c r="H186" s="55"/>
      <x:c r="I186" s="55"/>
      <x:c r="J186" s="55"/>
      <x:c r="K186" s="57"/>
      <x:c r="L186" s="56"/>
      <x:c r="M186" s="55"/>
      <x:c r="N186" s="55"/>
      <x:c r="O186" s="56"/>
      <x:c r="P186" s="55"/>
    </x:row>
    <x:row r="187" ht="28" customHeight="1">
      <x:c r="A187" s="55"/>
      <x:c r="B187" s="55"/>
      <x:c r="C187" s="55"/>
      <x:c r="D187" s="55"/>
      <x:c r="E187" s="56"/>
      <x:c r="F187" s="55"/>
      <x:c r="G187" s="55"/>
      <x:c r="H187" s="55"/>
      <x:c r="I187" s="55"/>
      <x:c r="J187" s="55"/>
      <x:c r="K187" s="57"/>
      <x:c r="L187" s="56"/>
      <x:c r="M187" s="55"/>
      <x:c r="N187" s="55"/>
      <x:c r="O187" s="56"/>
      <x:c r="P187" s="55"/>
    </x:row>
    <x:row r="188" ht="28" customHeight="1">
      <x:c r="A188" s="55"/>
      <x:c r="B188" s="55"/>
      <x:c r="C188" s="55"/>
      <x:c r="D188" s="55"/>
      <x:c r="E188" s="56"/>
      <x:c r="F188" s="55"/>
      <x:c r="G188" s="55"/>
      <x:c r="H188" s="55"/>
      <x:c r="I188" s="55"/>
      <x:c r="J188" s="55"/>
      <x:c r="K188" s="57"/>
      <x:c r="L188" s="56"/>
      <x:c r="M188" s="55"/>
      <x:c r="N188" s="55"/>
      <x:c r="O188" s="56"/>
      <x:c r="P188" s="55"/>
    </x:row>
    <x:row r="189" ht="28" customHeight="1">
      <x:c r="A189" s="55"/>
      <x:c r="B189" s="55"/>
      <x:c r="C189" s="55"/>
      <x:c r="D189" s="55"/>
      <x:c r="E189" s="56"/>
      <x:c r="F189" s="55"/>
      <x:c r="G189" s="55"/>
      <x:c r="H189" s="55"/>
      <x:c r="I189" s="55"/>
      <x:c r="J189" s="55"/>
      <x:c r="K189" s="57"/>
      <x:c r="L189" s="56"/>
      <x:c r="M189" s="55"/>
      <x:c r="N189" s="55"/>
      <x:c r="O189" s="56"/>
      <x:c r="P189" s="55"/>
    </x:row>
    <x:row r="190" ht="28" customHeight="1">
      <x:c r="A190" s="55"/>
      <x:c r="B190" s="55"/>
      <x:c r="C190" s="55"/>
      <x:c r="D190" s="55"/>
      <x:c r="E190" s="56"/>
      <x:c r="F190" s="55"/>
      <x:c r="G190" s="55"/>
      <x:c r="H190" s="55"/>
      <x:c r="I190" s="55"/>
      <x:c r="J190" s="55"/>
      <x:c r="K190" s="57"/>
      <x:c r="L190" s="56"/>
      <x:c r="M190" s="55"/>
      <x:c r="N190" s="55"/>
      <x:c r="O190" s="56"/>
      <x:c r="P190" s="55"/>
    </x:row>
    <x:row r="191" ht="28" customHeight="1">
      <x:c r="A191" s="55"/>
      <x:c r="B191" s="55"/>
      <x:c r="C191" s="55"/>
      <x:c r="D191" s="55"/>
      <x:c r="E191" s="56"/>
      <x:c r="F191" s="55"/>
      <x:c r="G191" s="55"/>
      <x:c r="H191" s="55"/>
      <x:c r="I191" s="55"/>
      <x:c r="J191" s="55"/>
      <x:c r="K191" s="57"/>
      <x:c r="L191" s="56"/>
      <x:c r="M191" s="55"/>
      <x:c r="N191" s="55"/>
      <x:c r="O191" s="56"/>
      <x:c r="P191" s="55"/>
    </x:row>
    <x:row r="192" ht="28" customHeight="1">
      <x:c r="A192" s="55"/>
      <x:c r="B192" s="55"/>
      <x:c r="C192" s="55"/>
      <x:c r="D192" s="55"/>
      <x:c r="E192" s="56"/>
      <x:c r="F192" s="55"/>
      <x:c r="G192" s="55"/>
      <x:c r="H192" s="55"/>
      <x:c r="I192" s="55"/>
      <x:c r="J192" s="55"/>
      <x:c r="K192" s="57"/>
      <x:c r="L192" s="56"/>
      <x:c r="M192" s="55"/>
      <x:c r="N192" s="55"/>
      <x:c r="O192" s="56"/>
      <x:c r="P192" s="55"/>
    </x:row>
    <x:row r="193" ht="28" customHeight="1">
      <x:c r="A193" s="55"/>
      <x:c r="B193" s="55"/>
      <x:c r="C193" s="55"/>
      <x:c r="D193" s="55"/>
      <x:c r="E193" s="56"/>
      <x:c r="F193" s="55"/>
      <x:c r="G193" s="55"/>
      <x:c r="H193" s="55"/>
      <x:c r="I193" s="55"/>
      <x:c r="J193" s="55"/>
      <x:c r="K193" s="57"/>
      <x:c r="L193" s="56"/>
      <x:c r="M193" s="55"/>
      <x:c r="N193" s="55"/>
      <x:c r="O193" s="56"/>
      <x:c r="P193" s="55"/>
    </x:row>
    <x:row r="194" ht="28" customHeight="1">
      <x:c r="A194" s="55"/>
      <x:c r="B194" s="55"/>
      <x:c r="C194" s="55"/>
      <x:c r="D194" s="55"/>
      <x:c r="E194" s="56"/>
      <x:c r="F194" s="55"/>
      <x:c r="G194" s="55"/>
      <x:c r="H194" s="55"/>
      <x:c r="I194" s="55"/>
      <x:c r="J194" s="55"/>
      <x:c r="K194" s="57"/>
      <x:c r="L194" s="56"/>
      <x:c r="M194" s="55"/>
      <x:c r="N194" s="55"/>
      <x:c r="O194" s="56"/>
      <x:c r="P194" s="55"/>
    </x:row>
    <x:row r="195" ht="28" customHeight="1">
      <x:c r="A195" s="55"/>
      <x:c r="B195" s="55"/>
      <x:c r="C195" s="55"/>
      <x:c r="D195" s="55"/>
      <x:c r="E195" s="56"/>
      <x:c r="F195" s="55"/>
      <x:c r="G195" s="55"/>
      <x:c r="H195" s="55"/>
      <x:c r="I195" s="55"/>
      <x:c r="J195" s="55"/>
      <x:c r="K195" s="57"/>
      <x:c r="L195" s="56"/>
      <x:c r="M195" s="55"/>
      <x:c r="N195" s="55"/>
      <x:c r="O195" s="56"/>
      <x:c r="P195" s="55"/>
    </x:row>
    <x:row r="196" ht="28" customHeight="1">
      <x:c r="A196" s="55"/>
      <x:c r="B196" s="55"/>
      <x:c r="C196" s="55"/>
      <x:c r="D196" s="55"/>
      <x:c r="E196" s="56"/>
      <x:c r="F196" s="55"/>
      <x:c r="G196" s="55"/>
      <x:c r="H196" s="55"/>
      <x:c r="I196" s="55"/>
      <x:c r="J196" s="55"/>
      <x:c r="K196" s="57"/>
      <x:c r="L196" s="56"/>
      <x:c r="M196" s="55"/>
      <x:c r="N196" s="55"/>
      <x:c r="O196" s="56"/>
      <x:c r="P196" s="55"/>
    </x:row>
    <x:row r="197" ht="28" customHeight="1">
      <x:c r="A197" s="55"/>
      <x:c r="B197" s="55"/>
      <x:c r="C197" s="55"/>
      <x:c r="D197" s="55"/>
      <x:c r="E197" s="56"/>
      <x:c r="F197" s="55"/>
      <x:c r="G197" s="55"/>
      <x:c r="H197" s="55"/>
      <x:c r="I197" s="55"/>
      <x:c r="J197" s="55"/>
      <x:c r="K197" s="57"/>
      <x:c r="L197" s="56"/>
      <x:c r="M197" s="55"/>
      <x:c r="N197" s="55"/>
      <x:c r="O197" s="56"/>
      <x:c r="P197" s="55"/>
    </x:row>
    <x:row r="198" ht="28" customHeight="1">
      <x:c r="A198" s="55"/>
      <x:c r="B198" s="55"/>
      <x:c r="C198" s="55"/>
      <x:c r="D198" s="55"/>
      <x:c r="E198" s="56"/>
      <x:c r="F198" s="55"/>
      <x:c r="G198" s="55"/>
      <x:c r="H198" s="55"/>
      <x:c r="I198" s="55"/>
      <x:c r="J198" s="55"/>
      <x:c r="K198" s="57"/>
      <x:c r="L198" s="56"/>
      <x:c r="M198" s="55"/>
      <x:c r="N198" s="55"/>
      <x:c r="O198" s="56"/>
      <x:c r="P198" s="55"/>
    </x:row>
    <x:row r="199" ht="28" customHeight="1">
      <x:c r="A199" s="55"/>
      <x:c r="B199" s="55"/>
      <x:c r="C199" s="55"/>
      <x:c r="D199" s="55"/>
      <x:c r="E199" s="56"/>
      <x:c r="F199" s="55"/>
      <x:c r="G199" s="55"/>
      <x:c r="H199" s="55"/>
      <x:c r="I199" s="55"/>
      <x:c r="J199" s="55"/>
      <x:c r="K199" s="57"/>
      <x:c r="L199" s="56"/>
      <x:c r="M199" s="55"/>
      <x:c r="N199" s="55"/>
      <x:c r="O199" s="56"/>
      <x:c r="P199" s="55"/>
    </x:row>
    <x:row r="200" ht="28" customHeight="1">
      <x:c r="A200" s="55"/>
      <x:c r="B200" s="55"/>
      <x:c r="C200" s="55"/>
      <x:c r="D200" s="55"/>
      <x:c r="E200" s="56"/>
      <x:c r="F200" s="55"/>
      <x:c r="G200" s="55"/>
      <x:c r="H200" s="55"/>
      <x:c r="I200" s="55"/>
      <x:c r="J200" s="55"/>
      <x:c r="K200" s="57"/>
      <x:c r="L200" s="56"/>
      <x:c r="M200" s="55"/>
      <x:c r="N200" s="55"/>
      <x:c r="O200" s="56"/>
      <x:c r="P200" s="55"/>
    </x:row>
    <x:row r="201" ht="28" customHeight="1">
      <x:c r="A201" s="55"/>
      <x:c r="B201" s="55"/>
      <x:c r="C201" s="55"/>
      <x:c r="D201" s="55"/>
      <x:c r="E201" s="56"/>
      <x:c r="F201" s="55"/>
      <x:c r="G201" s="55"/>
      <x:c r="H201" s="55"/>
      <x:c r="I201" s="55"/>
      <x:c r="J201" s="55"/>
      <x:c r="K201" s="57"/>
      <x:c r="L201" s="56"/>
      <x:c r="M201" s="55"/>
      <x:c r="N201" s="55"/>
      <x:c r="O201" s="56"/>
      <x:c r="P201" s="55"/>
    </x:row>
    <x:row r="202" ht="28" customHeight="1">
      <x:c r="A202" s="55"/>
      <x:c r="B202" s="55"/>
      <x:c r="C202" s="55"/>
      <x:c r="D202" s="55"/>
      <x:c r="E202" s="56"/>
      <x:c r="F202" s="55"/>
      <x:c r="G202" s="55"/>
      <x:c r="H202" s="55"/>
      <x:c r="I202" s="55"/>
      <x:c r="J202" s="55"/>
      <x:c r="K202" s="57"/>
      <x:c r="L202" s="56"/>
      <x:c r="M202" s="55"/>
      <x:c r="N202" s="55"/>
      <x:c r="O202" s="56"/>
      <x:c r="P202" s="55"/>
    </x:row>
    <x:row r="203" ht="28" customHeight="1">
      <x:c r="A203" s="55"/>
      <x:c r="B203" s="55"/>
      <x:c r="C203" s="55"/>
      <x:c r="D203" s="55"/>
      <x:c r="E203" s="56"/>
      <x:c r="F203" s="55"/>
      <x:c r="G203" s="55"/>
      <x:c r="H203" s="55"/>
      <x:c r="I203" s="55"/>
      <x:c r="J203" s="55"/>
      <x:c r="K203" s="57"/>
      <x:c r="L203" s="56"/>
      <x:c r="M203" s="55"/>
      <x:c r="N203" s="55"/>
      <x:c r="O203" s="56"/>
      <x:c r="P203" s="55"/>
    </x:row>
    <x:row r="204" ht="28" customHeight="1">
      <x:c r="A204" s="55"/>
      <x:c r="B204" s="55"/>
      <x:c r="C204" s="55"/>
      <x:c r="D204" s="55"/>
      <x:c r="E204" s="56"/>
      <x:c r="F204" s="55"/>
      <x:c r="G204" s="55"/>
      <x:c r="H204" s="55"/>
      <x:c r="I204" s="55"/>
      <x:c r="J204" s="55"/>
      <x:c r="K204" s="57"/>
      <x:c r="L204" s="56"/>
      <x:c r="M204" s="55"/>
      <x:c r="N204" s="55"/>
      <x:c r="O204" s="56"/>
      <x:c r="P204" s="55"/>
    </x:row>
    <x:row r="205" ht="28" customHeight="1">
      <x:c r="A205" s="55"/>
      <x:c r="B205" s="55"/>
      <x:c r="C205" s="55"/>
      <x:c r="D205" s="55"/>
      <x:c r="E205" s="56"/>
      <x:c r="F205" s="55"/>
      <x:c r="G205" s="55"/>
      <x:c r="H205" s="55"/>
      <x:c r="I205" s="55"/>
      <x:c r="J205" s="55"/>
      <x:c r="K205" s="57"/>
      <x:c r="L205" s="56"/>
      <x:c r="M205" s="55"/>
      <x:c r="N205" s="55"/>
      <x:c r="O205" s="56"/>
      <x:c r="P205" s="55"/>
    </x:row>
    <x:row r="206" ht="28" customHeight="1">
      <x:c r="A206" s="55"/>
      <x:c r="B206" s="55"/>
      <x:c r="C206" s="55"/>
      <x:c r="D206" s="55"/>
      <x:c r="E206" s="56"/>
      <x:c r="F206" s="55"/>
      <x:c r="G206" s="55"/>
      <x:c r="H206" s="55"/>
      <x:c r="I206" s="55"/>
      <x:c r="J206" s="55"/>
      <x:c r="K206" s="57"/>
      <x:c r="L206" s="56"/>
      <x:c r="M206" s="55"/>
      <x:c r="N206" s="55"/>
      <x:c r="O206" s="56"/>
      <x:c r="P206" s="55"/>
    </x:row>
    <x:row r="207" ht="28" customHeight="1">
      <x:c r="A207" s="55"/>
      <x:c r="B207" s="55"/>
      <x:c r="C207" s="55"/>
      <x:c r="D207" s="55"/>
      <x:c r="E207" s="56"/>
      <x:c r="F207" s="55"/>
      <x:c r="G207" s="55"/>
      <x:c r="H207" s="55"/>
      <x:c r="I207" s="55"/>
      <x:c r="J207" s="55"/>
      <x:c r="K207" s="57"/>
      <x:c r="L207" s="56"/>
      <x:c r="M207" s="55"/>
      <x:c r="N207" s="55"/>
      <x:c r="O207" s="56"/>
      <x:c r="P207" s="55"/>
    </x:row>
    <x:row r="208" ht="28" customHeight="1">
      <x:c r="A208" s="55"/>
      <x:c r="B208" s="55"/>
      <x:c r="C208" s="55"/>
      <x:c r="D208" s="55"/>
      <x:c r="E208" s="56"/>
      <x:c r="F208" s="55"/>
      <x:c r="G208" s="55"/>
      <x:c r="H208" s="55"/>
      <x:c r="I208" s="55"/>
      <x:c r="J208" s="55"/>
      <x:c r="K208" s="57"/>
      <x:c r="L208" s="56"/>
      <x:c r="M208" s="55"/>
      <x:c r="N208" s="55"/>
      <x:c r="O208" s="56"/>
      <x:c r="P208" s="55"/>
    </x:row>
    <x:row r="209" ht="28" customHeight="1">
      <x:c r="A209" s="55"/>
      <x:c r="B209" s="55"/>
      <x:c r="C209" s="55"/>
      <x:c r="D209" s="55"/>
      <x:c r="E209" s="56"/>
      <x:c r="F209" s="55"/>
      <x:c r="G209" s="55"/>
      <x:c r="H209" s="55"/>
      <x:c r="I209" s="55"/>
      <x:c r="J209" s="55"/>
      <x:c r="K209" s="57"/>
      <x:c r="L209" s="56"/>
      <x:c r="M209" s="55"/>
      <x:c r="N209" s="55"/>
      <x:c r="O209" s="56"/>
      <x:c r="P209" s="55"/>
    </x:row>
    <x:row r="210" ht="28" customHeight="1">
      <x:c r="A210" s="55"/>
      <x:c r="B210" s="55"/>
      <x:c r="C210" s="55"/>
      <x:c r="D210" s="55"/>
      <x:c r="E210" s="56"/>
      <x:c r="F210" s="55"/>
      <x:c r="G210" s="55"/>
      <x:c r="H210" s="55"/>
      <x:c r="I210" s="55"/>
      <x:c r="J210" s="55"/>
      <x:c r="K210" s="57"/>
      <x:c r="L210" s="56"/>
      <x:c r="M210" s="55"/>
      <x:c r="N210" s="55"/>
      <x:c r="O210" s="56"/>
      <x:c r="P210" s="55"/>
    </x:row>
    <x:row r="211" ht="28" customHeight="1">
      <x:c r="A211" s="55"/>
      <x:c r="B211" s="55"/>
      <x:c r="C211" s="55"/>
      <x:c r="D211" s="55"/>
      <x:c r="E211" s="56"/>
      <x:c r="F211" s="55"/>
      <x:c r="G211" s="55"/>
      <x:c r="H211" s="55"/>
      <x:c r="I211" s="55"/>
      <x:c r="J211" s="55"/>
      <x:c r="K211" s="57"/>
      <x:c r="L211" s="56"/>
      <x:c r="M211" s="55"/>
      <x:c r="N211" s="55"/>
      <x:c r="O211" s="56"/>
      <x:c r="P211" s="55"/>
    </x:row>
    <x:row r="212" ht="28" customHeight="1">
      <x:c r="A212" s="55"/>
      <x:c r="B212" s="55"/>
      <x:c r="C212" s="55"/>
      <x:c r="D212" s="55"/>
      <x:c r="E212" s="56"/>
      <x:c r="F212" s="55"/>
      <x:c r="G212" s="55"/>
      <x:c r="H212" s="55"/>
      <x:c r="I212" s="55"/>
      <x:c r="J212" s="55"/>
      <x:c r="K212" s="57"/>
      <x:c r="L212" s="56"/>
      <x:c r="M212" s="55"/>
      <x:c r="N212" s="55"/>
      <x:c r="O212" s="56"/>
      <x:c r="P212" s="55"/>
    </x:row>
    <x:row r="213" ht="28" customHeight="1">
      <x:c r="A213" s="55"/>
      <x:c r="B213" s="55"/>
      <x:c r="C213" s="55"/>
      <x:c r="D213" s="55"/>
      <x:c r="E213" s="56"/>
      <x:c r="F213" s="55"/>
      <x:c r="G213" s="55"/>
      <x:c r="H213" s="55"/>
      <x:c r="I213" s="55"/>
      <x:c r="J213" s="55"/>
      <x:c r="K213" s="57"/>
      <x:c r="L213" s="56"/>
      <x:c r="M213" s="55"/>
      <x:c r="N213" s="55"/>
      <x:c r="O213" s="56"/>
      <x:c r="P213" s="55"/>
    </x:row>
    <x:row r="214" ht="28" customHeight="1">
      <x:c r="A214" s="55"/>
      <x:c r="B214" s="55"/>
      <x:c r="C214" s="55"/>
      <x:c r="D214" s="55"/>
      <x:c r="E214" s="56"/>
      <x:c r="F214" s="55"/>
      <x:c r="G214" s="55"/>
      <x:c r="H214" s="55"/>
      <x:c r="I214" s="55"/>
      <x:c r="J214" s="55"/>
      <x:c r="K214" s="57"/>
      <x:c r="L214" s="56"/>
      <x:c r="M214" s="55"/>
      <x:c r="N214" s="55"/>
      <x:c r="O214" s="56"/>
      <x:c r="P214" s="55"/>
    </x:row>
    <x:row r="215" ht="28" customHeight="1">
      <x:c r="A215" s="55"/>
      <x:c r="B215" s="55"/>
      <x:c r="C215" s="55"/>
      <x:c r="D215" s="55"/>
      <x:c r="E215" s="56"/>
      <x:c r="F215" s="55"/>
      <x:c r="G215" s="55"/>
      <x:c r="H215" s="55"/>
      <x:c r="I215" s="55"/>
      <x:c r="J215" s="55"/>
      <x:c r="K215" s="57"/>
      <x:c r="L215" s="56"/>
      <x:c r="M215" s="55"/>
      <x:c r="N215" s="55"/>
      <x:c r="O215" s="56"/>
      <x:c r="P215" s="55"/>
    </x:row>
    <x:row r="216" ht="28" customHeight="1">
      <x:c r="A216" s="55"/>
      <x:c r="B216" s="55"/>
      <x:c r="C216" s="55"/>
      <x:c r="D216" s="55"/>
      <x:c r="E216" s="56"/>
      <x:c r="F216" s="55"/>
      <x:c r="G216" s="55"/>
      <x:c r="H216" s="55"/>
      <x:c r="I216" s="55"/>
      <x:c r="J216" s="55"/>
      <x:c r="K216" s="57"/>
      <x:c r="L216" s="56"/>
      <x:c r="M216" s="55"/>
      <x:c r="N216" s="55"/>
      <x:c r="O216" s="56"/>
      <x:c r="P216" s="55"/>
    </x:row>
    <x:row r="224">
      <x:c r="A224"/>
    </x:row>
    <x:row r="225">
      <x:c r="A225"/>
    </x:row>
    <x:row r="227" ht="55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</x:row>
    <x:row r="228" ht="130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</x:row>
    <x:row r="229" ht="130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</x:row>
    <x:row r="230" ht="130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</x:row>
    <x:row r="231" ht="130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</x:row>
    <x:row r="232" ht="130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</x:row>
    <x:row r="233" ht="130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</x:row>
    <x:row r="234" ht="130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</x:row>
    <x:row r="235" ht="130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</x:row>
    <x:row r="236" ht="130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</x:row>
    <x:row r="237" ht="130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</x:row>
    <x:row r="238" ht="130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</x:row>
    <x:row r="239" ht="130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</x:row>
    <x:row r="240" ht="130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</x:row>
    <x:row r="241" ht="130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</x:row>
    <x:row r="242" ht="130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</x:row>
    <x:row r="243" ht="130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</x:row>
    <x:row r="244" ht="130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</x:row>
    <x:row r="245" ht="130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</x:row>
    <x:row r="246" ht="130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</x:row>
  </x:sheetData>
  <x:conditionalFormatting sqref="M17:M216">
    <x:cfRule type="expression" dxfId="0" priority="1">
      <x:formula>M17="Closed"</x:formula>
    </x:cfRule>
  </x:conditionalFormatting>
  <x:conditionalFormatting sqref="L17:L216">
    <x:cfRule type="expression" dxfId="30" priority="2">
      <x:formula>AND(ISNUMBER(L17),L17&lt;$B$5,$M17&lt;&gt;"Closed")</x:formula>
    </x:cfRule>
  </x:conditionalFormatting>
  <x:dataValidations count="4">
    <x:dataValidation type="list" sqref="B4">
      <x:formula1>INDIRECT("'Project Status &amp; EVM'!$A$17:$A$216")</x:formula1>
    </x:dataValidation>
    <x:dataValidation type="list" sqref="D17:D216">
      <x:formula1>"Monthly,Weekly,Daily"</x:formula1>
    </x:dataValidation>
    <x:dataValidation type="list" sqref="M17:M216">
      <x:formula1>"Awaiting decision,Under execution,Closed"</x:formula1>
    </x:dataValidation>
    <x:dataValidation type="list" sqref="A17:A216">
      <x:formula1>INDIRECT("'Project Status &amp; EVM'!$A$17:$A$216")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6305e2e1842f2"/>
  </x:tableParts>
</x:worksheet>
</file>

<file path=xl/worksheets/sheet2.xml><?xml version="1.0" encoding="utf-8"?>
<x:worksheet xmlns:x="http://schemas.openxmlformats.org/spreadsheetml/2006/main">
  <x:sheetPr>
    <x:tabColor rgb="FF527497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5" hidden="0" customWidth="1"/>
    <x:col min="4" max="4" width="22" hidden="0" customWidth="1"/>
    <x:col min="5" max="5" width="17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25" hidden="0" customWidth="1"/>
    <x:col min="20" max="20" width="46" hidden="0" customWidth="1"/>
    <x:col min="21" max="21" width="17" hidden="0" customWidth="1"/>
    <x:col min="22" max="22" width="17" hidden="0" customWidth="1"/>
    <x:col min="23" max="23" width="46" hidden="0" customWidth="1"/>
    <x:col min="24" max="24" width="17" hidden="0" customWidth="1"/>
    <x:col min="25" max="25" width="46" hidden="0" customWidth="1"/>
    <x:col min="26" max="26" width="25" hidden="0" customWidth="1"/>
    <x:col min="27" max="27" width="18" hidden="0" customWidth="1"/>
    <x:col min="28" max="28" width="46" hidden="0" customWidth="1"/>
    <x:col min="29" max="29" width="25" hidden="0" customWidth="1"/>
    <x:col min="30" max="30" width="18" hidden="0" customWidth="1"/>
    <x:col min="31" max="31" width="46" hidden="0" customWidth="1"/>
    <x:col min="32" max="32" width="25" hidden="0" customWidth="1"/>
    <x:col min="33" max="33" width="18" hidden="0" customWidth="1"/>
    <x:col min="34" max="34" width="46" hidden="0" customWidth="1"/>
    <x:col min="35" max="35" width="25" hidden="0" customWidth="1"/>
    <x:col min="36" max="36" width="18" hidden="0" customWidth="1"/>
    <x:col min="37" max="37" width="46" hidden="0" customWidth="1"/>
    <x:col min="38" max="38" width="25" hidden="0" customWidth="1"/>
    <x:col min="39" max="39" width="18" hidden="0" customWidth="1"/>
    <x:col min="40" max="40" width="17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18" hidden="0" customWidth="1"/>
    <x:col min="46" max="46" width="18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5" hidden="0" customWidth="1"/>
    <x:col min="53" max="53" width="46" hidden="0" customWidth="1"/>
    <x:col min="54" max="54" width="46" hidden="0" customWidth="1"/>
    <x:col min="55" max="55" width="46" hidden="0" customWidth="1"/>
    <x:col min="56" max="56" width="25" hidden="0" customWidth="1"/>
    <x:col min="57" max="57" width="17" hidden="0" customWidth="1"/>
    <x:col min="58" max="58" width="17" hidden="0" customWidth="1"/>
    <x:col min="59" max="59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</x:row>
    <x:row r="2" ht="30" customHeight="1">
      <x:c r="A2" s="4" t="str">
        <x:v>2. Project Status &amp; EVM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</x:row>
    <x:row r="4" ht="24" customHeight="1">
      <x:c r="A4" s="3" t="str">
        <x:v>Project registry</x:v>
      </x:c>
      <x:c r="B4" s="38" t="str">
        <x:v>One current row per project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</x:row>
    <x:row r="5" ht="24" customHeight="1">
      <x:c r="A5" s="3" t="str">
        <x:v>Review date</x:v>
      </x:c>
      <x:c r="B5" s="8" t="n">
        <x:v>46285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</x:row>
    <x:row r="11" ht="24" customHeight="1">
      <x:c r="A11" s="39" t="str">
        <x:v>FICTIONAL EVM inputs: ratios exercise over-budget, under-budget and on-budget cases. Unverified means not real project evidence.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</x:row>
    <x:row r="12" ht="24" customHeight="1">
      <x:c r="A12" s="3" t="str">
        <x:v>EAC = BAC / CPI assumes current cost performance continues. Schedule variance is value in INR lakh, not days.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</x:row>
    <x:row r="13" ht="24" customHeight="1">
      <x:c r="A13" s="3" t="str">
        <x:v>Goal month applies to Goals 1–5. Goal completion is a percentage. Leave unused goals blank. Keep reporting and EVM dates distinct.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</x:row>
    <x:row r="16" ht="54" customHeight="1">
      <x:c r="A16" s="13" t="str">
        <x:v>Project code</x:v>
      </x:c>
      <x:c r="B16" s="13" t="str">
        <x:v>Project name</x:v>
      </x:c>
      <x:c r="C16" s="13" t="str">
        <x:v>Sites / locations covered</x:v>
      </x:c>
      <x:c r="D16" s="13" t="str">
        <x:v>Project head</x:v>
      </x:c>
      <x:c r="E16" s="13" t="str">
        <x:v>Reporting date</x:v>
      </x:c>
      <x:c r="F16" s="13" t="str">
        <x:v>Contract value (INR lakh)</x:v>
      </x:c>
      <x:c r="G16" s="13" t="str">
        <x:v>Overall planned progress</x:v>
      </x:c>
      <x:c r="H16" s="13" t="str">
        <x:v>Overall actual progress</x:v>
      </x:c>
      <x:c r="I16" s="13" t="str">
        <x:v>Engineering planned progress</x:v>
      </x:c>
      <x:c r="J16" s="13" t="str">
        <x:v>Engineering actual progress</x:v>
      </x:c>
      <x:c r="K16" s="13" t="str">
        <x:v>Procurement planned progress</x:v>
      </x:c>
      <x:c r="L16" s="13" t="str">
        <x:v>Procurement actual progress</x:v>
      </x:c>
      <x:c r="M16" s="13" t="str">
        <x:v>Construction planned progress</x:v>
      </x:c>
      <x:c r="N16" s="13" t="str">
        <x:v>Construction actual progress</x:v>
      </x:c>
      <x:c r="O16" s="13" t="str">
        <x:v>Original contractual completion</x:v>
      </x:c>
      <x:c r="P16" s="13" t="str">
        <x:v>Latest approved completion</x:v>
      </x:c>
      <x:c r="Q16" s="13" t="str">
        <x:v>Forecast completion</x:v>
      </x:c>
      <x:c r="R16" s="13" t="str">
        <x:v>EOT requested up to</x:v>
      </x:c>
      <x:c r="S16" s="13" t="str">
        <x:v>EOT status</x:v>
      </x:c>
      <x:c r="T16" s="13" t="str">
        <x:v>Next critical milestone</x:v>
      </x:c>
      <x:c r="U16" s="13" t="str">
        <x:v>Milestone planned date</x:v>
      </x:c>
      <x:c r="V16" s="13" t="str">
        <x:v>Milestone forecast date</x:v>
      </x:c>
      <x:c r="W16" s="13" t="str">
        <x:v>Main reason for slippage</x:v>
      </x:c>
      <x:c r="X16" s="13" t="str">
        <x:v>Goal month</x:v>
      </x:c>
      <x:c r="Y16" s="13" t="str">
        <x:v>Project Goal 1</x:v>
      </x:c>
      <x:c r="Z16" s="13" t="str">
        <x:v>Goal 1 Status</x:v>
      </x:c>
      <x:c r="AA16" s="13" t="str">
        <x:v>Goal 1 Completion</x:v>
      </x:c>
      <x:c r="AB16" s="13" t="str">
        <x:v>Project Goal 2</x:v>
      </x:c>
      <x:c r="AC16" s="13" t="str">
        <x:v>Goal 2 Status</x:v>
      </x:c>
      <x:c r="AD16" s="13" t="str">
        <x:v>Goal 2 Completion</x:v>
      </x:c>
      <x:c r="AE16" s="13" t="str">
        <x:v>Project Goal 3</x:v>
      </x:c>
      <x:c r="AF16" s="13" t="str">
        <x:v>Goal 3 Status</x:v>
      </x:c>
      <x:c r="AG16" s="13" t="str">
        <x:v>Goal 3 Completion</x:v>
      </x:c>
      <x:c r="AH16" s="13" t="str">
        <x:v>Project Goal 4</x:v>
      </x:c>
      <x:c r="AI16" s="13" t="str">
        <x:v>Goal 4 Status</x:v>
      </x:c>
      <x:c r="AJ16" s="13" t="str">
        <x:v>Goal 4 Completion</x:v>
      </x:c>
      <x:c r="AK16" s="13" t="str">
        <x:v>Project Goal 5</x:v>
      </x:c>
      <x:c r="AL16" s="13" t="str">
        <x:v>Goal 5 Status</x:v>
      </x:c>
      <x:c r="AM16" s="13" t="str">
        <x:v>Goal 5 Completion</x:v>
      </x:c>
      <x:c r="AN16" s="13" t="str">
        <x:v>EVM reporting date</x:v>
      </x:c>
      <x:c r="AO16" s="13" t="str">
        <x:v>BAC approved cost budget (INR lakh)</x:v>
      </x:c>
      <x:c r="AP16" s="13" t="str">
        <x:v>PV planned value (INR lakh)</x:v>
      </x:c>
      <x:c r="AQ16" s="13" t="str">
        <x:v>EV earned value (INR lakh)</x:v>
      </x:c>
      <x:c r="AR16" s="13" t="str">
        <x:v>AC actual cost (INR lakh)</x:v>
      </x:c>
      <x:c r="AS16" s="13" t="str">
        <x:v>CPI cost performance index</x:v>
      </x:c>
      <x:c r="AT16" s="13" t="str">
        <x:v>SPI schedule performance index</x:v>
      </x:c>
      <x:c r="AU16" s="13" t="str">
        <x:v>Cost variance (INR lakh)</x:v>
      </x:c>
      <x:c r="AV16" s="13" t="str">
        <x:v>Schedule variance (INR lakh)</x:v>
      </x:c>
      <x:c r="AW16" s="13" t="str">
        <x:v>EAC forecast final cost (INR lakh)</x:v>
      </x:c>
      <x:c r="AX16" s="13" t="str">
        <x:v>ETC forecast remaining cost (INR lakh)</x:v>
      </x:c>
      <x:c r="AY16" s="13" t="str">
        <x:v>VAC budget less forecast cost (INR lakh)</x:v>
      </x:c>
      <x:c r="AZ16" s="13" t="str">
        <x:v>EVM validation status</x:v>
      </x:c>
      <x:c r="BA16" s="13" t="str">
        <x:v>Budget reference / EV measurement basis</x:v>
      </x:c>
      <x:c r="BB16" s="13" t="str">
        <x:v>Reason for EVM variance</x:v>
      </x:c>
      <x:c r="BC16" s="13" t="str">
        <x:v>EVM corrective action</x:v>
      </x:c>
      <x:c r="BD16" s="13" t="str">
        <x:v>EVM responsible owner</x:v>
      </x:c>
      <x:c r="BE16" s="13" t="str">
        <x:v>EVM action due date</x:v>
      </x:c>
      <x:c r="BF16" s="13" t="str">
        <x:v>Last updated</x:v>
      </x:c>
      <x:c r="BG16" s="13" t="str">
        <x:v>Source / entry notes</x:v>
      </x:c>
    </x:row>
    <x:row r="17" ht="115" customHeight="1">
      <x:c r="A17" s="55" t="str">
        <x:v>S25WRJ01</x:v>
      </x:c>
      <x:c r="B17" s="55" t="str">
        <x:v>Kekri Sarwar WSP</x:v>
      </x:c>
      <x:c r="C17" s="55" t="str">
        <x:v>P1-SITE-1 and P1-SITE-2</x:v>
      </x:c>
      <x:c r="D17" s="55" t="str">
        <x:v>Demo Project Head P1</x:v>
      </x:c>
      <x:c r="E17" s="56" t="n">
        <x:v>46285</x:v>
      </x:c>
      <x:c r="F17" s="57" t="n">
        <x:v>36000</x:v>
      </x:c>
      <x:c r="G17" s="59" t="n">
        <x:v>0.7</x:v>
      </x:c>
      <x:c r="H17" s="59" t="n">
        <x:v>0.55</x:v>
      </x:c>
      <x:c r="I17" s="59" t="n">
        <x:v>0.95</x:v>
      </x:c>
      <x:c r="J17" s="59" t="n">
        <x:v>0.9</x:v>
      </x:c>
      <x:c r="K17" s="59" t="n">
        <x:v>0.75</x:v>
      </x:c>
      <x:c r="L17" s="59" t="n">
        <x:v>0.65</x:v>
      </x:c>
      <x:c r="M17" s="59" t="n">
        <x:v>0.6</x:v>
      </x:c>
      <x:c r="N17" s="59" t="n">
        <x:v>0.4</x:v>
      </x:c>
      <x:c r="O17" s="56" t="n">
        <x:v>46568</x:v>
      </x:c>
      <x:c r="P17" s="56" t="n">
        <x:v>46660</x:v>
      </x:c>
      <x:c r="Q17" s="56" t="n">
        <x:v>46752</x:v>
      </x:c>
      <x:c r="R17" s="56" t="n">
        <x:v>46752</x:v>
      </x:c>
      <x:c r="S17" s="55" t="str">
        <x:v>Under review</x:v>
      </x:c>
      <x:c r="T17" s="55" t="str">
        <x:v>Complete Pump house civil works</x:v>
      </x:c>
      <x:c r="U17" s="56" t="n">
        <x:v>46293</x:v>
      </x:c>
      <x:c r="V17" s="56" t="n">
        <x:v>46300</x:v>
      </x:c>
      <x:c r="W17" s="55" t="str">
        <x:v>Demo: drawing release and mobilisation below plan.</x:v>
      </x:c>
      <x:c r="X17" s="60" t="n">
        <x:v>46266</x:v>
      </x:c>
      <x:c r="Y17" s="55" t="str">
        <x:v>Complete first concrete pour</x:v>
      </x:c>
      <x:c r="Z17" s="55" t="str">
        <x:v>Amber</x:v>
      </x:c>
      <x:c r="AA17" s="59" t="n">
        <x:v>0.75</x:v>
      </x:c>
      <x:c r="AB17" s="55" t="str">
        <x:v>Approve critical drawings</x:v>
      </x:c>
      <x:c r="AC17" s="55" t="str">
        <x:v>Red</x:v>
      </x:c>
      <x:c r="AD17" s="59" t="n">
        <x:v>0.4</x:v>
      </x:c>
      <x:c r="AE17" s="55" t="str">
        <x:v>Deliver pump package</x:v>
      </x:c>
      <x:c r="AF17" s="55" t="str">
        <x:v>Green</x:v>
      </x:c>
      <x:c r="AG17" s="59" t="n">
        <x:v>0.9</x:v>
      </x:c>
      <x:c r="AH17" s="55" t="str">
        <x:v>Certify September RA bill</x:v>
      </x:c>
      <x:c r="AI17" s="55" t="str">
        <x:v>Amber</x:v>
      </x:c>
      <x:c r="AJ17" s="59" t="n">
        <x:v>0.6</x:v>
      </x:c>
      <x:c r="AK17" s="55" t="str">
        <x:v>Mobilise recovery crew</x:v>
      </x:c>
      <x:c r="AL17" s="55" t="str">
        <x:v>Green</x:v>
      </x:c>
      <x:c r="AM17" s="59" t="n">
        <x:v>1</x:v>
      </x:c>
      <x:c r="AN17" s="56" t="n">
        <x:v>46285</x:v>
      </x:c>
      <x:c r="AO17" s="57" t="n">
        <x:v>30000</x:v>
      </x:c>
      <x:c r="AP17" s="57" t="n">
        <x:v>18000</x:v>
      </x:c>
      <x:c r="AQ17" s="57" t="n">
        <x:v>15000</x:v>
      </x:c>
      <x:c r="AR17" s="57" t="n">
        <x:v>17000</x:v>
      </x:c>
      <x:c r="AS17" s="65" t="n">
        <x:f>IF(COUNT(AQ17,AR17)&lt;2,"",IF(AR17=0,"",AQ17/AR17))</x:f>
        <x:v>0.8823529411764706</x:v>
      </x:c>
      <x:c r="AT17" s="65" t="n">
        <x:f>IF(COUNT(AQ17,AP17)&lt;2,"",IF(AP17=0,"",AQ17/AP17))</x:f>
        <x:v>0.8333333333333334</x:v>
      </x:c>
      <x:c r="AU17" s="67" t="n">
        <x:f>IF(COUNT(AQ17,AR17)&lt;2,"",AQ17-AR17)</x:f>
        <x:v>-2000</x:v>
      </x:c>
      <x:c r="AV17" s="67" t="n">
        <x:f>IF(COUNT(AQ17,AP17)&lt;2,"",AQ17-AP17)</x:f>
        <x:v>-3000</x:v>
      </x:c>
      <x:c r="AW17" s="67" t="n">
        <x:f>IF(COUNT(AO17,AS17)&lt;2,"",IF(AS17=0,"",AO17/AS17))</x:f>
        <x:v>34000</x:v>
      </x:c>
      <x:c r="AX17" s="67" t="n">
        <x:f>IF(COUNT(AW17,AR17)&lt;2,"",AW17-AR17)</x:f>
        <x:v>17000</x:v>
      </x:c>
      <x:c r="AY17" s="67" t="n">
        <x:f>IF(COUNT(AO17,AW17)&lt;2,"",AO17-AW17)</x:f>
        <x:v>-4000</x:v>
      </x:c>
      <x:c r="AZ17" s="55" t="str">
        <x:v>Unverified</x:v>
      </x:c>
      <x:c r="BA17" s="55" t="str">
        <x:v>DEMO-BASELINE-P1. Illustrative cost-based PV/EV, measured on the same basis as BAC and AC.</x:v>
      </x:c>
      <x:c r="BB17" s="55" t="str">
        <x:v>Demo resource inefficiency and rework.</x:v>
      </x:c>
      <x:c r="BC17" s="55" t="str">
        <x:v>Review shift output and reduce rework.</x:v>
      </x:c>
      <x:c r="BD17" s="55" t="str">
        <x:v>Demo Planning Lead P1</x:v>
      </x:c>
      <x:c r="BE17" s="56" t="n">
        <x:v>46290</x:v>
      </x:c>
      <x:c r="BF17" s="56" t="n">
        <x:v>46285</x:v>
      </x:c>
      <x:c r="BG17" s="55" t="str">
        <x:v>FICTIONAL TEST DATA. All people, quantities, money, dates and statuses are invented; not project records.</x:v>
      </x:c>
    </x:row>
    <x:row r="18" ht="115" customHeight="1">
      <x:c r="A18" s="55" t="str">
        <x:v>S25WJH01</x:v>
      </x:c>
      <x:c r="B18" s="55" t="str">
        <x:v>Konar Irrigation</x:v>
      </x:c>
      <x:c r="C18" s="55" t="str">
        <x:v>P2-SITE-1 and P2-SITE-2</x:v>
      </x:c>
      <x:c r="D18" s="55" t="str">
        <x:v>Demo Project Head P2</x:v>
      </x:c>
      <x:c r="E18" s="56" t="n">
        <x:v>46285</x:v>
      </x:c>
      <x:c r="F18" s="57" t="n">
        <x:v>28800</x:v>
      </x:c>
      <x:c r="G18" s="59" t="n">
        <x:v>0.55</x:v>
      </x:c>
      <x:c r="H18" s="59" t="n">
        <x:v>0.58</x:v>
      </x:c>
      <x:c r="I18" s="59" t="n">
        <x:v>0.8</x:v>
      </x:c>
      <x:c r="J18" s="59" t="n">
        <x:v>0.85</x:v>
      </x:c>
      <x:c r="K18" s="59" t="n">
        <x:v>0.6</x:v>
      </x:c>
      <x:c r="L18" s="59" t="n">
        <x:v>0.68</x:v>
      </x:c>
      <x:c r="M18" s="59" t="n">
        <x:v>0.45</x:v>
      </x:c>
      <x:c r="N18" s="59" t="n">
        <x:v>0.47</x:v>
      </x:c>
      <x:c r="O18" s="56" t="n">
        <x:v>46568</x:v>
      </x:c>
      <x:c r="P18" s="56" t="n">
        <x:v>46568</x:v>
      </x:c>
      <x:c r="Q18" s="56" t="n">
        <x:v>46568</x:v>
      </x:c>
      <x:c r="R18" s="56" t="n">
        <x:v>46568</x:v>
      </x:c>
      <x:c r="S18" s="55" t="str">
        <x:v>Not required</x:v>
      </x:c>
      <x:c r="T18" s="55" t="str">
        <x:v>Complete Cross regulator civil works</x:v>
      </x:c>
      <x:c r="U18" s="56" t="n">
        <x:v>46293</x:v>
      </x:c>
      <x:c r="V18" s="56" t="n">
        <x:v>46293</x:v>
      </x:c>
      <x:c r="W18" s="55" t="str">
        <x:v>Demo: no current slippage; maintain output.</x:v>
      </x:c>
      <x:c r="X18" s="60" t="n">
        <x:v>46266</x:v>
      </x:c>
      <x:c r="Y18" s="55" t="str">
        <x:v>Complete first concrete pour</x:v>
      </x:c>
      <x:c r="Z18" s="55" t="str">
        <x:v>Red</x:v>
      </x:c>
      <x:c r="AA18" s="59" t="n">
        <x:v>0.4</x:v>
      </x:c>
      <x:c r="AB18" s="55" t="str">
        <x:v>Approve critical drawings</x:v>
      </x:c>
      <x:c r="AC18" s="55" t="str">
        <x:v>Green</x:v>
      </x:c>
      <x:c r="AD18" s="59" t="n">
        <x:v>0.9</x:v>
      </x:c>
      <x:c r="AE18" s="55" t="str">
        <x:v>Deliver pump package</x:v>
      </x:c>
      <x:c r="AF18" s="55" t="str">
        <x:v>Amber</x:v>
      </x:c>
      <x:c r="AG18" s="59" t="n">
        <x:v>0.6</x:v>
      </x:c>
      <x:c r="AH18" s="55" t="str">
        <x:v>Certify September RA bill</x:v>
      </x:c>
      <x:c r="AI18" s="55" t="str">
        <x:v>Green</x:v>
      </x:c>
      <x:c r="AJ18" s="59" t="n">
        <x:v>1</x:v>
      </x:c>
      <x:c r="AK18" s="55" t="str">
        <x:v>Mobilise recovery crew</x:v>
      </x:c>
      <x:c r="AL18" s="55" t="str">
        <x:v>Amber</x:v>
      </x:c>
      <x:c r="AM18" s="59" t="n">
        <x:v>0.75</x:v>
      </x:c>
      <x:c r="AN18" s="56" t="n">
        <x:v>46285</x:v>
      </x:c>
      <x:c r="AO18" s="57" t="n">
        <x:v>24000</x:v>
      </x:c>
      <x:c r="AP18" s="57" t="n">
        <x:v>12000</x:v>
      </x:c>
      <x:c r="AQ18" s="57" t="n">
        <x:v>13000</x:v>
      </x:c>
      <x:c r="AR18" s="57" t="n">
        <x:v>12000</x:v>
      </x:c>
      <x:c r="AS18" s="65" t="n">
        <x:f>IF(COUNT(AQ18,AR18)&lt;2,"",IF(AR18=0,"",AQ18/AR18))</x:f>
        <x:v>1.0833333333333333</x:v>
      </x:c>
      <x:c r="AT18" s="65" t="n">
        <x:f>IF(COUNT(AQ18,AP18)&lt;2,"",IF(AP18=0,"",AQ18/AP18))</x:f>
        <x:v>1.0833333333333333</x:v>
      </x:c>
      <x:c r="AU18" s="67" t="n">
        <x:f>IF(COUNT(AQ18,AR18)&lt;2,"",AQ18-AR18)</x:f>
        <x:v>1000</x:v>
      </x:c>
      <x:c r="AV18" s="67" t="n">
        <x:f>IF(COUNT(AQ18,AP18)&lt;2,"",AQ18-AP18)</x:f>
        <x:v>1000</x:v>
      </x:c>
      <x:c r="AW18" s="67" t="n">
        <x:f>IF(COUNT(AO18,AS18)&lt;2,"",IF(AS18=0,"",AO18/AS18))</x:f>
        <x:v>22153.846153846156</x:v>
      </x:c>
      <x:c r="AX18" s="67" t="n">
        <x:f>IF(COUNT(AW18,AR18)&lt;2,"",AW18-AR18)</x:f>
        <x:v>10153.846153846156</x:v>
      </x:c>
      <x:c r="AY18" s="67" t="n">
        <x:f>IF(COUNT(AO18,AW18)&lt;2,"",AO18-AW18)</x:f>
        <x:v>1846.153846153844</x:v>
      </x:c>
      <x:c r="AZ18" s="55" t="str">
        <x:v>Unverified</x:v>
      </x:c>
      <x:c r="BA18" s="55" t="str">
        <x:v>DEMO-BASELINE-P2. Illustrative cost-based PV/EV, measured on the same basis as BAC and AC.</x:v>
      </x:c>
      <x:c r="BB18" s="55" t="str">
        <x:v>Demo productivity ahead of budget.</x:v>
      </x:c>
      <x:c r="BC18" s="55" t="str">
        <x:v>Maintain planned resource mix and weekly review.</x:v>
      </x:c>
      <x:c r="BD18" s="55" t="str">
        <x:v>Demo Planning Lead P2</x:v>
      </x:c>
      <x:c r="BE18" s="56" t="n">
        <x:v>46290</x:v>
      </x:c>
      <x:c r="BF18" s="56" t="n">
        <x:v>46285</x:v>
      </x:c>
      <x:c r="BG18" s="55" t="str">
        <x:v>FICTIONAL TEST DATA. All people, quantities, money, dates and statuses are invented; not project records.</x:v>
      </x:c>
    </x:row>
    <x:row r="19" ht="115" customHeight="1">
      <x:c r="A19" s="55" t="str">
        <x:v>S25WMP01</x:v>
      </x:c>
      <x:c r="B19" s="55" t="str">
        <x:v>Indore WSP</x:v>
      </x:c>
      <x:c r="C19" s="55" t="str">
        <x:v>P3-SITE-1 and P3-SITE-2</x:v>
      </x:c>
      <x:c r="D19" s="55" t="str">
        <x:v>Demo Project Head P3</x:v>
      </x:c>
      <x:c r="E19" s="56" t="n">
        <x:v>46285</x:v>
      </x:c>
      <x:c r="F19" s="57" t="n">
        <x:v>21600</x:v>
      </x:c>
      <x:c r="G19" s="59" t="n">
        <x:v>0.65</x:v>
      </x:c>
      <x:c r="H19" s="59" t="n">
        <x:v>0.65</x:v>
      </x:c>
      <x:c r="I19" s="59" t="n">
        <x:v>0.9</x:v>
      </x:c>
      <x:c r="J19" s="59" t="n">
        <x:v>0.9</x:v>
      </x:c>
      <x:c r="K19" s="59" t="n">
        <x:v>0.7</x:v>
      </x:c>
      <x:c r="L19" s="59" t="n">
        <x:v>0.7</x:v>
      </x:c>
      <x:c r="M19" s="59" t="n">
        <x:v>0.5</x:v>
      </x:c>
      <x:c r="N19" s="59" t="n">
        <x:v>0.5</x:v>
      </x:c>
      <x:c r="O19" s="56" t="n">
        <x:v>46568</x:v>
      </x:c>
      <x:c r="P19" s="56" t="n">
        <x:v>46660</x:v>
      </x:c>
      <x:c r="Q19" s="56" t="n">
        <x:v>46568</x:v>
      </x:c>
      <x:c r="R19" s="56" t="n">
        <x:v>46752</x:v>
      </x:c>
      <x:c r="S19" s="55" t="str">
        <x:v>Under review</x:v>
      </x:c>
      <x:c r="T19" s="55" t="str">
        <x:v>Complete Pump house civil works</x:v>
      </x:c>
      <x:c r="U19" s="56" t="n">
        <x:v>46293</x:v>
      </x:c>
      <x:c r="V19" s="56" t="n">
        <x:v>46293</x:v>
      </x:c>
      <x:c r="W19" s="55" t="str">
        <x:v>Demo: no current slippage; maintain output.</x:v>
      </x:c>
      <x:c r="X19" s="60" t="n">
        <x:v>46266</x:v>
      </x:c>
      <x:c r="Y19" s="55" t="str">
        <x:v>Complete first concrete pour</x:v>
      </x:c>
      <x:c r="Z19" s="55" t="str">
        <x:v>Green</x:v>
      </x:c>
      <x:c r="AA19" s="59" t="n">
        <x:v>0.9</x:v>
      </x:c>
      <x:c r="AB19" s="55" t="str">
        <x:v>Approve critical drawings</x:v>
      </x:c>
      <x:c r="AC19" s="55" t="str">
        <x:v>Amber</x:v>
      </x:c>
      <x:c r="AD19" s="59" t="n">
        <x:v>0.6</x:v>
      </x:c>
      <x:c r="AE19" s="55" t="str">
        <x:v>Deliver pump package</x:v>
      </x:c>
      <x:c r="AF19" s="55" t="str">
        <x:v>Green</x:v>
      </x:c>
      <x:c r="AG19" s="59" t="n">
        <x:v>1</x:v>
      </x:c>
      <x:c r="AH19" s="55" t="str">
        <x:v>Certify September RA bill</x:v>
      </x:c>
      <x:c r="AI19" s="55" t="str">
        <x:v>Amber</x:v>
      </x:c>
      <x:c r="AJ19" s="59" t="n">
        <x:v>0.75</x:v>
      </x:c>
      <x:c r="AK19" s="55" t="str">
        <x:v>Mobilise recovery crew</x:v>
      </x:c>
      <x:c r="AL19" s="55" t="str">
        <x:v>Red</x:v>
      </x:c>
      <x:c r="AM19" s="59" t="n">
        <x:v>0.4</x:v>
      </x:c>
      <x:c r="AN19" s="56" t="n">
        <x:v>46285</x:v>
      </x:c>
      <x:c r="AO19" s="57" t="n">
        <x:v>18000</x:v>
      </x:c>
      <x:c r="AP19" s="57" t="n">
        <x:v>10000</x:v>
      </x:c>
      <x:c r="AQ19" s="57" t="n">
        <x:v>10000</x:v>
      </x:c>
      <x:c r="AR19" s="57" t="n">
        <x:v>10000</x:v>
      </x:c>
      <x:c r="AS19" s="65" t="n">
        <x:f>IF(COUNT(AQ19,AR19)&lt;2,"",IF(AR19=0,"",AQ19/AR19))</x:f>
        <x:v>1</x:v>
      </x:c>
      <x:c r="AT19" s="65" t="n">
        <x:f>IF(COUNT(AQ19,AP19)&lt;2,"",IF(AP19=0,"",AQ19/AP19))</x:f>
        <x:v>1</x:v>
      </x:c>
      <x:c r="AU19" s="67" t="n">
        <x:f>IF(COUNT(AQ19,AR19)&lt;2,"",AQ19-AR19)</x:f>
        <x:v>0</x:v>
      </x:c>
      <x:c r="AV19" s="67" t="n">
        <x:f>IF(COUNT(AQ19,AP19)&lt;2,"",AQ19-AP19)</x:f>
        <x:v>0</x:v>
      </x:c>
      <x:c r="AW19" s="67" t="n">
        <x:f>IF(COUNT(AO19,AS19)&lt;2,"",IF(AS19=0,"",AO19/AS19))</x:f>
        <x:v>18000</x:v>
      </x:c>
      <x:c r="AX19" s="67" t="n">
        <x:f>IF(COUNT(AW19,AR19)&lt;2,"",AW19-AR19)</x:f>
        <x:v>8000</x:v>
      </x:c>
      <x:c r="AY19" s="67" t="n">
        <x:f>IF(COUNT(AO19,AW19)&lt;2,"",AO19-AW19)</x:f>
        <x:v>0</x:v>
      </x:c>
      <x:c r="AZ19" s="55" t="str">
        <x:v>Unverified</x:v>
      </x:c>
      <x:c r="BA19" s="55" t="str">
        <x:v>DEMO-BASELINE-P3. Illustrative cost-based PV/EV, measured on the same basis as BAC and AC.</x:v>
      </x:c>
      <x:c r="BB19" s="55" t="str">
        <x:v>Demo case at planned cost and schedule.</x:v>
      </x:c>
      <x:c r="BC19" s="55" t="str">
        <x:v>Maintain planned resource mix and weekly review.</x:v>
      </x:c>
      <x:c r="BD19" s="55" t="str">
        <x:v>Demo Planning Lead P3</x:v>
      </x:c>
      <x:c r="BE19" s="56" t="n">
        <x:v>46290</x:v>
      </x:c>
      <x:c r="BF19" s="56" t="n">
        <x:v>46285</x:v>
      </x:c>
      <x:c r="BG19" s="55" t="str">
        <x:v>FICTIONAL TEST DATA. All people, quantities, money, dates and statuses are invented; not project records.</x:v>
      </x:c>
    </x:row>
    <x:row r="20" ht="115" customHeight="1">
      <x:c r="A20" s="55" t="str">
        <x:v>S26BBI01</x:v>
      </x:c>
      <x:c r="B20" s="55" t="str">
        <x:v>NTPC Barauni</x:v>
      </x:c>
      <x:c r="C20" s="55" t="str">
        <x:v>P4-SITE-1 and P4-SITE-2</x:v>
      </x:c>
      <x:c r="D20" s="55" t="str">
        <x:v>Demo Project Head P4</x:v>
      </x:c>
      <x:c r="E20" s="56" t="n">
        <x:v>46285</x:v>
      </x:c>
      <x:c r="F20" s="57" t="n">
        <x:v>26400</x:v>
      </x:c>
      <x:c r="G20" s="59" t="n">
        <x:v>0.3</x:v>
      </x:c>
      <x:c r="H20" s="59" t="n">
        <x:v>0.24</x:v>
      </x:c>
      <x:c r="I20" s="59" t="n">
        <x:v>0.7</x:v>
      </x:c>
      <x:c r="J20" s="59" t="n">
        <x:v>0.6</x:v>
      </x:c>
      <x:c r="K20" s="59" t="n">
        <x:v>0.35</x:v>
      </x:c>
      <x:c r="L20" s="59" t="n">
        <x:v>0.25</x:v>
      </x:c>
      <x:c r="M20" s="59" t="n">
        <x:v>0.15</x:v>
      </x:c>
      <x:c r="N20" s="59" t="n">
        <x:v>0.1</x:v>
      </x:c>
      <x:c r="O20" s="56" t="n">
        <x:v>46568</x:v>
      </x:c>
      <x:c r="P20" s="56" t="n">
        <x:v>46568</x:v>
      </x:c>
      <x:c r="Q20" s="56" t="n">
        <x:v>46691</x:v>
      </x:c>
      <x:c r="R20" s="56" t="n">
        <x:v>46568</x:v>
      </x:c>
      <x:c r="S20" s="55" t="str">
        <x:v>Not required</x:v>
      </x:c>
      <x:c r="T20" s="55" t="str">
        <x:v>Complete Pump foundation civil works</x:v>
      </x:c>
      <x:c r="U20" s="56" t="n">
        <x:v>46293</x:v>
      </x:c>
      <x:c r="V20" s="56" t="n">
        <x:v>46300</x:v>
      </x:c>
      <x:c r="W20" s="55" t="str">
        <x:v>Demo: drawing release and mobilisation below plan.</x:v>
      </x:c>
      <x:c r="X20" s="60" t="n">
        <x:v>46266</x:v>
      </x:c>
      <x:c r="Y20" s="55" t="str">
        <x:v>Complete first concrete pour</x:v>
      </x:c>
      <x:c r="Z20" s="55" t="str">
        <x:v>Amber</x:v>
      </x:c>
      <x:c r="AA20" s="59" t="n">
        <x:v>0.6</x:v>
      </x:c>
      <x:c r="AB20" s="55" t="str">
        <x:v>Approve critical drawings</x:v>
      </x:c>
      <x:c r="AC20" s="55" t="str">
        <x:v>Green</x:v>
      </x:c>
      <x:c r="AD20" s="59" t="n">
        <x:v>1</x:v>
      </x:c>
      <x:c r="AE20" s="55" t="str">
        <x:v>Deliver pump package</x:v>
      </x:c>
      <x:c r="AF20" s="55" t="str">
        <x:v>Amber</x:v>
      </x:c>
      <x:c r="AG20" s="59" t="n">
        <x:v>0.75</x:v>
      </x:c>
      <x:c r="AH20" s="55" t="str">
        <x:v>Certify September RA bill</x:v>
      </x:c>
      <x:c r="AI20" s="55" t="str">
        <x:v>Red</x:v>
      </x:c>
      <x:c r="AJ20" s="59" t="n">
        <x:v>0.4</x:v>
      </x:c>
      <x:c r="AK20" s="55" t="str">
        <x:v>Mobilise recovery crew</x:v>
      </x:c>
      <x:c r="AL20" s="55" t="str">
        <x:v>Green</x:v>
      </x:c>
      <x:c r="AM20" s="59" t="n">
        <x:v>0.9</x:v>
      </x:c>
      <x:c r="AN20" s="56" t="n">
        <x:v>46285</x:v>
      </x:c>
      <x:c r="AO20" s="57" t="n">
        <x:v>22000</x:v>
      </x:c>
      <x:c r="AP20" s="57" t="n">
        <x:v>6000</x:v>
      </x:c>
      <x:c r="AQ20" s="57" t="n">
        <x:v>4500</x:v>
      </x:c>
      <x:c r="AR20" s="57" t="n">
        <x:v>5500</x:v>
      </x:c>
      <x:c r="AS20" s="65" t="n">
        <x:f>IF(COUNT(AQ20,AR20)&lt;2,"",IF(AR20=0,"",AQ20/AR20))</x:f>
        <x:v>0.8181818181818182</x:v>
      </x:c>
      <x:c r="AT20" s="65" t="n">
        <x:f>IF(COUNT(AQ20,AP20)&lt;2,"",IF(AP20=0,"",AQ20/AP20))</x:f>
        <x:v>0.75</x:v>
      </x:c>
      <x:c r="AU20" s="67" t="n">
        <x:f>IF(COUNT(AQ20,AR20)&lt;2,"",AQ20-AR20)</x:f>
        <x:v>-1000</x:v>
      </x:c>
      <x:c r="AV20" s="67" t="n">
        <x:f>IF(COUNT(AQ20,AP20)&lt;2,"",AQ20-AP20)</x:f>
        <x:v>-1500</x:v>
      </x:c>
      <x:c r="AW20" s="67" t="n">
        <x:f>IF(COUNT(AO20,AS20)&lt;2,"",IF(AS20=0,"",AO20/AS20))</x:f>
        <x:v>26888.888888888887</x:v>
      </x:c>
      <x:c r="AX20" s="67" t="n">
        <x:f>IF(COUNT(AW20,AR20)&lt;2,"",AW20-AR20)</x:f>
        <x:v>21388.888888888887</x:v>
      </x:c>
      <x:c r="AY20" s="67" t="n">
        <x:f>IF(COUNT(AO20,AW20)&lt;2,"",AO20-AW20)</x:f>
        <x:v>-4888.888888888887</x:v>
      </x:c>
      <x:c r="AZ20" s="55" t="str">
        <x:v>Unverified</x:v>
      </x:c>
      <x:c r="BA20" s="55" t="str">
        <x:v>DEMO-BASELINE-P4. Illustrative cost-based PV/EV, measured on the same basis as BAC and AC.</x:v>
      </x:c>
      <x:c r="BB20" s="55" t="str">
        <x:v>Demo resource inefficiency and rework.</x:v>
      </x:c>
      <x:c r="BC20" s="55" t="str">
        <x:v>Review shift output and reduce rework.</x:v>
      </x:c>
      <x:c r="BD20" s="55" t="str">
        <x:v>Demo Planning Lead P4</x:v>
      </x:c>
      <x:c r="BE20" s="56" t="n">
        <x:v>46290</x:v>
      </x:c>
      <x:c r="BF20" s="56" t="n">
        <x:v>46285</x:v>
      </x:c>
      <x:c r="BG20" s="55" t="str">
        <x:v>FICTIONAL TEST DATA. All people, quantities, money, dates and statuses are invented; not project records.</x:v>
      </x:c>
    </x:row>
    <x:row r="21" ht="115" customHeight="1">
      <x:c r="A21" s="55" t="str">
        <x:v>S26PRJ01</x:v>
      </x:c>
      <x:c r="B21" s="55" t="str">
        <x:v>RRVPNL Dahara</x:v>
      </x:c>
      <x:c r="C21" s="55" t="str">
        <x:v>P5-SITE-1 and P5-SITE-2</x:v>
      </x:c>
      <x:c r="D21" s="55" t="str">
        <x:v>Demo Project Head P5</x:v>
      </x:c>
      <x:c r="E21" s="56" t="n">
        <x:v>46285</x:v>
      </x:c>
      <x:c r="F21" s="57" t="n">
        <x:v>19200</x:v>
      </x:c>
      <x:c r="G21" s="59" t="n">
        <x:v>0.25</x:v>
      </x:c>
      <x:c r="H21" s="59" t="n">
        <x:v>0.28</x:v>
      </x:c>
      <x:c r="I21" s="59" t="n">
        <x:v>0.6</x:v>
      </x:c>
      <x:c r="J21" s="59" t="n">
        <x:v>0.7</x:v>
      </x:c>
      <x:c r="K21" s="59" t="n">
        <x:v>0.25</x:v>
      </x:c>
      <x:c r="L21" s="59" t="n">
        <x:v>0.3</x:v>
      </x:c>
      <x:c r="M21" s="59" t="n">
        <x:v>0.1</x:v>
      </x:c>
      <x:c r="N21" s="59" t="n">
        <x:v>0.12</x:v>
      </x:c>
      <x:c r="O21" s="56" t="n">
        <x:v>46568</x:v>
      </x:c>
      <x:c r="P21" s="56" t="n">
        <x:v>46660</x:v>
      </x:c>
      <x:c r="Q21" s="56" t="n">
        <x:v>46568</x:v>
      </x:c>
      <x:c r="R21" s="56" t="n">
        <x:v>46752</x:v>
      </x:c>
      <x:c r="S21" s="55" t="str">
        <x:v>Under review</x:v>
      </x:c>
      <x:c r="T21" s="55" t="str">
        <x:v>Complete Control room civil works</x:v>
      </x:c>
      <x:c r="U21" s="56" t="n">
        <x:v>46293</x:v>
      </x:c>
      <x:c r="V21" s="56" t="n">
        <x:v>46293</x:v>
      </x:c>
      <x:c r="W21" s="55" t="str">
        <x:v>Demo: no current slippage; maintain output.</x:v>
      </x:c>
      <x:c r="X21" s="60" t="n">
        <x:v>46266</x:v>
      </x:c>
      <x:c r="Y21" s="55" t="str">
        <x:v>Complete first concrete pour</x:v>
      </x:c>
      <x:c r="Z21" s="55" t="str">
        <x:v>Green</x:v>
      </x:c>
      <x:c r="AA21" s="59" t="n">
        <x:v>1</x:v>
      </x:c>
      <x:c r="AB21" s="55" t="str">
        <x:v>Approve critical drawings</x:v>
      </x:c>
      <x:c r="AC21" s="55" t="str">
        <x:v>Amber</x:v>
      </x:c>
      <x:c r="AD21" s="59" t="n">
        <x:v>0.75</x:v>
      </x:c>
      <x:c r="AE21" s="55" t="str">
        <x:v>Deliver pump package</x:v>
      </x:c>
      <x:c r="AF21" s="55" t="str">
        <x:v>Red</x:v>
      </x:c>
      <x:c r="AG21" s="59" t="n">
        <x:v>0.4</x:v>
      </x:c>
      <x:c r="AH21" s="55" t="str">
        <x:v>Certify September RA bill</x:v>
      </x:c>
      <x:c r="AI21" s="55" t="str">
        <x:v>Green</x:v>
      </x:c>
      <x:c r="AJ21" s="59" t="n">
        <x:v>0.9</x:v>
      </x:c>
      <x:c r="AK21" s="55" t="str">
        <x:v>Mobilise recovery crew</x:v>
      </x:c>
      <x:c r="AL21" s="55" t="str">
        <x:v>Amber</x:v>
      </x:c>
      <x:c r="AM21" s="59" t="n">
        <x:v>0.6</x:v>
      </x:c>
      <x:c r="AN21" s="56" t="n">
        <x:v>46285</x:v>
      </x:c>
      <x:c r="AO21" s="57" t="n">
        <x:v>16000</x:v>
      </x:c>
      <x:c r="AP21" s="57" t="n">
        <x:v>4000</x:v>
      </x:c>
      <x:c r="AQ21" s="57" t="n">
        <x:v>4600</x:v>
      </x:c>
      <x:c r="AR21" s="57" t="n">
        <x:v>4200</x:v>
      </x:c>
      <x:c r="AS21" s="65" t="n">
        <x:f>IF(COUNT(AQ21,AR21)&lt;2,"",IF(AR21=0,"",AQ21/AR21))</x:f>
        <x:v>1.0952380952380953</x:v>
      </x:c>
      <x:c r="AT21" s="65" t="n">
        <x:f>IF(COUNT(AQ21,AP21)&lt;2,"",IF(AP21=0,"",AQ21/AP21))</x:f>
        <x:v>1.15</x:v>
      </x:c>
      <x:c r="AU21" s="67" t="n">
        <x:f>IF(COUNT(AQ21,AR21)&lt;2,"",AQ21-AR21)</x:f>
        <x:v>400</x:v>
      </x:c>
      <x:c r="AV21" s="67" t="n">
        <x:f>IF(COUNT(AQ21,AP21)&lt;2,"",AQ21-AP21)</x:f>
        <x:v>600</x:v>
      </x:c>
      <x:c r="AW21" s="67" t="n">
        <x:f>IF(COUNT(AO21,AS21)&lt;2,"",IF(AS21=0,"",AO21/AS21))</x:f>
        <x:v>14608.695652173912</x:v>
      </x:c>
      <x:c r="AX21" s="67" t="n">
        <x:f>IF(COUNT(AW21,AR21)&lt;2,"",AW21-AR21)</x:f>
        <x:v>10408.695652173912</x:v>
      </x:c>
      <x:c r="AY21" s="67" t="n">
        <x:f>IF(COUNT(AO21,AW21)&lt;2,"",AO21-AW21)</x:f>
        <x:v>1391.304347826088</x:v>
      </x:c>
      <x:c r="AZ21" s="55" t="str">
        <x:v>Unverified</x:v>
      </x:c>
      <x:c r="BA21" s="55" t="str">
        <x:v>DEMO-BASELINE-P5. Illustrative cost-based PV/EV, measured on the same basis as BAC and AC.</x:v>
      </x:c>
      <x:c r="BB21" s="55" t="str">
        <x:v>Demo productivity ahead of budget.</x:v>
      </x:c>
      <x:c r="BC21" s="55" t="str">
        <x:v>Maintain planned resource mix and weekly review.</x:v>
      </x:c>
      <x:c r="BD21" s="55" t="str">
        <x:v>Demo Planning Lead P5</x:v>
      </x:c>
      <x:c r="BE21" s="56" t="n">
        <x:v>46290</x:v>
      </x:c>
      <x:c r="BF21" s="56" t="n">
        <x:v>46285</x:v>
      </x:c>
      <x:c r="BG21" s="55" t="str">
        <x:v>FICTIONAL TEST DATA. All people, quantities, money, dates and statuses are invented; not project records.</x:v>
      </x:c>
    </x:row>
    <x:row r="22" ht="28" customHeight="1">
      <x:c r="A22" s="55"/>
      <x:c r="B22" s="55"/>
      <x:c r="C22" s="55"/>
      <x:c r="D22" s="55"/>
      <x:c r="E22" s="56"/>
      <x:c r="F22" s="57"/>
      <x:c r="G22" s="59"/>
      <x:c r="H22" s="59"/>
      <x:c r="I22" s="59"/>
      <x:c r="J22" s="59"/>
      <x:c r="K22" s="59"/>
      <x:c r="L22" s="59"/>
      <x:c r="M22" s="59"/>
      <x:c r="N22" s="59"/>
      <x:c r="O22" s="56"/>
      <x:c r="P22" s="56"/>
      <x:c r="Q22" s="56"/>
      <x:c r="R22" s="56"/>
      <x:c r="S22" s="55"/>
      <x:c r="T22" s="55"/>
      <x:c r="U22" s="56"/>
      <x:c r="V22" s="56"/>
      <x:c r="W22" s="55"/>
      <x:c r="X22" s="60"/>
      <x:c r="Y22" s="55"/>
      <x:c r="Z22" s="55"/>
      <x:c r="AA22" s="59"/>
      <x:c r="AB22" s="55"/>
      <x:c r="AC22" s="55"/>
      <x:c r="AD22" s="59"/>
      <x:c r="AE22" s="55"/>
      <x:c r="AF22" s="55"/>
      <x:c r="AG22" s="59"/>
      <x:c r="AH22" s="55"/>
      <x:c r="AI22" s="55"/>
      <x:c r="AJ22" s="59"/>
      <x:c r="AK22" s="55"/>
      <x:c r="AL22" s="55"/>
      <x:c r="AM22" s="59"/>
      <x:c r="AN22" s="56"/>
      <x:c r="AO22" s="57"/>
      <x:c r="AP22" s="57"/>
      <x:c r="AQ22" s="57"/>
      <x:c r="AR22" s="57"/>
      <x:c r="AS22" s="65" t="str">
        <x:f>IF(COUNT(AQ22,AR22)&lt;2,"",IF(AR22=0,"",AQ22/AR22))</x:f>
      </x:c>
      <x:c r="AT22" s="65" t="str">
        <x:f>IF(COUNT(AQ22,AP22)&lt;2,"",IF(AP22=0,"",AQ22/AP22))</x:f>
      </x:c>
      <x:c r="AU22" s="67" t="str">
        <x:f>IF(COUNT(AQ22,AR22)&lt;2,"",AQ22-AR22)</x:f>
      </x:c>
      <x:c r="AV22" s="67" t="str">
        <x:f>IF(COUNT(AQ22,AP22)&lt;2,"",AQ22-AP22)</x:f>
      </x:c>
      <x:c r="AW22" s="67" t="str">
        <x:f>IF(COUNT(AO22,AS22)&lt;2,"",IF(AS22=0,"",AO22/AS22))</x:f>
      </x:c>
      <x:c r="AX22" s="67" t="str">
        <x:f>IF(COUNT(AW22,AR22)&lt;2,"",AW22-AR22)</x:f>
      </x:c>
      <x:c r="AY22" s="67" t="str">
        <x:f>IF(COUNT(AO22,AW22)&lt;2,"",AO22-AW22)</x:f>
      </x:c>
      <x:c r="AZ22" s="55"/>
      <x:c r="BA22" s="55"/>
      <x:c r="BB22" s="55"/>
      <x:c r="BC22" s="55"/>
      <x:c r="BD22" s="55"/>
      <x:c r="BE22" s="56"/>
      <x:c r="BF22" s="56"/>
      <x:c r="BG22" s="55"/>
    </x:row>
    <x:row r="23" ht="28" customHeight="1">
      <x:c r="A23" s="55"/>
      <x:c r="B23" s="55"/>
      <x:c r="C23" s="55"/>
      <x:c r="D23" s="55"/>
      <x:c r="E23" s="56"/>
      <x:c r="F23" s="57"/>
      <x:c r="G23" s="59"/>
      <x:c r="H23" s="59"/>
      <x:c r="I23" s="59"/>
      <x:c r="J23" s="59"/>
      <x:c r="K23" s="59"/>
      <x:c r="L23" s="59"/>
      <x:c r="M23" s="59"/>
      <x:c r="N23" s="59"/>
      <x:c r="O23" s="56"/>
      <x:c r="P23" s="56"/>
      <x:c r="Q23" s="56"/>
      <x:c r="R23" s="56"/>
      <x:c r="S23" s="55"/>
      <x:c r="T23" s="55"/>
      <x:c r="U23" s="56"/>
      <x:c r="V23" s="56"/>
      <x:c r="W23" s="55"/>
      <x:c r="X23" s="60"/>
      <x:c r="Y23" s="55"/>
      <x:c r="Z23" s="55"/>
      <x:c r="AA23" s="59"/>
      <x:c r="AB23" s="55"/>
      <x:c r="AC23" s="55"/>
      <x:c r="AD23" s="59"/>
      <x:c r="AE23" s="55"/>
      <x:c r="AF23" s="55"/>
      <x:c r="AG23" s="59"/>
      <x:c r="AH23" s="55"/>
      <x:c r="AI23" s="55"/>
      <x:c r="AJ23" s="59"/>
      <x:c r="AK23" s="55"/>
      <x:c r="AL23" s="55"/>
      <x:c r="AM23" s="59"/>
      <x:c r="AN23" s="56"/>
      <x:c r="AO23" s="57"/>
      <x:c r="AP23" s="57"/>
      <x:c r="AQ23" s="57"/>
      <x:c r="AR23" s="57"/>
      <x:c r="AS23" s="65" t="str">
        <x:f>IF(COUNT(AQ23,AR23)&lt;2,"",IF(AR23=0,"",AQ23/AR23))</x:f>
      </x:c>
      <x:c r="AT23" s="65" t="str">
        <x:f>IF(COUNT(AQ23,AP23)&lt;2,"",IF(AP23=0,"",AQ23/AP23))</x:f>
      </x:c>
      <x:c r="AU23" s="67" t="str">
        <x:f>IF(COUNT(AQ23,AR23)&lt;2,"",AQ23-AR23)</x:f>
      </x:c>
      <x:c r="AV23" s="67" t="str">
        <x:f>IF(COUNT(AQ23,AP23)&lt;2,"",AQ23-AP23)</x:f>
      </x:c>
      <x:c r="AW23" s="67" t="str">
        <x:f>IF(COUNT(AO23,AS23)&lt;2,"",IF(AS23=0,"",AO23/AS23))</x:f>
      </x:c>
      <x:c r="AX23" s="67" t="str">
        <x:f>IF(COUNT(AW23,AR23)&lt;2,"",AW23-AR23)</x:f>
      </x:c>
      <x:c r="AY23" s="67" t="str">
        <x:f>IF(COUNT(AO23,AW23)&lt;2,"",AO23-AW23)</x:f>
      </x:c>
      <x:c r="AZ23" s="55"/>
      <x:c r="BA23" s="55"/>
      <x:c r="BB23" s="55"/>
      <x:c r="BC23" s="55"/>
      <x:c r="BD23" s="55"/>
      <x:c r="BE23" s="56"/>
      <x:c r="BF23" s="56"/>
      <x:c r="BG23" s="55"/>
    </x:row>
    <x:row r="24" ht="28" customHeight="1">
      <x:c r="A24" s="55"/>
      <x:c r="B24" s="55"/>
      <x:c r="C24" s="55"/>
      <x:c r="D24" s="55"/>
      <x:c r="E24" s="56"/>
      <x:c r="F24" s="57"/>
      <x:c r="G24" s="59"/>
      <x:c r="H24" s="59"/>
      <x:c r="I24" s="59"/>
      <x:c r="J24" s="59"/>
      <x:c r="K24" s="59"/>
      <x:c r="L24" s="59"/>
      <x:c r="M24" s="59"/>
      <x:c r="N24" s="59"/>
      <x:c r="O24" s="56"/>
      <x:c r="P24" s="56"/>
      <x:c r="Q24" s="56"/>
      <x:c r="R24" s="56"/>
      <x:c r="S24" s="55"/>
      <x:c r="T24" s="55"/>
      <x:c r="U24" s="56"/>
      <x:c r="V24" s="56"/>
      <x:c r="W24" s="55"/>
      <x:c r="X24" s="60"/>
      <x:c r="Y24" s="55"/>
      <x:c r="Z24" s="55"/>
      <x:c r="AA24" s="59"/>
      <x:c r="AB24" s="55"/>
      <x:c r="AC24" s="55"/>
      <x:c r="AD24" s="59"/>
      <x:c r="AE24" s="55"/>
      <x:c r="AF24" s="55"/>
      <x:c r="AG24" s="59"/>
      <x:c r="AH24" s="55"/>
      <x:c r="AI24" s="55"/>
      <x:c r="AJ24" s="59"/>
      <x:c r="AK24" s="55"/>
      <x:c r="AL24" s="55"/>
      <x:c r="AM24" s="59"/>
      <x:c r="AN24" s="56"/>
      <x:c r="AO24" s="57"/>
      <x:c r="AP24" s="57"/>
      <x:c r="AQ24" s="57"/>
      <x:c r="AR24" s="57"/>
      <x:c r="AS24" s="65" t="str">
        <x:f>IF(COUNT(AQ24,AR24)&lt;2,"",IF(AR24=0,"",AQ24/AR24))</x:f>
      </x:c>
      <x:c r="AT24" s="65" t="str">
        <x:f>IF(COUNT(AQ24,AP24)&lt;2,"",IF(AP24=0,"",AQ24/AP24))</x:f>
      </x:c>
      <x:c r="AU24" s="67" t="str">
        <x:f>IF(COUNT(AQ24,AR24)&lt;2,"",AQ24-AR24)</x:f>
      </x:c>
      <x:c r="AV24" s="67" t="str">
        <x:f>IF(COUNT(AQ24,AP24)&lt;2,"",AQ24-AP24)</x:f>
      </x:c>
      <x:c r="AW24" s="67" t="str">
        <x:f>IF(COUNT(AO24,AS24)&lt;2,"",IF(AS24=0,"",AO24/AS24))</x:f>
      </x:c>
      <x:c r="AX24" s="67" t="str">
        <x:f>IF(COUNT(AW24,AR24)&lt;2,"",AW24-AR24)</x:f>
      </x:c>
      <x:c r="AY24" s="67" t="str">
        <x:f>IF(COUNT(AO24,AW24)&lt;2,"",AO24-AW24)</x:f>
      </x:c>
      <x:c r="AZ24" s="55"/>
      <x:c r="BA24" s="55"/>
      <x:c r="BB24" s="55"/>
      <x:c r="BC24" s="55"/>
      <x:c r="BD24" s="55"/>
      <x:c r="BE24" s="56"/>
      <x:c r="BF24" s="56"/>
      <x:c r="BG24" s="55"/>
    </x:row>
    <x:row r="25" ht="28" customHeight="1">
      <x:c r="A25" s="55"/>
      <x:c r="B25" s="55"/>
      <x:c r="C25" s="55"/>
      <x:c r="D25" s="55"/>
      <x:c r="E25" s="56"/>
      <x:c r="F25" s="57"/>
      <x:c r="G25" s="59"/>
      <x:c r="H25" s="59"/>
      <x:c r="I25" s="59"/>
      <x:c r="J25" s="59"/>
      <x:c r="K25" s="59"/>
      <x:c r="L25" s="59"/>
      <x:c r="M25" s="59"/>
      <x:c r="N25" s="59"/>
      <x:c r="O25" s="56"/>
      <x:c r="P25" s="56"/>
      <x:c r="Q25" s="56"/>
      <x:c r="R25" s="56"/>
      <x:c r="S25" s="55"/>
      <x:c r="T25" s="55"/>
      <x:c r="U25" s="56"/>
      <x:c r="V25" s="56"/>
      <x:c r="W25" s="55"/>
      <x:c r="X25" s="60"/>
      <x:c r="Y25" s="55"/>
      <x:c r="Z25" s="55"/>
      <x:c r="AA25" s="59"/>
      <x:c r="AB25" s="55"/>
      <x:c r="AC25" s="55"/>
      <x:c r="AD25" s="59"/>
      <x:c r="AE25" s="55"/>
      <x:c r="AF25" s="55"/>
      <x:c r="AG25" s="59"/>
      <x:c r="AH25" s="55"/>
      <x:c r="AI25" s="55"/>
      <x:c r="AJ25" s="59"/>
      <x:c r="AK25" s="55"/>
      <x:c r="AL25" s="55"/>
      <x:c r="AM25" s="59"/>
      <x:c r="AN25" s="56"/>
      <x:c r="AO25" s="57"/>
      <x:c r="AP25" s="57"/>
      <x:c r="AQ25" s="57"/>
      <x:c r="AR25" s="57"/>
      <x:c r="AS25" s="65" t="str">
        <x:f>IF(COUNT(AQ25,AR25)&lt;2,"",IF(AR25=0,"",AQ25/AR25))</x:f>
      </x:c>
      <x:c r="AT25" s="65" t="str">
        <x:f>IF(COUNT(AQ25,AP25)&lt;2,"",IF(AP25=0,"",AQ25/AP25))</x:f>
      </x:c>
      <x:c r="AU25" s="67" t="str">
        <x:f>IF(COUNT(AQ25,AR25)&lt;2,"",AQ25-AR25)</x:f>
      </x:c>
      <x:c r="AV25" s="67" t="str">
        <x:f>IF(COUNT(AQ25,AP25)&lt;2,"",AQ25-AP25)</x:f>
      </x:c>
      <x:c r="AW25" s="67" t="str">
        <x:f>IF(COUNT(AO25,AS25)&lt;2,"",IF(AS25=0,"",AO25/AS25))</x:f>
      </x:c>
      <x:c r="AX25" s="67" t="str">
        <x:f>IF(COUNT(AW25,AR25)&lt;2,"",AW25-AR25)</x:f>
      </x:c>
      <x:c r="AY25" s="67" t="str">
        <x:f>IF(COUNT(AO25,AW25)&lt;2,"",AO25-AW25)</x:f>
      </x:c>
      <x:c r="AZ25" s="55"/>
      <x:c r="BA25" s="55"/>
      <x:c r="BB25" s="55"/>
      <x:c r="BC25" s="55"/>
      <x:c r="BD25" s="55"/>
      <x:c r="BE25" s="56"/>
      <x:c r="BF25" s="56"/>
      <x:c r="BG25" s="55"/>
    </x:row>
    <x:row r="26" ht="28" customHeight="1">
      <x:c r="A26" s="55"/>
      <x:c r="B26" s="55"/>
      <x:c r="C26" s="55"/>
      <x:c r="D26" s="55"/>
      <x:c r="E26" s="56"/>
      <x:c r="F26" s="57"/>
      <x:c r="G26" s="59"/>
      <x:c r="H26" s="59"/>
      <x:c r="I26" s="59"/>
      <x:c r="J26" s="59"/>
      <x:c r="K26" s="59"/>
      <x:c r="L26" s="59"/>
      <x:c r="M26" s="59"/>
      <x:c r="N26" s="59"/>
      <x:c r="O26" s="56"/>
      <x:c r="P26" s="56"/>
      <x:c r="Q26" s="56"/>
      <x:c r="R26" s="56"/>
      <x:c r="S26" s="55"/>
      <x:c r="T26" s="55"/>
      <x:c r="U26" s="56"/>
      <x:c r="V26" s="56"/>
      <x:c r="W26" s="55"/>
      <x:c r="X26" s="60"/>
      <x:c r="Y26" s="55"/>
      <x:c r="Z26" s="55"/>
      <x:c r="AA26" s="59"/>
      <x:c r="AB26" s="55"/>
      <x:c r="AC26" s="55"/>
      <x:c r="AD26" s="59"/>
      <x:c r="AE26" s="55"/>
      <x:c r="AF26" s="55"/>
      <x:c r="AG26" s="59"/>
      <x:c r="AH26" s="55"/>
      <x:c r="AI26" s="55"/>
      <x:c r="AJ26" s="59"/>
      <x:c r="AK26" s="55"/>
      <x:c r="AL26" s="55"/>
      <x:c r="AM26" s="59"/>
      <x:c r="AN26" s="56"/>
      <x:c r="AO26" s="57"/>
      <x:c r="AP26" s="57"/>
      <x:c r="AQ26" s="57"/>
      <x:c r="AR26" s="57"/>
      <x:c r="AS26" s="65" t="str">
        <x:f>IF(COUNT(AQ26,AR26)&lt;2,"",IF(AR26=0,"",AQ26/AR26))</x:f>
      </x:c>
      <x:c r="AT26" s="65" t="str">
        <x:f>IF(COUNT(AQ26,AP26)&lt;2,"",IF(AP26=0,"",AQ26/AP26))</x:f>
      </x:c>
      <x:c r="AU26" s="67" t="str">
        <x:f>IF(COUNT(AQ26,AR26)&lt;2,"",AQ26-AR26)</x:f>
      </x:c>
      <x:c r="AV26" s="67" t="str">
        <x:f>IF(COUNT(AQ26,AP26)&lt;2,"",AQ26-AP26)</x:f>
      </x:c>
      <x:c r="AW26" s="67" t="str">
        <x:f>IF(COUNT(AO26,AS26)&lt;2,"",IF(AS26=0,"",AO26/AS26))</x:f>
      </x:c>
      <x:c r="AX26" s="67" t="str">
        <x:f>IF(COUNT(AW26,AR26)&lt;2,"",AW26-AR26)</x:f>
      </x:c>
      <x:c r="AY26" s="67" t="str">
        <x:f>IF(COUNT(AO26,AW26)&lt;2,"",AO26-AW26)</x:f>
      </x:c>
      <x:c r="AZ26" s="55"/>
      <x:c r="BA26" s="55"/>
      <x:c r="BB26" s="55"/>
      <x:c r="BC26" s="55"/>
      <x:c r="BD26" s="55"/>
      <x:c r="BE26" s="56"/>
      <x:c r="BF26" s="56"/>
      <x:c r="BG26" s="55"/>
    </x:row>
    <x:row r="27" ht="28" customHeight="1">
      <x:c r="A27" s="55"/>
      <x:c r="B27" s="55"/>
      <x:c r="C27" s="55"/>
      <x:c r="D27" s="55"/>
      <x:c r="E27" s="56"/>
      <x:c r="F27" s="57"/>
      <x:c r="G27" s="59"/>
      <x:c r="H27" s="59"/>
      <x:c r="I27" s="59"/>
      <x:c r="J27" s="59"/>
      <x:c r="K27" s="59"/>
      <x:c r="L27" s="59"/>
      <x:c r="M27" s="59"/>
      <x:c r="N27" s="59"/>
      <x:c r="O27" s="56"/>
      <x:c r="P27" s="56"/>
      <x:c r="Q27" s="56"/>
      <x:c r="R27" s="56"/>
      <x:c r="S27" s="55"/>
      <x:c r="T27" s="55"/>
      <x:c r="U27" s="56"/>
      <x:c r="V27" s="56"/>
      <x:c r="W27" s="55"/>
      <x:c r="X27" s="60"/>
      <x:c r="Y27" s="55"/>
      <x:c r="Z27" s="55"/>
      <x:c r="AA27" s="59"/>
      <x:c r="AB27" s="55"/>
      <x:c r="AC27" s="55"/>
      <x:c r="AD27" s="59"/>
      <x:c r="AE27" s="55"/>
      <x:c r="AF27" s="55"/>
      <x:c r="AG27" s="59"/>
      <x:c r="AH27" s="55"/>
      <x:c r="AI27" s="55"/>
      <x:c r="AJ27" s="59"/>
      <x:c r="AK27" s="55"/>
      <x:c r="AL27" s="55"/>
      <x:c r="AM27" s="59"/>
      <x:c r="AN27" s="56"/>
      <x:c r="AO27" s="57"/>
      <x:c r="AP27" s="57"/>
      <x:c r="AQ27" s="57"/>
      <x:c r="AR27" s="57"/>
      <x:c r="AS27" s="65" t="str">
        <x:f>IF(COUNT(AQ27,AR27)&lt;2,"",IF(AR27=0,"",AQ27/AR27))</x:f>
      </x:c>
      <x:c r="AT27" s="65" t="str">
        <x:f>IF(COUNT(AQ27,AP27)&lt;2,"",IF(AP27=0,"",AQ27/AP27))</x:f>
      </x:c>
      <x:c r="AU27" s="67" t="str">
        <x:f>IF(COUNT(AQ27,AR27)&lt;2,"",AQ27-AR27)</x:f>
      </x:c>
      <x:c r="AV27" s="67" t="str">
        <x:f>IF(COUNT(AQ27,AP27)&lt;2,"",AQ27-AP27)</x:f>
      </x:c>
      <x:c r="AW27" s="67" t="str">
        <x:f>IF(COUNT(AO27,AS27)&lt;2,"",IF(AS27=0,"",AO27/AS27))</x:f>
      </x:c>
      <x:c r="AX27" s="67" t="str">
        <x:f>IF(COUNT(AW27,AR27)&lt;2,"",AW27-AR27)</x:f>
      </x:c>
      <x:c r="AY27" s="67" t="str">
        <x:f>IF(COUNT(AO27,AW27)&lt;2,"",AO27-AW27)</x:f>
      </x:c>
      <x:c r="AZ27" s="55"/>
      <x:c r="BA27" s="55"/>
      <x:c r="BB27" s="55"/>
      <x:c r="BC27" s="55"/>
      <x:c r="BD27" s="55"/>
      <x:c r="BE27" s="56"/>
      <x:c r="BF27" s="56"/>
      <x:c r="BG27" s="55"/>
    </x:row>
    <x:row r="28" ht="28" customHeight="1">
      <x:c r="A28" s="55"/>
      <x:c r="B28" s="55"/>
      <x:c r="C28" s="55"/>
      <x:c r="D28" s="55"/>
      <x:c r="E28" s="56"/>
      <x:c r="F28" s="57"/>
      <x:c r="G28" s="59"/>
      <x:c r="H28" s="59"/>
      <x:c r="I28" s="59"/>
      <x:c r="J28" s="59"/>
      <x:c r="K28" s="59"/>
      <x:c r="L28" s="59"/>
      <x:c r="M28" s="59"/>
      <x:c r="N28" s="59"/>
      <x:c r="O28" s="56"/>
      <x:c r="P28" s="56"/>
      <x:c r="Q28" s="56"/>
      <x:c r="R28" s="56"/>
      <x:c r="S28" s="55"/>
      <x:c r="T28" s="55"/>
      <x:c r="U28" s="56"/>
      <x:c r="V28" s="56"/>
      <x:c r="W28" s="55"/>
      <x:c r="X28" s="60"/>
      <x:c r="Y28" s="55"/>
      <x:c r="Z28" s="55"/>
      <x:c r="AA28" s="59"/>
      <x:c r="AB28" s="55"/>
      <x:c r="AC28" s="55"/>
      <x:c r="AD28" s="59"/>
      <x:c r="AE28" s="55"/>
      <x:c r="AF28" s="55"/>
      <x:c r="AG28" s="59"/>
      <x:c r="AH28" s="55"/>
      <x:c r="AI28" s="55"/>
      <x:c r="AJ28" s="59"/>
      <x:c r="AK28" s="55"/>
      <x:c r="AL28" s="55"/>
      <x:c r="AM28" s="59"/>
      <x:c r="AN28" s="56"/>
      <x:c r="AO28" s="57"/>
      <x:c r="AP28" s="57"/>
      <x:c r="AQ28" s="57"/>
      <x:c r="AR28" s="57"/>
      <x:c r="AS28" s="65" t="str">
        <x:f>IF(COUNT(AQ28,AR28)&lt;2,"",IF(AR28=0,"",AQ28/AR28))</x:f>
      </x:c>
      <x:c r="AT28" s="65" t="str">
        <x:f>IF(COUNT(AQ28,AP28)&lt;2,"",IF(AP28=0,"",AQ28/AP28))</x:f>
      </x:c>
      <x:c r="AU28" s="67" t="str">
        <x:f>IF(COUNT(AQ28,AR28)&lt;2,"",AQ28-AR28)</x:f>
      </x:c>
      <x:c r="AV28" s="67" t="str">
        <x:f>IF(COUNT(AQ28,AP28)&lt;2,"",AQ28-AP28)</x:f>
      </x:c>
      <x:c r="AW28" s="67" t="str">
        <x:f>IF(COUNT(AO28,AS28)&lt;2,"",IF(AS28=0,"",AO28/AS28))</x:f>
      </x:c>
      <x:c r="AX28" s="67" t="str">
        <x:f>IF(COUNT(AW28,AR28)&lt;2,"",AW28-AR28)</x:f>
      </x:c>
      <x:c r="AY28" s="67" t="str">
        <x:f>IF(COUNT(AO28,AW28)&lt;2,"",AO28-AW28)</x:f>
      </x:c>
      <x:c r="AZ28" s="55"/>
      <x:c r="BA28" s="55"/>
      <x:c r="BB28" s="55"/>
      <x:c r="BC28" s="55"/>
      <x:c r="BD28" s="55"/>
      <x:c r="BE28" s="56"/>
      <x:c r="BF28" s="56"/>
      <x:c r="BG28" s="55"/>
    </x:row>
    <x:row r="29" ht="28" customHeight="1">
      <x:c r="A29" s="55"/>
      <x:c r="B29" s="55"/>
      <x:c r="C29" s="55"/>
      <x:c r="D29" s="55"/>
      <x:c r="E29" s="56"/>
      <x:c r="F29" s="57"/>
      <x:c r="G29" s="59"/>
      <x:c r="H29" s="59"/>
      <x:c r="I29" s="59"/>
      <x:c r="J29" s="59"/>
      <x:c r="K29" s="59"/>
      <x:c r="L29" s="59"/>
      <x:c r="M29" s="59"/>
      <x:c r="N29" s="59"/>
      <x:c r="O29" s="56"/>
      <x:c r="P29" s="56"/>
      <x:c r="Q29" s="56"/>
      <x:c r="R29" s="56"/>
      <x:c r="S29" s="55"/>
      <x:c r="T29" s="55"/>
      <x:c r="U29" s="56"/>
      <x:c r="V29" s="56"/>
      <x:c r="W29" s="55"/>
      <x:c r="X29" s="60"/>
      <x:c r="Y29" s="55"/>
      <x:c r="Z29" s="55"/>
      <x:c r="AA29" s="59"/>
      <x:c r="AB29" s="55"/>
      <x:c r="AC29" s="55"/>
      <x:c r="AD29" s="59"/>
      <x:c r="AE29" s="55"/>
      <x:c r="AF29" s="55"/>
      <x:c r="AG29" s="59"/>
      <x:c r="AH29" s="55"/>
      <x:c r="AI29" s="55"/>
      <x:c r="AJ29" s="59"/>
      <x:c r="AK29" s="55"/>
      <x:c r="AL29" s="55"/>
      <x:c r="AM29" s="59"/>
      <x:c r="AN29" s="56"/>
      <x:c r="AO29" s="57"/>
      <x:c r="AP29" s="57"/>
      <x:c r="AQ29" s="57"/>
      <x:c r="AR29" s="57"/>
      <x:c r="AS29" s="65" t="str">
        <x:f>IF(COUNT(AQ29,AR29)&lt;2,"",IF(AR29=0,"",AQ29/AR29))</x:f>
      </x:c>
      <x:c r="AT29" s="65" t="str">
        <x:f>IF(COUNT(AQ29,AP29)&lt;2,"",IF(AP29=0,"",AQ29/AP29))</x:f>
      </x:c>
      <x:c r="AU29" s="67" t="str">
        <x:f>IF(COUNT(AQ29,AR29)&lt;2,"",AQ29-AR29)</x:f>
      </x:c>
      <x:c r="AV29" s="67" t="str">
        <x:f>IF(COUNT(AQ29,AP29)&lt;2,"",AQ29-AP29)</x:f>
      </x:c>
      <x:c r="AW29" s="67" t="str">
        <x:f>IF(COUNT(AO29,AS29)&lt;2,"",IF(AS29=0,"",AO29/AS29))</x:f>
      </x:c>
      <x:c r="AX29" s="67" t="str">
        <x:f>IF(COUNT(AW29,AR29)&lt;2,"",AW29-AR29)</x:f>
      </x:c>
      <x:c r="AY29" s="67" t="str">
        <x:f>IF(COUNT(AO29,AW29)&lt;2,"",AO29-AW29)</x:f>
      </x:c>
      <x:c r="AZ29" s="55"/>
      <x:c r="BA29" s="55"/>
      <x:c r="BB29" s="55"/>
      <x:c r="BC29" s="55"/>
      <x:c r="BD29" s="55"/>
      <x:c r="BE29" s="56"/>
      <x:c r="BF29" s="56"/>
      <x:c r="BG29" s="55"/>
    </x:row>
    <x:row r="30" ht="28" customHeight="1">
      <x:c r="A30" s="55"/>
      <x:c r="B30" s="55"/>
      <x:c r="C30" s="55"/>
      <x:c r="D30" s="55"/>
      <x:c r="E30" s="56"/>
      <x:c r="F30" s="57"/>
      <x:c r="G30" s="59"/>
      <x:c r="H30" s="59"/>
      <x:c r="I30" s="59"/>
      <x:c r="J30" s="59"/>
      <x:c r="K30" s="59"/>
      <x:c r="L30" s="59"/>
      <x:c r="M30" s="59"/>
      <x:c r="N30" s="59"/>
      <x:c r="O30" s="56"/>
      <x:c r="P30" s="56"/>
      <x:c r="Q30" s="56"/>
      <x:c r="R30" s="56"/>
      <x:c r="S30" s="55"/>
      <x:c r="T30" s="55"/>
      <x:c r="U30" s="56"/>
      <x:c r="V30" s="56"/>
      <x:c r="W30" s="55"/>
      <x:c r="X30" s="60"/>
      <x:c r="Y30" s="55"/>
      <x:c r="Z30" s="55"/>
      <x:c r="AA30" s="59"/>
      <x:c r="AB30" s="55"/>
      <x:c r="AC30" s="55"/>
      <x:c r="AD30" s="59"/>
      <x:c r="AE30" s="55"/>
      <x:c r="AF30" s="55"/>
      <x:c r="AG30" s="59"/>
      <x:c r="AH30" s="55"/>
      <x:c r="AI30" s="55"/>
      <x:c r="AJ30" s="59"/>
      <x:c r="AK30" s="55"/>
      <x:c r="AL30" s="55"/>
      <x:c r="AM30" s="59"/>
      <x:c r="AN30" s="56"/>
      <x:c r="AO30" s="57"/>
      <x:c r="AP30" s="57"/>
      <x:c r="AQ30" s="57"/>
      <x:c r="AR30" s="57"/>
      <x:c r="AS30" s="65" t="str">
        <x:f>IF(COUNT(AQ30,AR30)&lt;2,"",IF(AR30=0,"",AQ30/AR30))</x:f>
      </x:c>
      <x:c r="AT30" s="65" t="str">
        <x:f>IF(COUNT(AQ30,AP30)&lt;2,"",IF(AP30=0,"",AQ30/AP30))</x:f>
      </x:c>
      <x:c r="AU30" s="67" t="str">
        <x:f>IF(COUNT(AQ30,AR30)&lt;2,"",AQ30-AR30)</x:f>
      </x:c>
      <x:c r="AV30" s="67" t="str">
        <x:f>IF(COUNT(AQ30,AP30)&lt;2,"",AQ30-AP30)</x:f>
      </x:c>
      <x:c r="AW30" s="67" t="str">
        <x:f>IF(COUNT(AO30,AS30)&lt;2,"",IF(AS30=0,"",AO30/AS30))</x:f>
      </x:c>
      <x:c r="AX30" s="67" t="str">
        <x:f>IF(COUNT(AW30,AR30)&lt;2,"",AW30-AR30)</x:f>
      </x:c>
      <x:c r="AY30" s="67" t="str">
        <x:f>IF(COUNT(AO30,AW30)&lt;2,"",AO30-AW30)</x:f>
      </x:c>
      <x:c r="AZ30" s="55"/>
      <x:c r="BA30" s="55"/>
      <x:c r="BB30" s="55"/>
      <x:c r="BC30" s="55"/>
      <x:c r="BD30" s="55"/>
      <x:c r="BE30" s="56"/>
      <x:c r="BF30" s="56"/>
      <x:c r="BG30" s="55"/>
    </x:row>
    <x:row r="31" ht="28" customHeight="1">
      <x:c r="A31" s="55"/>
      <x:c r="B31" s="55"/>
      <x:c r="C31" s="55"/>
      <x:c r="D31" s="55"/>
      <x:c r="E31" s="56"/>
      <x:c r="F31" s="57"/>
      <x:c r="G31" s="59"/>
      <x:c r="H31" s="59"/>
      <x:c r="I31" s="59"/>
      <x:c r="J31" s="59"/>
      <x:c r="K31" s="59"/>
      <x:c r="L31" s="59"/>
      <x:c r="M31" s="59"/>
      <x:c r="N31" s="59"/>
      <x:c r="O31" s="56"/>
      <x:c r="P31" s="56"/>
      <x:c r="Q31" s="56"/>
      <x:c r="R31" s="56"/>
      <x:c r="S31" s="55"/>
      <x:c r="T31" s="55"/>
      <x:c r="U31" s="56"/>
      <x:c r="V31" s="56"/>
      <x:c r="W31" s="55"/>
      <x:c r="X31" s="60"/>
      <x:c r="Y31" s="55"/>
      <x:c r="Z31" s="55"/>
      <x:c r="AA31" s="59"/>
      <x:c r="AB31" s="55"/>
      <x:c r="AC31" s="55"/>
      <x:c r="AD31" s="59"/>
      <x:c r="AE31" s="55"/>
      <x:c r="AF31" s="55"/>
      <x:c r="AG31" s="59"/>
      <x:c r="AH31" s="55"/>
      <x:c r="AI31" s="55"/>
      <x:c r="AJ31" s="59"/>
      <x:c r="AK31" s="55"/>
      <x:c r="AL31" s="55"/>
      <x:c r="AM31" s="59"/>
      <x:c r="AN31" s="56"/>
      <x:c r="AO31" s="57"/>
      <x:c r="AP31" s="57"/>
      <x:c r="AQ31" s="57"/>
      <x:c r="AR31" s="57"/>
      <x:c r="AS31" s="65" t="str">
        <x:f>IF(COUNT(AQ31,AR31)&lt;2,"",IF(AR31=0,"",AQ31/AR31))</x:f>
      </x:c>
      <x:c r="AT31" s="65" t="str">
        <x:f>IF(COUNT(AQ31,AP31)&lt;2,"",IF(AP31=0,"",AQ31/AP31))</x:f>
      </x:c>
      <x:c r="AU31" s="67" t="str">
        <x:f>IF(COUNT(AQ31,AR31)&lt;2,"",AQ31-AR31)</x:f>
      </x:c>
      <x:c r="AV31" s="67" t="str">
        <x:f>IF(COUNT(AQ31,AP31)&lt;2,"",AQ31-AP31)</x:f>
      </x:c>
      <x:c r="AW31" s="67" t="str">
        <x:f>IF(COUNT(AO31,AS31)&lt;2,"",IF(AS31=0,"",AO31/AS31))</x:f>
      </x:c>
      <x:c r="AX31" s="67" t="str">
        <x:f>IF(COUNT(AW31,AR31)&lt;2,"",AW31-AR31)</x:f>
      </x:c>
      <x:c r="AY31" s="67" t="str">
        <x:f>IF(COUNT(AO31,AW31)&lt;2,"",AO31-AW31)</x:f>
      </x:c>
      <x:c r="AZ31" s="55"/>
      <x:c r="BA31" s="55"/>
      <x:c r="BB31" s="55"/>
      <x:c r="BC31" s="55"/>
      <x:c r="BD31" s="55"/>
      <x:c r="BE31" s="56"/>
      <x:c r="BF31" s="56"/>
      <x:c r="BG31" s="55"/>
    </x:row>
    <x:row r="32" ht="28" customHeight="1">
      <x:c r="A32" s="55"/>
      <x:c r="B32" s="55"/>
      <x:c r="C32" s="55"/>
      <x:c r="D32" s="55"/>
      <x:c r="E32" s="56"/>
      <x:c r="F32" s="57"/>
      <x:c r="G32" s="59"/>
      <x:c r="H32" s="59"/>
      <x:c r="I32" s="59"/>
      <x:c r="J32" s="59"/>
      <x:c r="K32" s="59"/>
      <x:c r="L32" s="59"/>
      <x:c r="M32" s="59"/>
      <x:c r="N32" s="59"/>
      <x:c r="O32" s="56"/>
      <x:c r="P32" s="56"/>
      <x:c r="Q32" s="56"/>
      <x:c r="R32" s="56"/>
      <x:c r="S32" s="55"/>
      <x:c r="T32" s="55"/>
      <x:c r="U32" s="56"/>
      <x:c r="V32" s="56"/>
      <x:c r="W32" s="55"/>
      <x:c r="X32" s="60"/>
      <x:c r="Y32" s="55"/>
      <x:c r="Z32" s="55"/>
      <x:c r="AA32" s="59"/>
      <x:c r="AB32" s="55"/>
      <x:c r="AC32" s="55"/>
      <x:c r="AD32" s="59"/>
      <x:c r="AE32" s="55"/>
      <x:c r="AF32" s="55"/>
      <x:c r="AG32" s="59"/>
      <x:c r="AH32" s="55"/>
      <x:c r="AI32" s="55"/>
      <x:c r="AJ32" s="59"/>
      <x:c r="AK32" s="55"/>
      <x:c r="AL32" s="55"/>
      <x:c r="AM32" s="59"/>
      <x:c r="AN32" s="56"/>
      <x:c r="AO32" s="57"/>
      <x:c r="AP32" s="57"/>
      <x:c r="AQ32" s="57"/>
      <x:c r="AR32" s="57"/>
      <x:c r="AS32" s="65" t="str">
        <x:f>IF(COUNT(AQ32,AR32)&lt;2,"",IF(AR32=0,"",AQ32/AR32))</x:f>
      </x:c>
      <x:c r="AT32" s="65" t="str">
        <x:f>IF(COUNT(AQ32,AP32)&lt;2,"",IF(AP32=0,"",AQ32/AP32))</x:f>
      </x:c>
      <x:c r="AU32" s="67" t="str">
        <x:f>IF(COUNT(AQ32,AR32)&lt;2,"",AQ32-AR32)</x:f>
      </x:c>
      <x:c r="AV32" s="67" t="str">
        <x:f>IF(COUNT(AQ32,AP32)&lt;2,"",AQ32-AP32)</x:f>
      </x:c>
      <x:c r="AW32" s="67" t="str">
        <x:f>IF(COUNT(AO32,AS32)&lt;2,"",IF(AS32=0,"",AO32/AS32))</x:f>
      </x:c>
      <x:c r="AX32" s="67" t="str">
        <x:f>IF(COUNT(AW32,AR32)&lt;2,"",AW32-AR32)</x:f>
      </x:c>
      <x:c r="AY32" s="67" t="str">
        <x:f>IF(COUNT(AO32,AW32)&lt;2,"",AO32-AW32)</x:f>
      </x:c>
      <x:c r="AZ32" s="55"/>
      <x:c r="BA32" s="55"/>
      <x:c r="BB32" s="55"/>
      <x:c r="BC32" s="55"/>
      <x:c r="BD32" s="55"/>
      <x:c r="BE32" s="56"/>
      <x:c r="BF32" s="56"/>
      <x:c r="BG32" s="55"/>
    </x:row>
    <x:row r="33" ht="28" customHeight="1">
      <x:c r="A33" s="55"/>
      <x:c r="B33" s="55"/>
      <x:c r="C33" s="55"/>
      <x:c r="D33" s="55"/>
      <x:c r="E33" s="56"/>
      <x:c r="F33" s="57"/>
      <x:c r="G33" s="59"/>
      <x:c r="H33" s="59"/>
      <x:c r="I33" s="59"/>
      <x:c r="J33" s="59"/>
      <x:c r="K33" s="59"/>
      <x:c r="L33" s="59"/>
      <x:c r="M33" s="59"/>
      <x:c r="N33" s="59"/>
      <x:c r="O33" s="56"/>
      <x:c r="P33" s="56"/>
      <x:c r="Q33" s="56"/>
      <x:c r="R33" s="56"/>
      <x:c r="S33" s="55"/>
      <x:c r="T33" s="55"/>
      <x:c r="U33" s="56"/>
      <x:c r="V33" s="56"/>
      <x:c r="W33" s="55"/>
      <x:c r="X33" s="60"/>
      <x:c r="Y33" s="55"/>
      <x:c r="Z33" s="55"/>
      <x:c r="AA33" s="59"/>
      <x:c r="AB33" s="55"/>
      <x:c r="AC33" s="55"/>
      <x:c r="AD33" s="59"/>
      <x:c r="AE33" s="55"/>
      <x:c r="AF33" s="55"/>
      <x:c r="AG33" s="59"/>
      <x:c r="AH33" s="55"/>
      <x:c r="AI33" s="55"/>
      <x:c r="AJ33" s="59"/>
      <x:c r="AK33" s="55"/>
      <x:c r="AL33" s="55"/>
      <x:c r="AM33" s="59"/>
      <x:c r="AN33" s="56"/>
      <x:c r="AO33" s="57"/>
      <x:c r="AP33" s="57"/>
      <x:c r="AQ33" s="57"/>
      <x:c r="AR33" s="57"/>
      <x:c r="AS33" s="65" t="str">
        <x:f>IF(COUNT(AQ33,AR33)&lt;2,"",IF(AR33=0,"",AQ33/AR33))</x:f>
      </x:c>
      <x:c r="AT33" s="65" t="str">
        <x:f>IF(COUNT(AQ33,AP33)&lt;2,"",IF(AP33=0,"",AQ33/AP33))</x:f>
      </x:c>
      <x:c r="AU33" s="67" t="str">
        <x:f>IF(COUNT(AQ33,AR33)&lt;2,"",AQ33-AR33)</x:f>
      </x:c>
      <x:c r="AV33" s="67" t="str">
        <x:f>IF(COUNT(AQ33,AP33)&lt;2,"",AQ33-AP33)</x:f>
      </x:c>
      <x:c r="AW33" s="67" t="str">
        <x:f>IF(COUNT(AO33,AS33)&lt;2,"",IF(AS33=0,"",AO33/AS33))</x:f>
      </x:c>
      <x:c r="AX33" s="67" t="str">
        <x:f>IF(COUNT(AW33,AR33)&lt;2,"",AW33-AR33)</x:f>
      </x:c>
      <x:c r="AY33" s="67" t="str">
        <x:f>IF(COUNT(AO33,AW33)&lt;2,"",AO33-AW33)</x:f>
      </x:c>
      <x:c r="AZ33" s="55"/>
      <x:c r="BA33" s="55"/>
      <x:c r="BB33" s="55"/>
      <x:c r="BC33" s="55"/>
      <x:c r="BD33" s="55"/>
      <x:c r="BE33" s="56"/>
      <x:c r="BF33" s="56"/>
      <x:c r="BG33" s="55"/>
    </x:row>
    <x:row r="34" ht="28" customHeight="1">
      <x:c r="A34" s="55"/>
      <x:c r="B34" s="55"/>
      <x:c r="C34" s="55"/>
      <x:c r="D34" s="55"/>
      <x:c r="E34" s="56"/>
      <x:c r="F34" s="57"/>
      <x:c r="G34" s="59"/>
      <x:c r="H34" s="59"/>
      <x:c r="I34" s="59"/>
      <x:c r="J34" s="59"/>
      <x:c r="K34" s="59"/>
      <x:c r="L34" s="59"/>
      <x:c r="M34" s="59"/>
      <x:c r="N34" s="59"/>
      <x:c r="O34" s="56"/>
      <x:c r="P34" s="56"/>
      <x:c r="Q34" s="56"/>
      <x:c r="R34" s="56"/>
      <x:c r="S34" s="55"/>
      <x:c r="T34" s="55"/>
      <x:c r="U34" s="56"/>
      <x:c r="V34" s="56"/>
      <x:c r="W34" s="55"/>
      <x:c r="X34" s="60"/>
      <x:c r="Y34" s="55"/>
      <x:c r="Z34" s="55"/>
      <x:c r="AA34" s="59"/>
      <x:c r="AB34" s="55"/>
      <x:c r="AC34" s="55"/>
      <x:c r="AD34" s="59"/>
      <x:c r="AE34" s="55"/>
      <x:c r="AF34" s="55"/>
      <x:c r="AG34" s="59"/>
      <x:c r="AH34" s="55"/>
      <x:c r="AI34" s="55"/>
      <x:c r="AJ34" s="59"/>
      <x:c r="AK34" s="55"/>
      <x:c r="AL34" s="55"/>
      <x:c r="AM34" s="59"/>
      <x:c r="AN34" s="56"/>
      <x:c r="AO34" s="57"/>
      <x:c r="AP34" s="57"/>
      <x:c r="AQ34" s="57"/>
      <x:c r="AR34" s="57"/>
      <x:c r="AS34" s="65" t="str">
        <x:f>IF(COUNT(AQ34,AR34)&lt;2,"",IF(AR34=0,"",AQ34/AR34))</x:f>
      </x:c>
      <x:c r="AT34" s="65" t="str">
        <x:f>IF(COUNT(AQ34,AP34)&lt;2,"",IF(AP34=0,"",AQ34/AP34))</x:f>
      </x:c>
      <x:c r="AU34" s="67" t="str">
        <x:f>IF(COUNT(AQ34,AR34)&lt;2,"",AQ34-AR34)</x:f>
      </x:c>
      <x:c r="AV34" s="67" t="str">
        <x:f>IF(COUNT(AQ34,AP34)&lt;2,"",AQ34-AP34)</x:f>
      </x:c>
      <x:c r="AW34" s="67" t="str">
        <x:f>IF(COUNT(AO34,AS34)&lt;2,"",IF(AS34=0,"",AO34/AS34))</x:f>
      </x:c>
      <x:c r="AX34" s="67" t="str">
        <x:f>IF(COUNT(AW34,AR34)&lt;2,"",AW34-AR34)</x:f>
      </x:c>
      <x:c r="AY34" s="67" t="str">
        <x:f>IF(COUNT(AO34,AW34)&lt;2,"",AO34-AW34)</x:f>
      </x:c>
      <x:c r="AZ34" s="55"/>
      <x:c r="BA34" s="55"/>
      <x:c r="BB34" s="55"/>
      <x:c r="BC34" s="55"/>
      <x:c r="BD34" s="55"/>
      <x:c r="BE34" s="56"/>
      <x:c r="BF34" s="56"/>
      <x:c r="BG34" s="55"/>
    </x:row>
    <x:row r="35" ht="28" customHeight="1">
      <x:c r="A35" s="55"/>
      <x:c r="B35" s="55"/>
      <x:c r="C35" s="55"/>
      <x:c r="D35" s="55"/>
      <x:c r="E35" s="56"/>
      <x:c r="F35" s="57"/>
      <x:c r="G35" s="59"/>
      <x:c r="H35" s="59"/>
      <x:c r="I35" s="59"/>
      <x:c r="J35" s="59"/>
      <x:c r="K35" s="59"/>
      <x:c r="L35" s="59"/>
      <x:c r="M35" s="59"/>
      <x:c r="N35" s="59"/>
      <x:c r="O35" s="56"/>
      <x:c r="P35" s="56"/>
      <x:c r="Q35" s="56"/>
      <x:c r="R35" s="56"/>
      <x:c r="S35" s="55"/>
      <x:c r="T35" s="55"/>
      <x:c r="U35" s="56"/>
      <x:c r="V35" s="56"/>
      <x:c r="W35" s="55"/>
      <x:c r="X35" s="60"/>
      <x:c r="Y35" s="55"/>
      <x:c r="Z35" s="55"/>
      <x:c r="AA35" s="59"/>
      <x:c r="AB35" s="55"/>
      <x:c r="AC35" s="55"/>
      <x:c r="AD35" s="59"/>
      <x:c r="AE35" s="55"/>
      <x:c r="AF35" s="55"/>
      <x:c r="AG35" s="59"/>
      <x:c r="AH35" s="55"/>
      <x:c r="AI35" s="55"/>
      <x:c r="AJ35" s="59"/>
      <x:c r="AK35" s="55"/>
      <x:c r="AL35" s="55"/>
      <x:c r="AM35" s="59"/>
      <x:c r="AN35" s="56"/>
      <x:c r="AO35" s="57"/>
      <x:c r="AP35" s="57"/>
      <x:c r="AQ35" s="57"/>
      <x:c r="AR35" s="57"/>
      <x:c r="AS35" s="65" t="str">
        <x:f>IF(COUNT(AQ35,AR35)&lt;2,"",IF(AR35=0,"",AQ35/AR35))</x:f>
      </x:c>
      <x:c r="AT35" s="65" t="str">
        <x:f>IF(COUNT(AQ35,AP35)&lt;2,"",IF(AP35=0,"",AQ35/AP35))</x:f>
      </x:c>
      <x:c r="AU35" s="67" t="str">
        <x:f>IF(COUNT(AQ35,AR35)&lt;2,"",AQ35-AR35)</x:f>
      </x:c>
      <x:c r="AV35" s="67" t="str">
        <x:f>IF(COUNT(AQ35,AP35)&lt;2,"",AQ35-AP35)</x:f>
      </x:c>
      <x:c r="AW35" s="67" t="str">
        <x:f>IF(COUNT(AO35,AS35)&lt;2,"",IF(AS35=0,"",AO35/AS35))</x:f>
      </x:c>
      <x:c r="AX35" s="67" t="str">
        <x:f>IF(COUNT(AW35,AR35)&lt;2,"",AW35-AR35)</x:f>
      </x:c>
      <x:c r="AY35" s="67" t="str">
        <x:f>IF(COUNT(AO35,AW35)&lt;2,"",AO35-AW35)</x:f>
      </x:c>
      <x:c r="AZ35" s="55"/>
      <x:c r="BA35" s="55"/>
      <x:c r="BB35" s="55"/>
      <x:c r="BC35" s="55"/>
      <x:c r="BD35" s="55"/>
      <x:c r="BE35" s="56"/>
      <x:c r="BF35" s="56"/>
      <x:c r="BG35" s="55"/>
    </x:row>
    <x:row r="36" ht="28" customHeight="1">
      <x:c r="A36" s="55"/>
      <x:c r="B36" s="55"/>
      <x:c r="C36" s="55"/>
      <x:c r="D36" s="55"/>
      <x:c r="E36" s="56"/>
      <x:c r="F36" s="57"/>
      <x:c r="G36" s="59"/>
      <x:c r="H36" s="59"/>
      <x:c r="I36" s="59"/>
      <x:c r="J36" s="59"/>
      <x:c r="K36" s="59"/>
      <x:c r="L36" s="59"/>
      <x:c r="M36" s="59"/>
      <x:c r="N36" s="59"/>
      <x:c r="O36" s="56"/>
      <x:c r="P36" s="56"/>
      <x:c r="Q36" s="56"/>
      <x:c r="R36" s="56"/>
      <x:c r="S36" s="55"/>
      <x:c r="T36" s="55"/>
      <x:c r="U36" s="56"/>
      <x:c r="V36" s="56"/>
      <x:c r="W36" s="55"/>
      <x:c r="X36" s="60"/>
      <x:c r="Y36" s="55"/>
      <x:c r="Z36" s="55"/>
      <x:c r="AA36" s="59"/>
      <x:c r="AB36" s="55"/>
      <x:c r="AC36" s="55"/>
      <x:c r="AD36" s="59"/>
      <x:c r="AE36" s="55"/>
      <x:c r="AF36" s="55"/>
      <x:c r="AG36" s="59"/>
      <x:c r="AH36" s="55"/>
      <x:c r="AI36" s="55"/>
      <x:c r="AJ36" s="59"/>
      <x:c r="AK36" s="55"/>
      <x:c r="AL36" s="55"/>
      <x:c r="AM36" s="59"/>
      <x:c r="AN36" s="56"/>
      <x:c r="AO36" s="57"/>
      <x:c r="AP36" s="57"/>
      <x:c r="AQ36" s="57"/>
      <x:c r="AR36" s="57"/>
      <x:c r="AS36" s="65" t="str">
        <x:f>IF(COUNT(AQ36,AR36)&lt;2,"",IF(AR36=0,"",AQ36/AR36))</x:f>
      </x:c>
      <x:c r="AT36" s="65" t="str">
        <x:f>IF(COUNT(AQ36,AP36)&lt;2,"",IF(AP36=0,"",AQ36/AP36))</x:f>
      </x:c>
      <x:c r="AU36" s="67" t="str">
        <x:f>IF(COUNT(AQ36,AR36)&lt;2,"",AQ36-AR36)</x:f>
      </x:c>
      <x:c r="AV36" s="67" t="str">
        <x:f>IF(COUNT(AQ36,AP36)&lt;2,"",AQ36-AP36)</x:f>
      </x:c>
      <x:c r="AW36" s="67" t="str">
        <x:f>IF(COUNT(AO36,AS36)&lt;2,"",IF(AS36=0,"",AO36/AS36))</x:f>
      </x:c>
      <x:c r="AX36" s="67" t="str">
        <x:f>IF(COUNT(AW36,AR36)&lt;2,"",AW36-AR36)</x:f>
      </x:c>
      <x:c r="AY36" s="67" t="str">
        <x:f>IF(COUNT(AO36,AW36)&lt;2,"",AO36-AW36)</x:f>
      </x:c>
      <x:c r="AZ36" s="55"/>
      <x:c r="BA36" s="55"/>
      <x:c r="BB36" s="55"/>
      <x:c r="BC36" s="55"/>
      <x:c r="BD36" s="55"/>
      <x:c r="BE36" s="56"/>
      <x:c r="BF36" s="56"/>
      <x:c r="BG36" s="55"/>
    </x:row>
    <x:row r="37" ht="28" customHeight="1">
      <x:c r="A37" s="55"/>
      <x:c r="B37" s="55"/>
      <x:c r="C37" s="55"/>
      <x:c r="D37" s="55"/>
      <x:c r="E37" s="56"/>
      <x:c r="F37" s="57"/>
      <x:c r="G37" s="59"/>
      <x:c r="H37" s="59"/>
      <x:c r="I37" s="59"/>
      <x:c r="J37" s="59"/>
      <x:c r="K37" s="59"/>
      <x:c r="L37" s="59"/>
      <x:c r="M37" s="59"/>
      <x:c r="N37" s="59"/>
      <x:c r="O37" s="56"/>
      <x:c r="P37" s="56"/>
      <x:c r="Q37" s="56"/>
      <x:c r="R37" s="56"/>
      <x:c r="S37" s="55"/>
      <x:c r="T37" s="55"/>
      <x:c r="U37" s="56"/>
      <x:c r="V37" s="56"/>
      <x:c r="W37" s="55"/>
      <x:c r="X37" s="60"/>
      <x:c r="Y37" s="55"/>
      <x:c r="Z37" s="55"/>
      <x:c r="AA37" s="59"/>
      <x:c r="AB37" s="55"/>
      <x:c r="AC37" s="55"/>
      <x:c r="AD37" s="59"/>
      <x:c r="AE37" s="55"/>
      <x:c r="AF37" s="55"/>
      <x:c r="AG37" s="59"/>
      <x:c r="AH37" s="55"/>
      <x:c r="AI37" s="55"/>
      <x:c r="AJ37" s="59"/>
      <x:c r="AK37" s="55"/>
      <x:c r="AL37" s="55"/>
      <x:c r="AM37" s="59"/>
      <x:c r="AN37" s="56"/>
      <x:c r="AO37" s="57"/>
      <x:c r="AP37" s="57"/>
      <x:c r="AQ37" s="57"/>
      <x:c r="AR37" s="57"/>
      <x:c r="AS37" s="65" t="str">
        <x:f>IF(COUNT(AQ37,AR37)&lt;2,"",IF(AR37=0,"",AQ37/AR37))</x:f>
      </x:c>
      <x:c r="AT37" s="65" t="str">
        <x:f>IF(COUNT(AQ37,AP37)&lt;2,"",IF(AP37=0,"",AQ37/AP37))</x:f>
      </x:c>
      <x:c r="AU37" s="67" t="str">
        <x:f>IF(COUNT(AQ37,AR37)&lt;2,"",AQ37-AR37)</x:f>
      </x:c>
      <x:c r="AV37" s="67" t="str">
        <x:f>IF(COUNT(AQ37,AP37)&lt;2,"",AQ37-AP37)</x:f>
      </x:c>
      <x:c r="AW37" s="67" t="str">
        <x:f>IF(COUNT(AO37,AS37)&lt;2,"",IF(AS37=0,"",AO37/AS37))</x:f>
      </x:c>
      <x:c r="AX37" s="67" t="str">
        <x:f>IF(COUNT(AW37,AR37)&lt;2,"",AW37-AR37)</x:f>
      </x:c>
      <x:c r="AY37" s="67" t="str">
        <x:f>IF(COUNT(AO37,AW37)&lt;2,"",AO37-AW37)</x:f>
      </x:c>
      <x:c r="AZ37" s="55"/>
      <x:c r="BA37" s="55"/>
      <x:c r="BB37" s="55"/>
      <x:c r="BC37" s="55"/>
      <x:c r="BD37" s="55"/>
      <x:c r="BE37" s="56"/>
      <x:c r="BF37" s="56"/>
      <x:c r="BG37" s="55"/>
    </x:row>
    <x:row r="38" ht="28" customHeight="1">
      <x:c r="A38" s="55"/>
      <x:c r="B38" s="55"/>
      <x:c r="C38" s="55"/>
      <x:c r="D38" s="55"/>
      <x:c r="E38" s="56"/>
      <x:c r="F38" s="57"/>
      <x:c r="G38" s="59"/>
      <x:c r="H38" s="59"/>
      <x:c r="I38" s="59"/>
      <x:c r="J38" s="59"/>
      <x:c r="K38" s="59"/>
      <x:c r="L38" s="59"/>
      <x:c r="M38" s="59"/>
      <x:c r="N38" s="59"/>
      <x:c r="O38" s="56"/>
      <x:c r="P38" s="56"/>
      <x:c r="Q38" s="56"/>
      <x:c r="R38" s="56"/>
      <x:c r="S38" s="55"/>
      <x:c r="T38" s="55"/>
      <x:c r="U38" s="56"/>
      <x:c r="V38" s="56"/>
      <x:c r="W38" s="55"/>
      <x:c r="X38" s="60"/>
      <x:c r="Y38" s="55"/>
      <x:c r="Z38" s="55"/>
      <x:c r="AA38" s="59"/>
      <x:c r="AB38" s="55"/>
      <x:c r="AC38" s="55"/>
      <x:c r="AD38" s="59"/>
      <x:c r="AE38" s="55"/>
      <x:c r="AF38" s="55"/>
      <x:c r="AG38" s="59"/>
      <x:c r="AH38" s="55"/>
      <x:c r="AI38" s="55"/>
      <x:c r="AJ38" s="59"/>
      <x:c r="AK38" s="55"/>
      <x:c r="AL38" s="55"/>
      <x:c r="AM38" s="59"/>
      <x:c r="AN38" s="56"/>
      <x:c r="AO38" s="57"/>
      <x:c r="AP38" s="57"/>
      <x:c r="AQ38" s="57"/>
      <x:c r="AR38" s="57"/>
      <x:c r="AS38" s="65" t="str">
        <x:f>IF(COUNT(AQ38,AR38)&lt;2,"",IF(AR38=0,"",AQ38/AR38))</x:f>
      </x:c>
      <x:c r="AT38" s="65" t="str">
        <x:f>IF(COUNT(AQ38,AP38)&lt;2,"",IF(AP38=0,"",AQ38/AP38))</x:f>
      </x:c>
      <x:c r="AU38" s="67" t="str">
        <x:f>IF(COUNT(AQ38,AR38)&lt;2,"",AQ38-AR38)</x:f>
      </x:c>
      <x:c r="AV38" s="67" t="str">
        <x:f>IF(COUNT(AQ38,AP38)&lt;2,"",AQ38-AP38)</x:f>
      </x:c>
      <x:c r="AW38" s="67" t="str">
        <x:f>IF(COUNT(AO38,AS38)&lt;2,"",IF(AS38=0,"",AO38/AS38))</x:f>
      </x:c>
      <x:c r="AX38" s="67" t="str">
        <x:f>IF(COUNT(AW38,AR38)&lt;2,"",AW38-AR38)</x:f>
      </x:c>
      <x:c r="AY38" s="67" t="str">
        <x:f>IF(COUNT(AO38,AW38)&lt;2,"",AO38-AW38)</x:f>
      </x:c>
      <x:c r="AZ38" s="55"/>
      <x:c r="BA38" s="55"/>
      <x:c r="BB38" s="55"/>
      <x:c r="BC38" s="55"/>
      <x:c r="BD38" s="55"/>
      <x:c r="BE38" s="56"/>
      <x:c r="BF38" s="56"/>
      <x:c r="BG38" s="55"/>
    </x:row>
    <x:row r="39" ht="28" customHeight="1">
      <x:c r="A39" s="55"/>
      <x:c r="B39" s="55"/>
      <x:c r="C39" s="55"/>
      <x:c r="D39" s="55"/>
      <x:c r="E39" s="56"/>
      <x:c r="F39" s="57"/>
      <x:c r="G39" s="59"/>
      <x:c r="H39" s="59"/>
      <x:c r="I39" s="59"/>
      <x:c r="J39" s="59"/>
      <x:c r="K39" s="59"/>
      <x:c r="L39" s="59"/>
      <x:c r="M39" s="59"/>
      <x:c r="N39" s="59"/>
      <x:c r="O39" s="56"/>
      <x:c r="P39" s="56"/>
      <x:c r="Q39" s="56"/>
      <x:c r="R39" s="56"/>
      <x:c r="S39" s="55"/>
      <x:c r="T39" s="55"/>
      <x:c r="U39" s="56"/>
      <x:c r="V39" s="56"/>
      <x:c r="W39" s="55"/>
      <x:c r="X39" s="60"/>
      <x:c r="Y39" s="55"/>
      <x:c r="Z39" s="55"/>
      <x:c r="AA39" s="59"/>
      <x:c r="AB39" s="55"/>
      <x:c r="AC39" s="55"/>
      <x:c r="AD39" s="59"/>
      <x:c r="AE39" s="55"/>
      <x:c r="AF39" s="55"/>
      <x:c r="AG39" s="59"/>
      <x:c r="AH39" s="55"/>
      <x:c r="AI39" s="55"/>
      <x:c r="AJ39" s="59"/>
      <x:c r="AK39" s="55"/>
      <x:c r="AL39" s="55"/>
      <x:c r="AM39" s="59"/>
      <x:c r="AN39" s="56"/>
      <x:c r="AO39" s="57"/>
      <x:c r="AP39" s="57"/>
      <x:c r="AQ39" s="57"/>
      <x:c r="AR39" s="57"/>
      <x:c r="AS39" s="65" t="str">
        <x:f>IF(COUNT(AQ39,AR39)&lt;2,"",IF(AR39=0,"",AQ39/AR39))</x:f>
      </x:c>
      <x:c r="AT39" s="65" t="str">
        <x:f>IF(COUNT(AQ39,AP39)&lt;2,"",IF(AP39=0,"",AQ39/AP39))</x:f>
      </x:c>
      <x:c r="AU39" s="67" t="str">
        <x:f>IF(COUNT(AQ39,AR39)&lt;2,"",AQ39-AR39)</x:f>
      </x:c>
      <x:c r="AV39" s="67" t="str">
        <x:f>IF(COUNT(AQ39,AP39)&lt;2,"",AQ39-AP39)</x:f>
      </x:c>
      <x:c r="AW39" s="67" t="str">
        <x:f>IF(COUNT(AO39,AS39)&lt;2,"",IF(AS39=0,"",AO39/AS39))</x:f>
      </x:c>
      <x:c r="AX39" s="67" t="str">
        <x:f>IF(COUNT(AW39,AR39)&lt;2,"",AW39-AR39)</x:f>
      </x:c>
      <x:c r="AY39" s="67" t="str">
        <x:f>IF(COUNT(AO39,AW39)&lt;2,"",AO39-AW39)</x:f>
      </x:c>
      <x:c r="AZ39" s="55"/>
      <x:c r="BA39" s="55"/>
      <x:c r="BB39" s="55"/>
      <x:c r="BC39" s="55"/>
      <x:c r="BD39" s="55"/>
      <x:c r="BE39" s="56"/>
      <x:c r="BF39" s="56"/>
      <x:c r="BG39" s="55"/>
    </x:row>
    <x:row r="40" ht="28" customHeight="1">
      <x:c r="A40" s="55"/>
      <x:c r="B40" s="55"/>
      <x:c r="C40" s="55"/>
      <x:c r="D40" s="55"/>
      <x:c r="E40" s="56"/>
      <x:c r="F40" s="57"/>
      <x:c r="G40" s="59"/>
      <x:c r="H40" s="59"/>
      <x:c r="I40" s="59"/>
      <x:c r="J40" s="59"/>
      <x:c r="K40" s="59"/>
      <x:c r="L40" s="59"/>
      <x:c r="M40" s="59"/>
      <x:c r="N40" s="59"/>
      <x:c r="O40" s="56"/>
      <x:c r="P40" s="56"/>
      <x:c r="Q40" s="56"/>
      <x:c r="R40" s="56"/>
      <x:c r="S40" s="55"/>
      <x:c r="T40" s="55"/>
      <x:c r="U40" s="56"/>
      <x:c r="V40" s="56"/>
      <x:c r="W40" s="55"/>
      <x:c r="X40" s="60"/>
      <x:c r="Y40" s="55"/>
      <x:c r="Z40" s="55"/>
      <x:c r="AA40" s="59"/>
      <x:c r="AB40" s="55"/>
      <x:c r="AC40" s="55"/>
      <x:c r="AD40" s="59"/>
      <x:c r="AE40" s="55"/>
      <x:c r="AF40" s="55"/>
      <x:c r="AG40" s="59"/>
      <x:c r="AH40" s="55"/>
      <x:c r="AI40" s="55"/>
      <x:c r="AJ40" s="59"/>
      <x:c r="AK40" s="55"/>
      <x:c r="AL40" s="55"/>
      <x:c r="AM40" s="59"/>
      <x:c r="AN40" s="56"/>
      <x:c r="AO40" s="57"/>
      <x:c r="AP40" s="57"/>
      <x:c r="AQ40" s="57"/>
      <x:c r="AR40" s="57"/>
      <x:c r="AS40" s="65" t="str">
        <x:f>IF(COUNT(AQ40,AR40)&lt;2,"",IF(AR40=0,"",AQ40/AR40))</x:f>
      </x:c>
      <x:c r="AT40" s="65" t="str">
        <x:f>IF(COUNT(AQ40,AP40)&lt;2,"",IF(AP40=0,"",AQ40/AP40))</x:f>
      </x:c>
      <x:c r="AU40" s="67" t="str">
        <x:f>IF(COUNT(AQ40,AR40)&lt;2,"",AQ40-AR40)</x:f>
      </x:c>
      <x:c r="AV40" s="67" t="str">
        <x:f>IF(COUNT(AQ40,AP40)&lt;2,"",AQ40-AP40)</x:f>
      </x:c>
      <x:c r="AW40" s="67" t="str">
        <x:f>IF(COUNT(AO40,AS40)&lt;2,"",IF(AS40=0,"",AO40/AS40))</x:f>
      </x:c>
      <x:c r="AX40" s="67" t="str">
        <x:f>IF(COUNT(AW40,AR40)&lt;2,"",AW40-AR40)</x:f>
      </x:c>
      <x:c r="AY40" s="67" t="str">
        <x:f>IF(COUNT(AO40,AW40)&lt;2,"",AO40-AW40)</x:f>
      </x:c>
      <x:c r="AZ40" s="55"/>
      <x:c r="BA40" s="55"/>
      <x:c r="BB40" s="55"/>
      <x:c r="BC40" s="55"/>
      <x:c r="BD40" s="55"/>
      <x:c r="BE40" s="56"/>
      <x:c r="BF40" s="56"/>
      <x:c r="BG40" s="55"/>
    </x:row>
    <x:row r="41" ht="28" customHeight="1">
      <x:c r="A41" s="55"/>
      <x:c r="B41" s="55"/>
      <x:c r="C41" s="55"/>
      <x:c r="D41" s="55"/>
      <x:c r="E41" s="56"/>
      <x:c r="F41" s="57"/>
      <x:c r="G41" s="59"/>
      <x:c r="H41" s="59"/>
      <x:c r="I41" s="59"/>
      <x:c r="J41" s="59"/>
      <x:c r="K41" s="59"/>
      <x:c r="L41" s="59"/>
      <x:c r="M41" s="59"/>
      <x:c r="N41" s="59"/>
      <x:c r="O41" s="56"/>
      <x:c r="P41" s="56"/>
      <x:c r="Q41" s="56"/>
      <x:c r="R41" s="56"/>
      <x:c r="S41" s="55"/>
      <x:c r="T41" s="55"/>
      <x:c r="U41" s="56"/>
      <x:c r="V41" s="56"/>
      <x:c r="W41" s="55"/>
      <x:c r="X41" s="60"/>
      <x:c r="Y41" s="55"/>
      <x:c r="Z41" s="55"/>
      <x:c r="AA41" s="59"/>
      <x:c r="AB41" s="55"/>
      <x:c r="AC41" s="55"/>
      <x:c r="AD41" s="59"/>
      <x:c r="AE41" s="55"/>
      <x:c r="AF41" s="55"/>
      <x:c r="AG41" s="59"/>
      <x:c r="AH41" s="55"/>
      <x:c r="AI41" s="55"/>
      <x:c r="AJ41" s="59"/>
      <x:c r="AK41" s="55"/>
      <x:c r="AL41" s="55"/>
      <x:c r="AM41" s="59"/>
      <x:c r="AN41" s="56"/>
      <x:c r="AO41" s="57"/>
      <x:c r="AP41" s="57"/>
      <x:c r="AQ41" s="57"/>
      <x:c r="AR41" s="57"/>
      <x:c r="AS41" s="65" t="str">
        <x:f>IF(COUNT(AQ41,AR41)&lt;2,"",IF(AR41=0,"",AQ41/AR41))</x:f>
      </x:c>
      <x:c r="AT41" s="65" t="str">
        <x:f>IF(COUNT(AQ41,AP41)&lt;2,"",IF(AP41=0,"",AQ41/AP41))</x:f>
      </x:c>
      <x:c r="AU41" s="67" t="str">
        <x:f>IF(COUNT(AQ41,AR41)&lt;2,"",AQ41-AR41)</x:f>
      </x:c>
      <x:c r="AV41" s="67" t="str">
        <x:f>IF(COUNT(AQ41,AP41)&lt;2,"",AQ41-AP41)</x:f>
      </x:c>
      <x:c r="AW41" s="67" t="str">
        <x:f>IF(COUNT(AO41,AS41)&lt;2,"",IF(AS41=0,"",AO41/AS41))</x:f>
      </x:c>
      <x:c r="AX41" s="67" t="str">
        <x:f>IF(COUNT(AW41,AR41)&lt;2,"",AW41-AR41)</x:f>
      </x:c>
      <x:c r="AY41" s="67" t="str">
        <x:f>IF(COUNT(AO41,AW41)&lt;2,"",AO41-AW41)</x:f>
      </x:c>
      <x:c r="AZ41" s="55"/>
      <x:c r="BA41" s="55"/>
      <x:c r="BB41" s="55"/>
      <x:c r="BC41" s="55"/>
      <x:c r="BD41" s="55"/>
      <x:c r="BE41" s="56"/>
      <x:c r="BF41" s="56"/>
      <x:c r="BG41" s="55"/>
    </x:row>
    <x:row r="42" ht="28" customHeight="1">
      <x:c r="A42" s="55"/>
      <x:c r="B42" s="55"/>
      <x:c r="C42" s="55"/>
      <x:c r="D42" s="55"/>
      <x:c r="E42" s="56"/>
      <x:c r="F42" s="57"/>
      <x:c r="G42" s="59"/>
      <x:c r="H42" s="59"/>
      <x:c r="I42" s="59"/>
      <x:c r="J42" s="59"/>
      <x:c r="K42" s="59"/>
      <x:c r="L42" s="59"/>
      <x:c r="M42" s="59"/>
      <x:c r="N42" s="59"/>
      <x:c r="O42" s="56"/>
      <x:c r="P42" s="56"/>
      <x:c r="Q42" s="56"/>
      <x:c r="R42" s="56"/>
      <x:c r="S42" s="55"/>
      <x:c r="T42" s="55"/>
      <x:c r="U42" s="56"/>
      <x:c r="V42" s="56"/>
      <x:c r="W42" s="55"/>
      <x:c r="X42" s="60"/>
      <x:c r="Y42" s="55"/>
      <x:c r="Z42" s="55"/>
      <x:c r="AA42" s="59"/>
      <x:c r="AB42" s="55"/>
      <x:c r="AC42" s="55"/>
      <x:c r="AD42" s="59"/>
      <x:c r="AE42" s="55"/>
      <x:c r="AF42" s="55"/>
      <x:c r="AG42" s="59"/>
      <x:c r="AH42" s="55"/>
      <x:c r="AI42" s="55"/>
      <x:c r="AJ42" s="59"/>
      <x:c r="AK42" s="55"/>
      <x:c r="AL42" s="55"/>
      <x:c r="AM42" s="59"/>
      <x:c r="AN42" s="56"/>
      <x:c r="AO42" s="57"/>
      <x:c r="AP42" s="57"/>
      <x:c r="AQ42" s="57"/>
      <x:c r="AR42" s="57"/>
      <x:c r="AS42" s="65" t="str">
        <x:f>IF(COUNT(AQ42,AR42)&lt;2,"",IF(AR42=0,"",AQ42/AR42))</x:f>
      </x:c>
      <x:c r="AT42" s="65" t="str">
        <x:f>IF(COUNT(AQ42,AP42)&lt;2,"",IF(AP42=0,"",AQ42/AP42))</x:f>
      </x:c>
      <x:c r="AU42" s="67" t="str">
        <x:f>IF(COUNT(AQ42,AR42)&lt;2,"",AQ42-AR42)</x:f>
      </x:c>
      <x:c r="AV42" s="67" t="str">
        <x:f>IF(COUNT(AQ42,AP42)&lt;2,"",AQ42-AP42)</x:f>
      </x:c>
      <x:c r="AW42" s="67" t="str">
        <x:f>IF(COUNT(AO42,AS42)&lt;2,"",IF(AS42=0,"",AO42/AS42))</x:f>
      </x:c>
      <x:c r="AX42" s="67" t="str">
        <x:f>IF(COUNT(AW42,AR42)&lt;2,"",AW42-AR42)</x:f>
      </x:c>
      <x:c r="AY42" s="67" t="str">
        <x:f>IF(COUNT(AO42,AW42)&lt;2,"",AO42-AW42)</x:f>
      </x:c>
      <x:c r="AZ42" s="55"/>
      <x:c r="BA42" s="55"/>
      <x:c r="BB42" s="55"/>
      <x:c r="BC42" s="55"/>
      <x:c r="BD42" s="55"/>
      <x:c r="BE42" s="56"/>
      <x:c r="BF42" s="56"/>
      <x:c r="BG42" s="55"/>
    </x:row>
    <x:row r="43" ht="28" customHeight="1">
      <x:c r="A43" s="55"/>
      <x:c r="B43" s="55"/>
      <x:c r="C43" s="55"/>
      <x:c r="D43" s="55"/>
      <x:c r="E43" s="56"/>
      <x:c r="F43" s="57"/>
      <x:c r="G43" s="59"/>
      <x:c r="H43" s="59"/>
      <x:c r="I43" s="59"/>
      <x:c r="J43" s="59"/>
      <x:c r="K43" s="59"/>
      <x:c r="L43" s="59"/>
      <x:c r="M43" s="59"/>
      <x:c r="N43" s="59"/>
      <x:c r="O43" s="56"/>
      <x:c r="P43" s="56"/>
      <x:c r="Q43" s="56"/>
      <x:c r="R43" s="56"/>
      <x:c r="S43" s="55"/>
      <x:c r="T43" s="55"/>
      <x:c r="U43" s="56"/>
      <x:c r="V43" s="56"/>
      <x:c r="W43" s="55"/>
      <x:c r="X43" s="60"/>
      <x:c r="Y43" s="55"/>
      <x:c r="Z43" s="55"/>
      <x:c r="AA43" s="59"/>
      <x:c r="AB43" s="55"/>
      <x:c r="AC43" s="55"/>
      <x:c r="AD43" s="59"/>
      <x:c r="AE43" s="55"/>
      <x:c r="AF43" s="55"/>
      <x:c r="AG43" s="59"/>
      <x:c r="AH43" s="55"/>
      <x:c r="AI43" s="55"/>
      <x:c r="AJ43" s="59"/>
      <x:c r="AK43" s="55"/>
      <x:c r="AL43" s="55"/>
      <x:c r="AM43" s="59"/>
      <x:c r="AN43" s="56"/>
      <x:c r="AO43" s="57"/>
      <x:c r="AP43" s="57"/>
      <x:c r="AQ43" s="57"/>
      <x:c r="AR43" s="57"/>
      <x:c r="AS43" s="65" t="str">
        <x:f>IF(COUNT(AQ43,AR43)&lt;2,"",IF(AR43=0,"",AQ43/AR43))</x:f>
      </x:c>
      <x:c r="AT43" s="65" t="str">
        <x:f>IF(COUNT(AQ43,AP43)&lt;2,"",IF(AP43=0,"",AQ43/AP43))</x:f>
      </x:c>
      <x:c r="AU43" s="67" t="str">
        <x:f>IF(COUNT(AQ43,AR43)&lt;2,"",AQ43-AR43)</x:f>
      </x:c>
      <x:c r="AV43" s="67" t="str">
        <x:f>IF(COUNT(AQ43,AP43)&lt;2,"",AQ43-AP43)</x:f>
      </x:c>
      <x:c r="AW43" s="67" t="str">
        <x:f>IF(COUNT(AO43,AS43)&lt;2,"",IF(AS43=0,"",AO43/AS43))</x:f>
      </x:c>
      <x:c r="AX43" s="67" t="str">
        <x:f>IF(COUNT(AW43,AR43)&lt;2,"",AW43-AR43)</x:f>
      </x:c>
      <x:c r="AY43" s="67" t="str">
        <x:f>IF(COUNT(AO43,AW43)&lt;2,"",AO43-AW43)</x:f>
      </x:c>
      <x:c r="AZ43" s="55"/>
      <x:c r="BA43" s="55"/>
      <x:c r="BB43" s="55"/>
      <x:c r="BC43" s="55"/>
      <x:c r="BD43" s="55"/>
      <x:c r="BE43" s="56"/>
      <x:c r="BF43" s="56"/>
      <x:c r="BG43" s="55"/>
    </x:row>
    <x:row r="44" ht="28" customHeight="1">
      <x:c r="A44" s="55"/>
      <x:c r="B44" s="55"/>
      <x:c r="C44" s="55"/>
      <x:c r="D44" s="55"/>
      <x:c r="E44" s="56"/>
      <x:c r="F44" s="57"/>
      <x:c r="G44" s="59"/>
      <x:c r="H44" s="59"/>
      <x:c r="I44" s="59"/>
      <x:c r="J44" s="59"/>
      <x:c r="K44" s="59"/>
      <x:c r="L44" s="59"/>
      <x:c r="M44" s="59"/>
      <x:c r="N44" s="59"/>
      <x:c r="O44" s="56"/>
      <x:c r="P44" s="56"/>
      <x:c r="Q44" s="56"/>
      <x:c r="R44" s="56"/>
      <x:c r="S44" s="55"/>
      <x:c r="T44" s="55"/>
      <x:c r="U44" s="56"/>
      <x:c r="V44" s="56"/>
      <x:c r="W44" s="55"/>
      <x:c r="X44" s="60"/>
      <x:c r="Y44" s="55"/>
      <x:c r="Z44" s="55"/>
      <x:c r="AA44" s="59"/>
      <x:c r="AB44" s="55"/>
      <x:c r="AC44" s="55"/>
      <x:c r="AD44" s="59"/>
      <x:c r="AE44" s="55"/>
      <x:c r="AF44" s="55"/>
      <x:c r="AG44" s="59"/>
      <x:c r="AH44" s="55"/>
      <x:c r="AI44" s="55"/>
      <x:c r="AJ44" s="59"/>
      <x:c r="AK44" s="55"/>
      <x:c r="AL44" s="55"/>
      <x:c r="AM44" s="59"/>
      <x:c r="AN44" s="56"/>
      <x:c r="AO44" s="57"/>
      <x:c r="AP44" s="57"/>
      <x:c r="AQ44" s="57"/>
      <x:c r="AR44" s="57"/>
      <x:c r="AS44" s="65" t="str">
        <x:f>IF(COUNT(AQ44,AR44)&lt;2,"",IF(AR44=0,"",AQ44/AR44))</x:f>
      </x:c>
      <x:c r="AT44" s="65" t="str">
        <x:f>IF(COUNT(AQ44,AP44)&lt;2,"",IF(AP44=0,"",AQ44/AP44))</x:f>
      </x:c>
      <x:c r="AU44" s="67" t="str">
        <x:f>IF(COUNT(AQ44,AR44)&lt;2,"",AQ44-AR44)</x:f>
      </x:c>
      <x:c r="AV44" s="67" t="str">
        <x:f>IF(COUNT(AQ44,AP44)&lt;2,"",AQ44-AP44)</x:f>
      </x:c>
      <x:c r="AW44" s="67" t="str">
        <x:f>IF(COUNT(AO44,AS44)&lt;2,"",IF(AS44=0,"",AO44/AS44))</x:f>
      </x:c>
      <x:c r="AX44" s="67" t="str">
        <x:f>IF(COUNT(AW44,AR44)&lt;2,"",AW44-AR44)</x:f>
      </x:c>
      <x:c r="AY44" s="67" t="str">
        <x:f>IF(COUNT(AO44,AW44)&lt;2,"",AO44-AW44)</x:f>
      </x:c>
      <x:c r="AZ44" s="55"/>
      <x:c r="BA44" s="55"/>
      <x:c r="BB44" s="55"/>
      <x:c r="BC44" s="55"/>
      <x:c r="BD44" s="55"/>
      <x:c r="BE44" s="56"/>
      <x:c r="BF44" s="56"/>
      <x:c r="BG44" s="55"/>
    </x:row>
    <x:row r="45" ht="28" customHeight="1">
      <x:c r="A45" s="55"/>
      <x:c r="B45" s="55"/>
      <x:c r="C45" s="55"/>
      <x:c r="D45" s="55"/>
      <x:c r="E45" s="56"/>
      <x:c r="F45" s="57"/>
      <x:c r="G45" s="59"/>
      <x:c r="H45" s="59"/>
      <x:c r="I45" s="59"/>
      <x:c r="J45" s="59"/>
      <x:c r="K45" s="59"/>
      <x:c r="L45" s="59"/>
      <x:c r="M45" s="59"/>
      <x:c r="N45" s="59"/>
      <x:c r="O45" s="56"/>
      <x:c r="P45" s="56"/>
      <x:c r="Q45" s="56"/>
      <x:c r="R45" s="56"/>
      <x:c r="S45" s="55"/>
      <x:c r="T45" s="55"/>
      <x:c r="U45" s="56"/>
      <x:c r="V45" s="56"/>
      <x:c r="W45" s="55"/>
      <x:c r="X45" s="60"/>
      <x:c r="Y45" s="55"/>
      <x:c r="Z45" s="55"/>
      <x:c r="AA45" s="59"/>
      <x:c r="AB45" s="55"/>
      <x:c r="AC45" s="55"/>
      <x:c r="AD45" s="59"/>
      <x:c r="AE45" s="55"/>
      <x:c r="AF45" s="55"/>
      <x:c r="AG45" s="59"/>
      <x:c r="AH45" s="55"/>
      <x:c r="AI45" s="55"/>
      <x:c r="AJ45" s="59"/>
      <x:c r="AK45" s="55"/>
      <x:c r="AL45" s="55"/>
      <x:c r="AM45" s="59"/>
      <x:c r="AN45" s="56"/>
      <x:c r="AO45" s="57"/>
      <x:c r="AP45" s="57"/>
      <x:c r="AQ45" s="57"/>
      <x:c r="AR45" s="57"/>
      <x:c r="AS45" s="65" t="str">
        <x:f>IF(COUNT(AQ45,AR45)&lt;2,"",IF(AR45=0,"",AQ45/AR45))</x:f>
      </x:c>
      <x:c r="AT45" s="65" t="str">
        <x:f>IF(COUNT(AQ45,AP45)&lt;2,"",IF(AP45=0,"",AQ45/AP45))</x:f>
      </x:c>
      <x:c r="AU45" s="67" t="str">
        <x:f>IF(COUNT(AQ45,AR45)&lt;2,"",AQ45-AR45)</x:f>
      </x:c>
      <x:c r="AV45" s="67" t="str">
        <x:f>IF(COUNT(AQ45,AP45)&lt;2,"",AQ45-AP45)</x:f>
      </x:c>
      <x:c r="AW45" s="67" t="str">
        <x:f>IF(COUNT(AO45,AS45)&lt;2,"",IF(AS45=0,"",AO45/AS45))</x:f>
      </x:c>
      <x:c r="AX45" s="67" t="str">
        <x:f>IF(COUNT(AW45,AR45)&lt;2,"",AW45-AR45)</x:f>
      </x:c>
      <x:c r="AY45" s="67" t="str">
        <x:f>IF(COUNT(AO45,AW45)&lt;2,"",AO45-AW45)</x:f>
      </x:c>
      <x:c r="AZ45" s="55"/>
      <x:c r="BA45" s="55"/>
      <x:c r="BB45" s="55"/>
      <x:c r="BC45" s="55"/>
      <x:c r="BD45" s="55"/>
      <x:c r="BE45" s="56"/>
      <x:c r="BF45" s="56"/>
      <x:c r="BG45" s="55"/>
    </x:row>
    <x:row r="46" ht="28" customHeight="1">
      <x:c r="A46" s="55"/>
      <x:c r="B46" s="55"/>
      <x:c r="C46" s="55"/>
      <x:c r="D46" s="55"/>
      <x:c r="E46" s="56"/>
      <x:c r="F46" s="57"/>
      <x:c r="G46" s="59"/>
      <x:c r="H46" s="59"/>
      <x:c r="I46" s="59"/>
      <x:c r="J46" s="59"/>
      <x:c r="K46" s="59"/>
      <x:c r="L46" s="59"/>
      <x:c r="M46" s="59"/>
      <x:c r="N46" s="59"/>
      <x:c r="O46" s="56"/>
      <x:c r="P46" s="56"/>
      <x:c r="Q46" s="56"/>
      <x:c r="R46" s="56"/>
      <x:c r="S46" s="55"/>
      <x:c r="T46" s="55"/>
      <x:c r="U46" s="56"/>
      <x:c r="V46" s="56"/>
      <x:c r="W46" s="55"/>
      <x:c r="X46" s="60"/>
      <x:c r="Y46" s="55"/>
      <x:c r="Z46" s="55"/>
      <x:c r="AA46" s="59"/>
      <x:c r="AB46" s="55"/>
      <x:c r="AC46" s="55"/>
      <x:c r="AD46" s="59"/>
      <x:c r="AE46" s="55"/>
      <x:c r="AF46" s="55"/>
      <x:c r="AG46" s="59"/>
      <x:c r="AH46" s="55"/>
      <x:c r="AI46" s="55"/>
      <x:c r="AJ46" s="59"/>
      <x:c r="AK46" s="55"/>
      <x:c r="AL46" s="55"/>
      <x:c r="AM46" s="59"/>
      <x:c r="AN46" s="56"/>
      <x:c r="AO46" s="57"/>
      <x:c r="AP46" s="57"/>
      <x:c r="AQ46" s="57"/>
      <x:c r="AR46" s="57"/>
      <x:c r="AS46" s="65" t="str">
        <x:f>IF(COUNT(AQ46,AR46)&lt;2,"",IF(AR46=0,"",AQ46/AR46))</x:f>
      </x:c>
      <x:c r="AT46" s="65" t="str">
        <x:f>IF(COUNT(AQ46,AP46)&lt;2,"",IF(AP46=0,"",AQ46/AP46))</x:f>
      </x:c>
      <x:c r="AU46" s="67" t="str">
        <x:f>IF(COUNT(AQ46,AR46)&lt;2,"",AQ46-AR46)</x:f>
      </x:c>
      <x:c r="AV46" s="67" t="str">
        <x:f>IF(COUNT(AQ46,AP46)&lt;2,"",AQ46-AP46)</x:f>
      </x:c>
      <x:c r="AW46" s="67" t="str">
        <x:f>IF(COUNT(AO46,AS46)&lt;2,"",IF(AS46=0,"",AO46/AS46))</x:f>
      </x:c>
      <x:c r="AX46" s="67" t="str">
        <x:f>IF(COUNT(AW46,AR46)&lt;2,"",AW46-AR46)</x:f>
      </x:c>
      <x:c r="AY46" s="67" t="str">
        <x:f>IF(COUNT(AO46,AW46)&lt;2,"",AO46-AW46)</x:f>
      </x:c>
      <x:c r="AZ46" s="55"/>
      <x:c r="BA46" s="55"/>
      <x:c r="BB46" s="55"/>
      <x:c r="BC46" s="55"/>
      <x:c r="BD46" s="55"/>
      <x:c r="BE46" s="56"/>
      <x:c r="BF46" s="56"/>
      <x:c r="BG46" s="55"/>
    </x:row>
    <x:row r="47" ht="28" customHeight="1">
      <x:c r="A47" s="55"/>
      <x:c r="B47" s="55"/>
      <x:c r="C47" s="55"/>
      <x:c r="D47" s="55"/>
      <x:c r="E47" s="56"/>
      <x:c r="F47" s="57"/>
      <x:c r="G47" s="59"/>
      <x:c r="H47" s="59"/>
      <x:c r="I47" s="59"/>
      <x:c r="J47" s="59"/>
      <x:c r="K47" s="59"/>
      <x:c r="L47" s="59"/>
      <x:c r="M47" s="59"/>
      <x:c r="N47" s="59"/>
      <x:c r="O47" s="56"/>
      <x:c r="P47" s="56"/>
      <x:c r="Q47" s="56"/>
      <x:c r="R47" s="56"/>
      <x:c r="S47" s="55"/>
      <x:c r="T47" s="55"/>
      <x:c r="U47" s="56"/>
      <x:c r="V47" s="56"/>
      <x:c r="W47" s="55"/>
      <x:c r="X47" s="60"/>
      <x:c r="Y47" s="55"/>
      <x:c r="Z47" s="55"/>
      <x:c r="AA47" s="59"/>
      <x:c r="AB47" s="55"/>
      <x:c r="AC47" s="55"/>
      <x:c r="AD47" s="59"/>
      <x:c r="AE47" s="55"/>
      <x:c r="AF47" s="55"/>
      <x:c r="AG47" s="59"/>
      <x:c r="AH47" s="55"/>
      <x:c r="AI47" s="55"/>
      <x:c r="AJ47" s="59"/>
      <x:c r="AK47" s="55"/>
      <x:c r="AL47" s="55"/>
      <x:c r="AM47" s="59"/>
      <x:c r="AN47" s="56"/>
      <x:c r="AO47" s="57"/>
      <x:c r="AP47" s="57"/>
      <x:c r="AQ47" s="57"/>
      <x:c r="AR47" s="57"/>
      <x:c r="AS47" s="65" t="str">
        <x:f>IF(COUNT(AQ47,AR47)&lt;2,"",IF(AR47=0,"",AQ47/AR47))</x:f>
      </x:c>
      <x:c r="AT47" s="65" t="str">
        <x:f>IF(COUNT(AQ47,AP47)&lt;2,"",IF(AP47=0,"",AQ47/AP47))</x:f>
      </x:c>
      <x:c r="AU47" s="67" t="str">
        <x:f>IF(COUNT(AQ47,AR47)&lt;2,"",AQ47-AR47)</x:f>
      </x:c>
      <x:c r="AV47" s="67" t="str">
        <x:f>IF(COUNT(AQ47,AP47)&lt;2,"",AQ47-AP47)</x:f>
      </x:c>
      <x:c r="AW47" s="67" t="str">
        <x:f>IF(COUNT(AO47,AS47)&lt;2,"",IF(AS47=0,"",AO47/AS47))</x:f>
      </x:c>
      <x:c r="AX47" s="67" t="str">
        <x:f>IF(COUNT(AW47,AR47)&lt;2,"",AW47-AR47)</x:f>
      </x:c>
      <x:c r="AY47" s="67" t="str">
        <x:f>IF(COUNT(AO47,AW47)&lt;2,"",AO47-AW47)</x:f>
      </x:c>
      <x:c r="AZ47" s="55"/>
      <x:c r="BA47" s="55"/>
      <x:c r="BB47" s="55"/>
      <x:c r="BC47" s="55"/>
      <x:c r="BD47" s="55"/>
      <x:c r="BE47" s="56"/>
      <x:c r="BF47" s="56"/>
      <x:c r="BG47" s="55"/>
    </x:row>
    <x:row r="48" ht="28" customHeight="1">
      <x:c r="A48" s="55"/>
      <x:c r="B48" s="55"/>
      <x:c r="C48" s="55"/>
      <x:c r="D48" s="55"/>
      <x:c r="E48" s="56"/>
      <x:c r="F48" s="57"/>
      <x:c r="G48" s="59"/>
      <x:c r="H48" s="59"/>
      <x:c r="I48" s="59"/>
      <x:c r="J48" s="59"/>
      <x:c r="K48" s="59"/>
      <x:c r="L48" s="59"/>
      <x:c r="M48" s="59"/>
      <x:c r="N48" s="59"/>
      <x:c r="O48" s="56"/>
      <x:c r="P48" s="56"/>
      <x:c r="Q48" s="56"/>
      <x:c r="R48" s="56"/>
      <x:c r="S48" s="55"/>
      <x:c r="T48" s="55"/>
      <x:c r="U48" s="56"/>
      <x:c r="V48" s="56"/>
      <x:c r="W48" s="55"/>
      <x:c r="X48" s="60"/>
      <x:c r="Y48" s="55"/>
      <x:c r="Z48" s="55"/>
      <x:c r="AA48" s="59"/>
      <x:c r="AB48" s="55"/>
      <x:c r="AC48" s="55"/>
      <x:c r="AD48" s="59"/>
      <x:c r="AE48" s="55"/>
      <x:c r="AF48" s="55"/>
      <x:c r="AG48" s="59"/>
      <x:c r="AH48" s="55"/>
      <x:c r="AI48" s="55"/>
      <x:c r="AJ48" s="59"/>
      <x:c r="AK48" s="55"/>
      <x:c r="AL48" s="55"/>
      <x:c r="AM48" s="59"/>
      <x:c r="AN48" s="56"/>
      <x:c r="AO48" s="57"/>
      <x:c r="AP48" s="57"/>
      <x:c r="AQ48" s="57"/>
      <x:c r="AR48" s="57"/>
      <x:c r="AS48" s="65" t="str">
        <x:f>IF(COUNT(AQ48,AR48)&lt;2,"",IF(AR48=0,"",AQ48/AR48))</x:f>
      </x:c>
      <x:c r="AT48" s="65" t="str">
        <x:f>IF(COUNT(AQ48,AP48)&lt;2,"",IF(AP48=0,"",AQ48/AP48))</x:f>
      </x:c>
      <x:c r="AU48" s="67" t="str">
        <x:f>IF(COUNT(AQ48,AR48)&lt;2,"",AQ48-AR48)</x:f>
      </x:c>
      <x:c r="AV48" s="67" t="str">
        <x:f>IF(COUNT(AQ48,AP48)&lt;2,"",AQ48-AP48)</x:f>
      </x:c>
      <x:c r="AW48" s="67" t="str">
        <x:f>IF(COUNT(AO48,AS48)&lt;2,"",IF(AS48=0,"",AO48/AS48))</x:f>
      </x:c>
      <x:c r="AX48" s="67" t="str">
        <x:f>IF(COUNT(AW48,AR48)&lt;2,"",AW48-AR48)</x:f>
      </x:c>
      <x:c r="AY48" s="67" t="str">
        <x:f>IF(COUNT(AO48,AW48)&lt;2,"",AO48-AW48)</x:f>
      </x:c>
      <x:c r="AZ48" s="55"/>
      <x:c r="BA48" s="55"/>
      <x:c r="BB48" s="55"/>
      <x:c r="BC48" s="55"/>
      <x:c r="BD48" s="55"/>
      <x:c r="BE48" s="56"/>
      <x:c r="BF48" s="56"/>
      <x:c r="BG48" s="55"/>
    </x:row>
    <x:row r="49" ht="28" customHeight="1">
      <x:c r="A49" s="55"/>
      <x:c r="B49" s="55"/>
      <x:c r="C49" s="55"/>
      <x:c r="D49" s="55"/>
      <x:c r="E49" s="56"/>
      <x:c r="F49" s="57"/>
      <x:c r="G49" s="59"/>
      <x:c r="H49" s="59"/>
      <x:c r="I49" s="59"/>
      <x:c r="J49" s="59"/>
      <x:c r="K49" s="59"/>
      <x:c r="L49" s="59"/>
      <x:c r="M49" s="59"/>
      <x:c r="N49" s="59"/>
      <x:c r="O49" s="56"/>
      <x:c r="P49" s="56"/>
      <x:c r="Q49" s="56"/>
      <x:c r="R49" s="56"/>
      <x:c r="S49" s="55"/>
      <x:c r="T49" s="55"/>
      <x:c r="U49" s="56"/>
      <x:c r="V49" s="56"/>
      <x:c r="W49" s="55"/>
      <x:c r="X49" s="60"/>
      <x:c r="Y49" s="55"/>
      <x:c r="Z49" s="55"/>
      <x:c r="AA49" s="59"/>
      <x:c r="AB49" s="55"/>
      <x:c r="AC49" s="55"/>
      <x:c r="AD49" s="59"/>
      <x:c r="AE49" s="55"/>
      <x:c r="AF49" s="55"/>
      <x:c r="AG49" s="59"/>
      <x:c r="AH49" s="55"/>
      <x:c r="AI49" s="55"/>
      <x:c r="AJ49" s="59"/>
      <x:c r="AK49" s="55"/>
      <x:c r="AL49" s="55"/>
      <x:c r="AM49" s="59"/>
      <x:c r="AN49" s="56"/>
      <x:c r="AO49" s="57"/>
      <x:c r="AP49" s="57"/>
      <x:c r="AQ49" s="57"/>
      <x:c r="AR49" s="57"/>
      <x:c r="AS49" s="65" t="str">
        <x:f>IF(COUNT(AQ49,AR49)&lt;2,"",IF(AR49=0,"",AQ49/AR49))</x:f>
      </x:c>
      <x:c r="AT49" s="65" t="str">
        <x:f>IF(COUNT(AQ49,AP49)&lt;2,"",IF(AP49=0,"",AQ49/AP49))</x:f>
      </x:c>
      <x:c r="AU49" s="67" t="str">
        <x:f>IF(COUNT(AQ49,AR49)&lt;2,"",AQ49-AR49)</x:f>
      </x:c>
      <x:c r="AV49" s="67" t="str">
        <x:f>IF(COUNT(AQ49,AP49)&lt;2,"",AQ49-AP49)</x:f>
      </x:c>
      <x:c r="AW49" s="67" t="str">
        <x:f>IF(COUNT(AO49,AS49)&lt;2,"",IF(AS49=0,"",AO49/AS49))</x:f>
      </x:c>
      <x:c r="AX49" s="67" t="str">
        <x:f>IF(COUNT(AW49,AR49)&lt;2,"",AW49-AR49)</x:f>
      </x:c>
      <x:c r="AY49" s="67" t="str">
        <x:f>IF(COUNT(AO49,AW49)&lt;2,"",AO49-AW49)</x:f>
      </x:c>
      <x:c r="AZ49" s="55"/>
      <x:c r="BA49" s="55"/>
      <x:c r="BB49" s="55"/>
      <x:c r="BC49" s="55"/>
      <x:c r="BD49" s="55"/>
      <x:c r="BE49" s="56"/>
      <x:c r="BF49" s="56"/>
      <x:c r="BG49" s="55"/>
    </x:row>
    <x:row r="50" ht="28" customHeight="1">
      <x:c r="A50" s="55"/>
      <x:c r="B50" s="55"/>
      <x:c r="C50" s="55"/>
      <x:c r="D50" s="55"/>
      <x:c r="E50" s="56"/>
      <x:c r="F50" s="57"/>
      <x:c r="G50" s="59"/>
      <x:c r="H50" s="59"/>
      <x:c r="I50" s="59"/>
      <x:c r="J50" s="59"/>
      <x:c r="K50" s="59"/>
      <x:c r="L50" s="59"/>
      <x:c r="M50" s="59"/>
      <x:c r="N50" s="59"/>
      <x:c r="O50" s="56"/>
      <x:c r="P50" s="56"/>
      <x:c r="Q50" s="56"/>
      <x:c r="R50" s="56"/>
      <x:c r="S50" s="55"/>
      <x:c r="T50" s="55"/>
      <x:c r="U50" s="56"/>
      <x:c r="V50" s="56"/>
      <x:c r="W50" s="55"/>
      <x:c r="X50" s="60"/>
      <x:c r="Y50" s="55"/>
      <x:c r="Z50" s="55"/>
      <x:c r="AA50" s="59"/>
      <x:c r="AB50" s="55"/>
      <x:c r="AC50" s="55"/>
      <x:c r="AD50" s="59"/>
      <x:c r="AE50" s="55"/>
      <x:c r="AF50" s="55"/>
      <x:c r="AG50" s="59"/>
      <x:c r="AH50" s="55"/>
      <x:c r="AI50" s="55"/>
      <x:c r="AJ50" s="59"/>
      <x:c r="AK50" s="55"/>
      <x:c r="AL50" s="55"/>
      <x:c r="AM50" s="59"/>
      <x:c r="AN50" s="56"/>
      <x:c r="AO50" s="57"/>
      <x:c r="AP50" s="57"/>
      <x:c r="AQ50" s="57"/>
      <x:c r="AR50" s="57"/>
      <x:c r="AS50" s="65" t="str">
        <x:f>IF(COUNT(AQ50,AR50)&lt;2,"",IF(AR50=0,"",AQ50/AR50))</x:f>
      </x:c>
      <x:c r="AT50" s="65" t="str">
        <x:f>IF(COUNT(AQ50,AP50)&lt;2,"",IF(AP50=0,"",AQ50/AP50))</x:f>
      </x:c>
      <x:c r="AU50" s="67" t="str">
        <x:f>IF(COUNT(AQ50,AR50)&lt;2,"",AQ50-AR50)</x:f>
      </x:c>
      <x:c r="AV50" s="67" t="str">
        <x:f>IF(COUNT(AQ50,AP50)&lt;2,"",AQ50-AP50)</x:f>
      </x:c>
      <x:c r="AW50" s="67" t="str">
        <x:f>IF(COUNT(AO50,AS50)&lt;2,"",IF(AS50=0,"",AO50/AS50))</x:f>
      </x:c>
      <x:c r="AX50" s="67" t="str">
        <x:f>IF(COUNT(AW50,AR50)&lt;2,"",AW50-AR50)</x:f>
      </x:c>
      <x:c r="AY50" s="67" t="str">
        <x:f>IF(COUNT(AO50,AW50)&lt;2,"",AO50-AW50)</x:f>
      </x:c>
      <x:c r="AZ50" s="55"/>
      <x:c r="BA50" s="55"/>
      <x:c r="BB50" s="55"/>
      <x:c r="BC50" s="55"/>
      <x:c r="BD50" s="55"/>
      <x:c r="BE50" s="56"/>
      <x:c r="BF50" s="56"/>
      <x:c r="BG50" s="55"/>
    </x:row>
    <x:row r="51" ht="28" customHeight="1">
      <x:c r="A51" s="55"/>
      <x:c r="B51" s="55"/>
      <x:c r="C51" s="55"/>
      <x:c r="D51" s="55"/>
      <x:c r="E51" s="56"/>
      <x:c r="F51" s="57"/>
      <x:c r="G51" s="59"/>
      <x:c r="H51" s="59"/>
      <x:c r="I51" s="59"/>
      <x:c r="J51" s="59"/>
      <x:c r="K51" s="59"/>
      <x:c r="L51" s="59"/>
      <x:c r="M51" s="59"/>
      <x:c r="N51" s="59"/>
      <x:c r="O51" s="56"/>
      <x:c r="P51" s="56"/>
      <x:c r="Q51" s="56"/>
      <x:c r="R51" s="56"/>
      <x:c r="S51" s="55"/>
      <x:c r="T51" s="55"/>
      <x:c r="U51" s="56"/>
      <x:c r="V51" s="56"/>
      <x:c r="W51" s="55"/>
      <x:c r="X51" s="60"/>
      <x:c r="Y51" s="55"/>
      <x:c r="Z51" s="55"/>
      <x:c r="AA51" s="59"/>
      <x:c r="AB51" s="55"/>
      <x:c r="AC51" s="55"/>
      <x:c r="AD51" s="59"/>
      <x:c r="AE51" s="55"/>
      <x:c r="AF51" s="55"/>
      <x:c r="AG51" s="59"/>
      <x:c r="AH51" s="55"/>
      <x:c r="AI51" s="55"/>
      <x:c r="AJ51" s="59"/>
      <x:c r="AK51" s="55"/>
      <x:c r="AL51" s="55"/>
      <x:c r="AM51" s="59"/>
      <x:c r="AN51" s="56"/>
      <x:c r="AO51" s="57"/>
      <x:c r="AP51" s="57"/>
      <x:c r="AQ51" s="57"/>
      <x:c r="AR51" s="57"/>
      <x:c r="AS51" s="65" t="str">
        <x:f>IF(COUNT(AQ51,AR51)&lt;2,"",IF(AR51=0,"",AQ51/AR51))</x:f>
      </x:c>
      <x:c r="AT51" s="65" t="str">
        <x:f>IF(COUNT(AQ51,AP51)&lt;2,"",IF(AP51=0,"",AQ51/AP51))</x:f>
      </x:c>
      <x:c r="AU51" s="67" t="str">
        <x:f>IF(COUNT(AQ51,AR51)&lt;2,"",AQ51-AR51)</x:f>
      </x:c>
      <x:c r="AV51" s="67" t="str">
        <x:f>IF(COUNT(AQ51,AP51)&lt;2,"",AQ51-AP51)</x:f>
      </x:c>
      <x:c r="AW51" s="67" t="str">
        <x:f>IF(COUNT(AO51,AS51)&lt;2,"",IF(AS51=0,"",AO51/AS51))</x:f>
      </x:c>
      <x:c r="AX51" s="67" t="str">
        <x:f>IF(COUNT(AW51,AR51)&lt;2,"",AW51-AR51)</x:f>
      </x:c>
      <x:c r="AY51" s="67" t="str">
        <x:f>IF(COUNT(AO51,AW51)&lt;2,"",AO51-AW51)</x:f>
      </x:c>
      <x:c r="AZ51" s="55"/>
      <x:c r="BA51" s="55"/>
      <x:c r="BB51" s="55"/>
      <x:c r="BC51" s="55"/>
      <x:c r="BD51" s="55"/>
      <x:c r="BE51" s="56"/>
      <x:c r="BF51" s="56"/>
      <x:c r="BG51" s="55"/>
    </x:row>
    <x:row r="52" ht="28" customHeight="1">
      <x:c r="A52" s="55"/>
      <x:c r="B52" s="55"/>
      <x:c r="C52" s="55"/>
      <x:c r="D52" s="55"/>
      <x:c r="E52" s="56"/>
      <x:c r="F52" s="57"/>
      <x:c r="G52" s="59"/>
      <x:c r="H52" s="59"/>
      <x:c r="I52" s="59"/>
      <x:c r="J52" s="59"/>
      <x:c r="K52" s="59"/>
      <x:c r="L52" s="59"/>
      <x:c r="M52" s="59"/>
      <x:c r="N52" s="59"/>
      <x:c r="O52" s="56"/>
      <x:c r="P52" s="56"/>
      <x:c r="Q52" s="56"/>
      <x:c r="R52" s="56"/>
      <x:c r="S52" s="55"/>
      <x:c r="T52" s="55"/>
      <x:c r="U52" s="56"/>
      <x:c r="V52" s="56"/>
      <x:c r="W52" s="55"/>
      <x:c r="X52" s="60"/>
      <x:c r="Y52" s="55"/>
      <x:c r="Z52" s="55"/>
      <x:c r="AA52" s="59"/>
      <x:c r="AB52" s="55"/>
      <x:c r="AC52" s="55"/>
      <x:c r="AD52" s="59"/>
      <x:c r="AE52" s="55"/>
      <x:c r="AF52" s="55"/>
      <x:c r="AG52" s="59"/>
      <x:c r="AH52" s="55"/>
      <x:c r="AI52" s="55"/>
      <x:c r="AJ52" s="59"/>
      <x:c r="AK52" s="55"/>
      <x:c r="AL52" s="55"/>
      <x:c r="AM52" s="59"/>
      <x:c r="AN52" s="56"/>
      <x:c r="AO52" s="57"/>
      <x:c r="AP52" s="57"/>
      <x:c r="AQ52" s="57"/>
      <x:c r="AR52" s="57"/>
      <x:c r="AS52" s="65" t="str">
        <x:f>IF(COUNT(AQ52,AR52)&lt;2,"",IF(AR52=0,"",AQ52/AR52))</x:f>
      </x:c>
      <x:c r="AT52" s="65" t="str">
        <x:f>IF(COUNT(AQ52,AP52)&lt;2,"",IF(AP52=0,"",AQ52/AP52))</x:f>
      </x:c>
      <x:c r="AU52" s="67" t="str">
        <x:f>IF(COUNT(AQ52,AR52)&lt;2,"",AQ52-AR52)</x:f>
      </x:c>
      <x:c r="AV52" s="67" t="str">
        <x:f>IF(COUNT(AQ52,AP52)&lt;2,"",AQ52-AP52)</x:f>
      </x:c>
      <x:c r="AW52" s="67" t="str">
        <x:f>IF(COUNT(AO52,AS52)&lt;2,"",IF(AS52=0,"",AO52/AS52))</x:f>
      </x:c>
      <x:c r="AX52" s="67" t="str">
        <x:f>IF(COUNT(AW52,AR52)&lt;2,"",AW52-AR52)</x:f>
      </x:c>
      <x:c r="AY52" s="67" t="str">
        <x:f>IF(COUNT(AO52,AW52)&lt;2,"",AO52-AW52)</x:f>
      </x:c>
      <x:c r="AZ52" s="55"/>
      <x:c r="BA52" s="55"/>
      <x:c r="BB52" s="55"/>
      <x:c r="BC52" s="55"/>
      <x:c r="BD52" s="55"/>
      <x:c r="BE52" s="56"/>
      <x:c r="BF52" s="56"/>
      <x:c r="BG52" s="55"/>
    </x:row>
    <x:row r="53" ht="28" customHeight="1">
      <x:c r="A53" s="55"/>
      <x:c r="B53" s="55"/>
      <x:c r="C53" s="55"/>
      <x:c r="D53" s="55"/>
      <x:c r="E53" s="56"/>
      <x:c r="F53" s="57"/>
      <x:c r="G53" s="59"/>
      <x:c r="H53" s="59"/>
      <x:c r="I53" s="59"/>
      <x:c r="J53" s="59"/>
      <x:c r="K53" s="59"/>
      <x:c r="L53" s="59"/>
      <x:c r="M53" s="59"/>
      <x:c r="N53" s="59"/>
      <x:c r="O53" s="56"/>
      <x:c r="P53" s="56"/>
      <x:c r="Q53" s="56"/>
      <x:c r="R53" s="56"/>
      <x:c r="S53" s="55"/>
      <x:c r="T53" s="55"/>
      <x:c r="U53" s="56"/>
      <x:c r="V53" s="56"/>
      <x:c r="W53" s="55"/>
      <x:c r="X53" s="60"/>
      <x:c r="Y53" s="55"/>
      <x:c r="Z53" s="55"/>
      <x:c r="AA53" s="59"/>
      <x:c r="AB53" s="55"/>
      <x:c r="AC53" s="55"/>
      <x:c r="AD53" s="59"/>
      <x:c r="AE53" s="55"/>
      <x:c r="AF53" s="55"/>
      <x:c r="AG53" s="59"/>
      <x:c r="AH53" s="55"/>
      <x:c r="AI53" s="55"/>
      <x:c r="AJ53" s="59"/>
      <x:c r="AK53" s="55"/>
      <x:c r="AL53" s="55"/>
      <x:c r="AM53" s="59"/>
      <x:c r="AN53" s="56"/>
      <x:c r="AO53" s="57"/>
      <x:c r="AP53" s="57"/>
      <x:c r="AQ53" s="57"/>
      <x:c r="AR53" s="57"/>
      <x:c r="AS53" s="65" t="str">
        <x:f>IF(COUNT(AQ53,AR53)&lt;2,"",IF(AR53=0,"",AQ53/AR53))</x:f>
      </x:c>
      <x:c r="AT53" s="65" t="str">
        <x:f>IF(COUNT(AQ53,AP53)&lt;2,"",IF(AP53=0,"",AQ53/AP53))</x:f>
      </x:c>
      <x:c r="AU53" s="67" t="str">
        <x:f>IF(COUNT(AQ53,AR53)&lt;2,"",AQ53-AR53)</x:f>
      </x:c>
      <x:c r="AV53" s="67" t="str">
        <x:f>IF(COUNT(AQ53,AP53)&lt;2,"",AQ53-AP53)</x:f>
      </x:c>
      <x:c r="AW53" s="67" t="str">
        <x:f>IF(COUNT(AO53,AS53)&lt;2,"",IF(AS53=0,"",AO53/AS53))</x:f>
      </x:c>
      <x:c r="AX53" s="67" t="str">
        <x:f>IF(COUNT(AW53,AR53)&lt;2,"",AW53-AR53)</x:f>
      </x:c>
      <x:c r="AY53" s="67" t="str">
        <x:f>IF(COUNT(AO53,AW53)&lt;2,"",AO53-AW53)</x:f>
      </x:c>
      <x:c r="AZ53" s="55"/>
      <x:c r="BA53" s="55"/>
      <x:c r="BB53" s="55"/>
      <x:c r="BC53" s="55"/>
      <x:c r="BD53" s="55"/>
      <x:c r="BE53" s="56"/>
      <x:c r="BF53" s="56"/>
      <x:c r="BG53" s="55"/>
    </x:row>
    <x:row r="54" ht="28" customHeight="1">
      <x:c r="A54" s="55"/>
      <x:c r="B54" s="55"/>
      <x:c r="C54" s="55"/>
      <x:c r="D54" s="55"/>
      <x:c r="E54" s="56"/>
      <x:c r="F54" s="57"/>
      <x:c r="G54" s="59"/>
      <x:c r="H54" s="59"/>
      <x:c r="I54" s="59"/>
      <x:c r="J54" s="59"/>
      <x:c r="K54" s="59"/>
      <x:c r="L54" s="59"/>
      <x:c r="M54" s="59"/>
      <x:c r="N54" s="59"/>
      <x:c r="O54" s="56"/>
      <x:c r="P54" s="56"/>
      <x:c r="Q54" s="56"/>
      <x:c r="R54" s="56"/>
      <x:c r="S54" s="55"/>
      <x:c r="T54" s="55"/>
      <x:c r="U54" s="56"/>
      <x:c r="V54" s="56"/>
      <x:c r="W54" s="55"/>
      <x:c r="X54" s="60"/>
      <x:c r="Y54" s="55"/>
      <x:c r="Z54" s="55"/>
      <x:c r="AA54" s="59"/>
      <x:c r="AB54" s="55"/>
      <x:c r="AC54" s="55"/>
      <x:c r="AD54" s="59"/>
      <x:c r="AE54" s="55"/>
      <x:c r="AF54" s="55"/>
      <x:c r="AG54" s="59"/>
      <x:c r="AH54" s="55"/>
      <x:c r="AI54" s="55"/>
      <x:c r="AJ54" s="59"/>
      <x:c r="AK54" s="55"/>
      <x:c r="AL54" s="55"/>
      <x:c r="AM54" s="59"/>
      <x:c r="AN54" s="56"/>
      <x:c r="AO54" s="57"/>
      <x:c r="AP54" s="57"/>
      <x:c r="AQ54" s="57"/>
      <x:c r="AR54" s="57"/>
      <x:c r="AS54" s="65" t="str">
        <x:f>IF(COUNT(AQ54,AR54)&lt;2,"",IF(AR54=0,"",AQ54/AR54))</x:f>
      </x:c>
      <x:c r="AT54" s="65" t="str">
        <x:f>IF(COUNT(AQ54,AP54)&lt;2,"",IF(AP54=0,"",AQ54/AP54))</x:f>
      </x:c>
      <x:c r="AU54" s="67" t="str">
        <x:f>IF(COUNT(AQ54,AR54)&lt;2,"",AQ54-AR54)</x:f>
      </x:c>
      <x:c r="AV54" s="67" t="str">
        <x:f>IF(COUNT(AQ54,AP54)&lt;2,"",AQ54-AP54)</x:f>
      </x:c>
      <x:c r="AW54" s="67" t="str">
        <x:f>IF(COUNT(AO54,AS54)&lt;2,"",IF(AS54=0,"",AO54/AS54))</x:f>
      </x:c>
      <x:c r="AX54" s="67" t="str">
        <x:f>IF(COUNT(AW54,AR54)&lt;2,"",AW54-AR54)</x:f>
      </x:c>
      <x:c r="AY54" s="67" t="str">
        <x:f>IF(COUNT(AO54,AW54)&lt;2,"",AO54-AW54)</x:f>
      </x:c>
      <x:c r="AZ54" s="55"/>
      <x:c r="BA54" s="55"/>
      <x:c r="BB54" s="55"/>
      <x:c r="BC54" s="55"/>
      <x:c r="BD54" s="55"/>
      <x:c r="BE54" s="56"/>
      <x:c r="BF54" s="56"/>
      <x:c r="BG54" s="55"/>
    </x:row>
    <x:row r="55" ht="28" customHeight="1">
      <x:c r="A55" s="55"/>
      <x:c r="B55" s="55"/>
      <x:c r="C55" s="55"/>
      <x:c r="D55" s="55"/>
      <x:c r="E55" s="56"/>
      <x:c r="F55" s="57"/>
      <x:c r="G55" s="59"/>
      <x:c r="H55" s="59"/>
      <x:c r="I55" s="59"/>
      <x:c r="J55" s="59"/>
      <x:c r="K55" s="59"/>
      <x:c r="L55" s="59"/>
      <x:c r="M55" s="59"/>
      <x:c r="N55" s="59"/>
      <x:c r="O55" s="56"/>
      <x:c r="P55" s="56"/>
      <x:c r="Q55" s="56"/>
      <x:c r="R55" s="56"/>
      <x:c r="S55" s="55"/>
      <x:c r="T55" s="55"/>
      <x:c r="U55" s="56"/>
      <x:c r="V55" s="56"/>
      <x:c r="W55" s="55"/>
      <x:c r="X55" s="60"/>
      <x:c r="Y55" s="55"/>
      <x:c r="Z55" s="55"/>
      <x:c r="AA55" s="59"/>
      <x:c r="AB55" s="55"/>
      <x:c r="AC55" s="55"/>
      <x:c r="AD55" s="59"/>
      <x:c r="AE55" s="55"/>
      <x:c r="AF55" s="55"/>
      <x:c r="AG55" s="59"/>
      <x:c r="AH55" s="55"/>
      <x:c r="AI55" s="55"/>
      <x:c r="AJ55" s="59"/>
      <x:c r="AK55" s="55"/>
      <x:c r="AL55" s="55"/>
      <x:c r="AM55" s="59"/>
      <x:c r="AN55" s="56"/>
      <x:c r="AO55" s="57"/>
      <x:c r="AP55" s="57"/>
      <x:c r="AQ55" s="57"/>
      <x:c r="AR55" s="57"/>
      <x:c r="AS55" s="65" t="str">
        <x:f>IF(COUNT(AQ55,AR55)&lt;2,"",IF(AR55=0,"",AQ55/AR55))</x:f>
      </x:c>
      <x:c r="AT55" s="65" t="str">
        <x:f>IF(COUNT(AQ55,AP55)&lt;2,"",IF(AP55=0,"",AQ55/AP55))</x:f>
      </x:c>
      <x:c r="AU55" s="67" t="str">
        <x:f>IF(COUNT(AQ55,AR55)&lt;2,"",AQ55-AR55)</x:f>
      </x:c>
      <x:c r="AV55" s="67" t="str">
        <x:f>IF(COUNT(AQ55,AP55)&lt;2,"",AQ55-AP55)</x:f>
      </x:c>
      <x:c r="AW55" s="67" t="str">
        <x:f>IF(COUNT(AO55,AS55)&lt;2,"",IF(AS55=0,"",AO55/AS55))</x:f>
      </x:c>
      <x:c r="AX55" s="67" t="str">
        <x:f>IF(COUNT(AW55,AR55)&lt;2,"",AW55-AR55)</x:f>
      </x:c>
      <x:c r="AY55" s="67" t="str">
        <x:f>IF(COUNT(AO55,AW55)&lt;2,"",AO55-AW55)</x:f>
      </x:c>
      <x:c r="AZ55" s="55"/>
      <x:c r="BA55" s="55"/>
      <x:c r="BB55" s="55"/>
      <x:c r="BC55" s="55"/>
      <x:c r="BD55" s="55"/>
      <x:c r="BE55" s="56"/>
      <x:c r="BF55" s="56"/>
      <x:c r="BG55" s="55"/>
    </x:row>
    <x:row r="56" ht="28" customHeight="1">
      <x:c r="A56" s="55"/>
      <x:c r="B56" s="55"/>
      <x:c r="C56" s="55"/>
      <x:c r="D56" s="55"/>
      <x:c r="E56" s="56"/>
      <x:c r="F56" s="57"/>
      <x:c r="G56" s="59"/>
      <x:c r="H56" s="59"/>
      <x:c r="I56" s="59"/>
      <x:c r="J56" s="59"/>
      <x:c r="K56" s="59"/>
      <x:c r="L56" s="59"/>
      <x:c r="M56" s="59"/>
      <x:c r="N56" s="59"/>
      <x:c r="O56" s="56"/>
      <x:c r="P56" s="56"/>
      <x:c r="Q56" s="56"/>
      <x:c r="R56" s="56"/>
      <x:c r="S56" s="55"/>
      <x:c r="T56" s="55"/>
      <x:c r="U56" s="56"/>
      <x:c r="V56" s="56"/>
      <x:c r="W56" s="55"/>
      <x:c r="X56" s="60"/>
      <x:c r="Y56" s="55"/>
      <x:c r="Z56" s="55"/>
      <x:c r="AA56" s="59"/>
      <x:c r="AB56" s="55"/>
      <x:c r="AC56" s="55"/>
      <x:c r="AD56" s="59"/>
      <x:c r="AE56" s="55"/>
      <x:c r="AF56" s="55"/>
      <x:c r="AG56" s="59"/>
      <x:c r="AH56" s="55"/>
      <x:c r="AI56" s="55"/>
      <x:c r="AJ56" s="59"/>
      <x:c r="AK56" s="55"/>
      <x:c r="AL56" s="55"/>
      <x:c r="AM56" s="59"/>
      <x:c r="AN56" s="56"/>
      <x:c r="AO56" s="57"/>
      <x:c r="AP56" s="57"/>
      <x:c r="AQ56" s="57"/>
      <x:c r="AR56" s="57"/>
      <x:c r="AS56" s="65" t="str">
        <x:f>IF(COUNT(AQ56,AR56)&lt;2,"",IF(AR56=0,"",AQ56/AR56))</x:f>
      </x:c>
      <x:c r="AT56" s="65" t="str">
        <x:f>IF(COUNT(AQ56,AP56)&lt;2,"",IF(AP56=0,"",AQ56/AP56))</x:f>
      </x:c>
      <x:c r="AU56" s="67" t="str">
        <x:f>IF(COUNT(AQ56,AR56)&lt;2,"",AQ56-AR56)</x:f>
      </x:c>
      <x:c r="AV56" s="67" t="str">
        <x:f>IF(COUNT(AQ56,AP56)&lt;2,"",AQ56-AP56)</x:f>
      </x:c>
      <x:c r="AW56" s="67" t="str">
        <x:f>IF(COUNT(AO56,AS56)&lt;2,"",IF(AS56=0,"",AO56/AS56))</x:f>
      </x:c>
      <x:c r="AX56" s="67" t="str">
        <x:f>IF(COUNT(AW56,AR56)&lt;2,"",AW56-AR56)</x:f>
      </x:c>
      <x:c r="AY56" s="67" t="str">
        <x:f>IF(COUNT(AO56,AW56)&lt;2,"",AO56-AW56)</x:f>
      </x:c>
      <x:c r="AZ56" s="55"/>
      <x:c r="BA56" s="55"/>
      <x:c r="BB56" s="55"/>
      <x:c r="BC56" s="55"/>
      <x:c r="BD56" s="55"/>
      <x:c r="BE56" s="56"/>
      <x:c r="BF56" s="56"/>
      <x:c r="BG56" s="55"/>
    </x:row>
    <x:row r="57" ht="28" customHeight="1">
      <x:c r="A57" s="55"/>
      <x:c r="B57" s="55"/>
      <x:c r="C57" s="55"/>
      <x:c r="D57" s="55"/>
      <x:c r="E57" s="56"/>
      <x:c r="F57" s="57"/>
      <x:c r="G57" s="59"/>
      <x:c r="H57" s="59"/>
      <x:c r="I57" s="59"/>
      <x:c r="J57" s="59"/>
      <x:c r="K57" s="59"/>
      <x:c r="L57" s="59"/>
      <x:c r="M57" s="59"/>
      <x:c r="N57" s="59"/>
      <x:c r="O57" s="56"/>
      <x:c r="P57" s="56"/>
      <x:c r="Q57" s="56"/>
      <x:c r="R57" s="56"/>
      <x:c r="S57" s="55"/>
      <x:c r="T57" s="55"/>
      <x:c r="U57" s="56"/>
      <x:c r="V57" s="56"/>
      <x:c r="W57" s="55"/>
      <x:c r="X57" s="60"/>
      <x:c r="Y57" s="55"/>
      <x:c r="Z57" s="55"/>
      <x:c r="AA57" s="59"/>
      <x:c r="AB57" s="55"/>
      <x:c r="AC57" s="55"/>
      <x:c r="AD57" s="59"/>
      <x:c r="AE57" s="55"/>
      <x:c r="AF57" s="55"/>
      <x:c r="AG57" s="59"/>
      <x:c r="AH57" s="55"/>
      <x:c r="AI57" s="55"/>
      <x:c r="AJ57" s="59"/>
      <x:c r="AK57" s="55"/>
      <x:c r="AL57" s="55"/>
      <x:c r="AM57" s="59"/>
      <x:c r="AN57" s="56"/>
      <x:c r="AO57" s="57"/>
      <x:c r="AP57" s="57"/>
      <x:c r="AQ57" s="57"/>
      <x:c r="AR57" s="57"/>
      <x:c r="AS57" s="65" t="str">
        <x:f>IF(COUNT(AQ57,AR57)&lt;2,"",IF(AR57=0,"",AQ57/AR57))</x:f>
      </x:c>
      <x:c r="AT57" s="65" t="str">
        <x:f>IF(COUNT(AQ57,AP57)&lt;2,"",IF(AP57=0,"",AQ57/AP57))</x:f>
      </x:c>
      <x:c r="AU57" s="67" t="str">
        <x:f>IF(COUNT(AQ57,AR57)&lt;2,"",AQ57-AR57)</x:f>
      </x:c>
      <x:c r="AV57" s="67" t="str">
        <x:f>IF(COUNT(AQ57,AP57)&lt;2,"",AQ57-AP57)</x:f>
      </x:c>
      <x:c r="AW57" s="67" t="str">
        <x:f>IF(COUNT(AO57,AS57)&lt;2,"",IF(AS57=0,"",AO57/AS57))</x:f>
      </x:c>
      <x:c r="AX57" s="67" t="str">
        <x:f>IF(COUNT(AW57,AR57)&lt;2,"",AW57-AR57)</x:f>
      </x:c>
      <x:c r="AY57" s="67" t="str">
        <x:f>IF(COUNT(AO57,AW57)&lt;2,"",AO57-AW57)</x:f>
      </x:c>
      <x:c r="AZ57" s="55"/>
      <x:c r="BA57" s="55"/>
      <x:c r="BB57" s="55"/>
      <x:c r="BC57" s="55"/>
      <x:c r="BD57" s="55"/>
      <x:c r="BE57" s="56"/>
      <x:c r="BF57" s="56"/>
      <x:c r="BG57" s="55"/>
    </x:row>
    <x:row r="58" ht="28" customHeight="1">
      <x:c r="A58" s="55"/>
      <x:c r="B58" s="55"/>
      <x:c r="C58" s="55"/>
      <x:c r="D58" s="55"/>
      <x:c r="E58" s="56"/>
      <x:c r="F58" s="57"/>
      <x:c r="G58" s="59"/>
      <x:c r="H58" s="59"/>
      <x:c r="I58" s="59"/>
      <x:c r="J58" s="59"/>
      <x:c r="K58" s="59"/>
      <x:c r="L58" s="59"/>
      <x:c r="M58" s="59"/>
      <x:c r="N58" s="59"/>
      <x:c r="O58" s="56"/>
      <x:c r="P58" s="56"/>
      <x:c r="Q58" s="56"/>
      <x:c r="R58" s="56"/>
      <x:c r="S58" s="55"/>
      <x:c r="T58" s="55"/>
      <x:c r="U58" s="56"/>
      <x:c r="V58" s="56"/>
      <x:c r="W58" s="55"/>
      <x:c r="X58" s="60"/>
      <x:c r="Y58" s="55"/>
      <x:c r="Z58" s="55"/>
      <x:c r="AA58" s="59"/>
      <x:c r="AB58" s="55"/>
      <x:c r="AC58" s="55"/>
      <x:c r="AD58" s="59"/>
      <x:c r="AE58" s="55"/>
      <x:c r="AF58" s="55"/>
      <x:c r="AG58" s="59"/>
      <x:c r="AH58" s="55"/>
      <x:c r="AI58" s="55"/>
      <x:c r="AJ58" s="59"/>
      <x:c r="AK58" s="55"/>
      <x:c r="AL58" s="55"/>
      <x:c r="AM58" s="59"/>
      <x:c r="AN58" s="56"/>
      <x:c r="AO58" s="57"/>
      <x:c r="AP58" s="57"/>
      <x:c r="AQ58" s="57"/>
      <x:c r="AR58" s="57"/>
      <x:c r="AS58" s="65" t="str">
        <x:f>IF(COUNT(AQ58,AR58)&lt;2,"",IF(AR58=0,"",AQ58/AR58))</x:f>
      </x:c>
      <x:c r="AT58" s="65" t="str">
        <x:f>IF(COUNT(AQ58,AP58)&lt;2,"",IF(AP58=0,"",AQ58/AP58))</x:f>
      </x:c>
      <x:c r="AU58" s="67" t="str">
        <x:f>IF(COUNT(AQ58,AR58)&lt;2,"",AQ58-AR58)</x:f>
      </x:c>
      <x:c r="AV58" s="67" t="str">
        <x:f>IF(COUNT(AQ58,AP58)&lt;2,"",AQ58-AP58)</x:f>
      </x:c>
      <x:c r="AW58" s="67" t="str">
        <x:f>IF(COUNT(AO58,AS58)&lt;2,"",IF(AS58=0,"",AO58/AS58))</x:f>
      </x:c>
      <x:c r="AX58" s="67" t="str">
        <x:f>IF(COUNT(AW58,AR58)&lt;2,"",AW58-AR58)</x:f>
      </x:c>
      <x:c r="AY58" s="67" t="str">
        <x:f>IF(COUNT(AO58,AW58)&lt;2,"",AO58-AW58)</x:f>
      </x:c>
      <x:c r="AZ58" s="55"/>
      <x:c r="BA58" s="55"/>
      <x:c r="BB58" s="55"/>
      <x:c r="BC58" s="55"/>
      <x:c r="BD58" s="55"/>
      <x:c r="BE58" s="56"/>
      <x:c r="BF58" s="56"/>
      <x:c r="BG58" s="55"/>
    </x:row>
    <x:row r="59" ht="28" customHeight="1">
      <x:c r="A59" s="55"/>
      <x:c r="B59" s="55"/>
      <x:c r="C59" s="55"/>
      <x:c r="D59" s="55"/>
      <x:c r="E59" s="56"/>
      <x:c r="F59" s="57"/>
      <x:c r="G59" s="59"/>
      <x:c r="H59" s="59"/>
      <x:c r="I59" s="59"/>
      <x:c r="J59" s="59"/>
      <x:c r="K59" s="59"/>
      <x:c r="L59" s="59"/>
      <x:c r="M59" s="59"/>
      <x:c r="N59" s="59"/>
      <x:c r="O59" s="56"/>
      <x:c r="P59" s="56"/>
      <x:c r="Q59" s="56"/>
      <x:c r="R59" s="56"/>
      <x:c r="S59" s="55"/>
      <x:c r="T59" s="55"/>
      <x:c r="U59" s="56"/>
      <x:c r="V59" s="56"/>
      <x:c r="W59" s="55"/>
      <x:c r="X59" s="60"/>
      <x:c r="Y59" s="55"/>
      <x:c r="Z59" s="55"/>
      <x:c r="AA59" s="59"/>
      <x:c r="AB59" s="55"/>
      <x:c r="AC59" s="55"/>
      <x:c r="AD59" s="59"/>
      <x:c r="AE59" s="55"/>
      <x:c r="AF59" s="55"/>
      <x:c r="AG59" s="59"/>
      <x:c r="AH59" s="55"/>
      <x:c r="AI59" s="55"/>
      <x:c r="AJ59" s="59"/>
      <x:c r="AK59" s="55"/>
      <x:c r="AL59" s="55"/>
      <x:c r="AM59" s="59"/>
      <x:c r="AN59" s="56"/>
      <x:c r="AO59" s="57"/>
      <x:c r="AP59" s="57"/>
      <x:c r="AQ59" s="57"/>
      <x:c r="AR59" s="57"/>
      <x:c r="AS59" s="65" t="str">
        <x:f>IF(COUNT(AQ59,AR59)&lt;2,"",IF(AR59=0,"",AQ59/AR59))</x:f>
      </x:c>
      <x:c r="AT59" s="65" t="str">
        <x:f>IF(COUNT(AQ59,AP59)&lt;2,"",IF(AP59=0,"",AQ59/AP59))</x:f>
      </x:c>
      <x:c r="AU59" s="67" t="str">
        <x:f>IF(COUNT(AQ59,AR59)&lt;2,"",AQ59-AR59)</x:f>
      </x:c>
      <x:c r="AV59" s="67" t="str">
        <x:f>IF(COUNT(AQ59,AP59)&lt;2,"",AQ59-AP59)</x:f>
      </x:c>
      <x:c r="AW59" s="67" t="str">
        <x:f>IF(COUNT(AO59,AS59)&lt;2,"",IF(AS59=0,"",AO59/AS59))</x:f>
      </x:c>
      <x:c r="AX59" s="67" t="str">
        <x:f>IF(COUNT(AW59,AR59)&lt;2,"",AW59-AR59)</x:f>
      </x:c>
      <x:c r="AY59" s="67" t="str">
        <x:f>IF(COUNT(AO59,AW59)&lt;2,"",AO59-AW59)</x:f>
      </x:c>
      <x:c r="AZ59" s="55"/>
      <x:c r="BA59" s="55"/>
      <x:c r="BB59" s="55"/>
      <x:c r="BC59" s="55"/>
      <x:c r="BD59" s="55"/>
      <x:c r="BE59" s="56"/>
      <x:c r="BF59" s="56"/>
      <x:c r="BG59" s="55"/>
    </x:row>
    <x:row r="60" ht="28" customHeight="1">
      <x:c r="A60" s="55"/>
      <x:c r="B60" s="55"/>
      <x:c r="C60" s="55"/>
      <x:c r="D60" s="55"/>
      <x:c r="E60" s="56"/>
      <x:c r="F60" s="57"/>
      <x:c r="G60" s="59"/>
      <x:c r="H60" s="59"/>
      <x:c r="I60" s="59"/>
      <x:c r="J60" s="59"/>
      <x:c r="K60" s="59"/>
      <x:c r="L60" s="59"/>
      <x:c r="M60" s="59"/>
      <x:c r="N60" s="59"/>
      <x:c r="O60" s="56"/>
      <x:c r="P60" s="56"/>
      <x:c r="Q60" s="56"/>
      <x:c r="R60" s="56"/>
      <x:c r="S60" s="55"/>
      <x:c r="T60" s="55"/>
      <x:c r="U60" s="56"/>
      <x:c r="V60" s="56"/>
      <x:c r="W60" s="55"/>
      <x:c r="X60" s="60"/>
      <x:c r="Y60" s="55"/>
      <x:c r="Z60" s="55"/>
      <x:c r="AA60" s="59"/>
      <x:c r="AB60" s="55"/>
      <x:c r="AC60" s="55"/>
      <x:c r="AD60" s="59"/>
      <x:c r="AE60" s="55"/>
      <x:c r="AF60" s="55"/>
      <x:c r="AG60" s="59"/>
      <x:c r="AH60" s="55"/>
      <x:c r="AI60" s="55"/>
      <x:c r="AJ60" s="59"/>
      <x:c r="AK60" s="55"/>
      <x:c r="AL60" s="55"/>
      <x:c r="AM60" s="59"/>
      <x:c r="AN60" s="56"/>
      <x:c r="AO60" s="57"/>
      <x:c r="AP60" s="57"/>
      <x:c r="AQ60" s="57"/>
      <x:c r="AR60" s="57"/>
      <x:c r="AS60" s="65" t="str">
        <x:f>IF(COUNT(AQ60,AR60)&lt;2,"",IF(AR60=0,"",AQ60/AR60))</x:f>
      </x:c>
      <x:c r="AT60" s="65" t="str">
        <x:f>IF(COUNT(AQ60,AP60)&lt;2,"",IF(AP60=0,"",AQ60/AP60))</x:f>
      </x:c>
      <x:c r="AU60" s="67" t="str">
        <x:f>IF(COUNT(AQ60,AR60)&lt;2,"",AQ60-AR60)</x:f>
      </x:c>
      <x:c r="AV60" s="67" t="str">
        <x:f>IF(COUNT(AQ60,AP60)&lt;2,"",AQ60-AP60)</x:f>
      </x:c>
      <x:c r="AW60" s="67" t="str">
        <x:f>IF(COUNT(AO60,AS60)&lt;2,"",IF(AS60=0,"",AO60/AS60))</x:f>
      </x:c>
      <x:c r="AX60" s="67" t="str">
        <x:f>IF(COUNT(AW60,AR60)&lt;2,"",AW60-AR60)</x:f>
      </x:c>
      <x:c r="AY60" s="67" t="str">
        <x:f>IF(COUNT(AO60,AW60)&lt;2,"",AO60-AW60)</x:f>
      </x:c>
      <x:c r="AZ60" s="55"/>
      <x:c r="BA60" s="55"/>
      <x:c r="BB60" s="55"/>
      <x:c r="BC60" s="55"/>
      <x:c r="BD60" s="55"/>
      <x:c r="BE60" s="56"/>
      <x:c r="BF60" s="56"/>
      <x:c r="BG60" s="55"/>
    </x:row>
    <x:row r="61" ht="28" customHeight="1">
      <x:c r="A61" s="55"/>
      <x:c r="B61" s="55"/>
      <x:c r="C61" s="55"/>
      <x:c r="D61" s="55"/>
      <x:c r="E61" s="56"/>
      <x:c r="F61" s="57"/>
      <x:c r="G61" s="59"/>
      <x:c r="H61" s="59"/>
      <x:c r="I61" s="59"/>
      <x:c r="J61" s="59"/>
      <x:c r="K61" s="59"/>
      <x:c r="L61" s="59"/>
      <x:c r="M61" s="59"/>
      <x:c r="N61" s="59"/>
      <x:c r="O61" s="56"/>
      <x:c r="P61" s="56"/>
      <x:c r="Q61" s="56"/>
      <x:c r="R61" s="56"/>
      <x:c r="S61" s="55"/>
      <x:c r="T61" s="55"/>
      <x:c r="U61" s="56"/>
      <x:c r="V61" s="56"/>
      <x:c r="W61" s="55"/>
      <x:c r="X61" s="60"/>
      <x:c r="Y61" s="55"/>
      <x:c r="Z61" s="55"/>
      <x:c r="AA61" s="59"/>
      <x:c r="AB61" s="55"/>
      <x:c r="AC61" s="55"/>
      <x:c r="AD61" s="59"/>
      <x:c r="AE61" s="55"/>
      <x:c r="AF61" s="55"/>
      <x:c r="AG61" s="59"/>
      <x:c r="AH61" s="55"/>
      <x:c r="AI61" s="55"/>
      <x:c r="AJ61" s="59"/>
      <x:c r="AK61" s="55"/>
      <x:c r="AL61" s="55"/>
      <x:c r="AM61" s="59"/>
      <x:c r="AN61" s="56"/>
      <x:c r="AO61" s="57"/>
      <x:c r="AP61" s="57"/>
      <x:c r="AQ61" s="57"/>
      <x:c r="AR61" s="57"/>
      <x:c r="AS61" s="65" t="str">
        <x:f>IF(COUNT(AQ61,AR61)&lt;2,"",IF(AR61=0,"",AQ61/AR61))</x:f>
      </x:c>
      <x:c r="AT61" s="65" t="str">
        <x:f>IF(COUNT(AQ61,AP61)&lt;2,"",IF(AP61=0,"",AQ61/AP61))</x:f>
      </x:c>
      <x:c r="AU61" s="67" t="str">
        <x:f>IF(COUNT(AQ61,AR61)&lt;2,"",AQ61-AR61)</x:f>
      </x:c>
      <x:c r="AV61" s="67" t="str">
        <x:f>IF(COUNT(AQ61,AP61)&lt;2,"",AQ61-AP61)</x:f>
      </x:c>
      <x:c r="AW61" s="67" t="str">
        <x:f>IF(COUNT(AO61,AS61)&lt;2,"",IF(AS61=0,"",AO61/AS61))</x:f>
      </x:c>
      <x:c r="AX61" s="67" t="str">
        <x:f>IF(COUNT(AW61,AR61)&lt;2,"",AW61-AR61)</x:f>
      </x:c>
      <x:c r="AY61" s="67" t="str">
        <x:f>IF(COUNT(AO61,AW61)&lt;2,"",AO61-AW61)</x:f>
      </x:c>
      <x:c r="AZ61" s="55"/>
      <x:c r="BA61" s="55"/>
      <x:c r="BB61" s="55"/>
      <x:c r="BC61" s="55"/>
      <x:c r="BD61" s="55"/>
      <x:c r="BE61" s="56"/>
      <x:c r="BF61" s="56"/>
      <x:c r="BG61" s="55"/>
    </x:row>
    <x:row r="62" ht="28" customHeight="1">
      <x:c r="A62" s="55"/>
      <x:c r="B62" s="55"/>
      <x:c r="C62" s="55"/>
      <x:c r="D62" s="55"/>
      <x:c r="E62" s="56"/>
      <x:c r="F62" s="57"/>
      <x:c r="G62" s="59"/>
      <x:c r="H62" s="59"/>
      <x:c r="I62" s="59"/>
      <x:c r="J62" s="59"/>
      <x:c r="K62" s="59"/>
      <x:c r="L62" s="59"/>
      <x:c r="M62" s="59"/>
      <x:c r="N62" s="59"/>
      <x:c r="O62" s="56"/>
      <x:c r="P62" s="56"/>
      <x:c r="Q62" s="56"/>
      <x:c r="R62" s="56"/>
      <x:c r="S62" s="55"/>
      <x:c r="T62" s="55"/>
      <x:c r="U62" s="56"/>
      <x:c r="V62" s="56"/>
      <x:c r="W62" s="55"/>
      <x:c r="X62" s="60"/>
      <x:c r="Y62" s="55"/>
      <x:c r="Z62" s="55"/>
      <x:c r="AA62" s="59"/>
      <x:c r="AB62" s="55"/>
      <x:c r="AC62" s="55"/>
      <x:c r="AD62" s="59"/>
      <x:c r="AE62" s="55"/>
      <x:c r="AF62" s="55"/>
      <x:c r="AG62" s="59"/>
      <x:c r="AH62" s="55"/>
      <x:c r="AI62" s="55"/>
      <x:c r="AJ62" s="59"/>
      <x:c r="AK62" s="55"/>
      <x:c r="AL62" s="55"/>
      <x:c r="AM62" s="59"/>
      <x:c r="AN62" s="56"/>
      <x:c r="AO62" s="57"/>
      <x:c r="AP62" s="57"/>
      <x:c r="AQ62" s="57"/>
      <x:c r="AR62" s="57"/>
      <x:c r="AS62" s="65" t="str">
        <x:f>IF(COUNT(AQ62,AR62)&lt;2,"",IF(AR62=0,"",AQ62/AR62))</x:f>
      </x:c>
      <x:c r="AT62" s="65" t="str">
        <x:f>IF(COUNT(AQ62,AP62)&lt;2,"",IF(AP62=0,"",AQ62/AP62))</x:f>
      </x:c>
      <x:c r="AU62" s="67" t="str">
        <x:f>IF(COUNT(AQ62,AR62)&lt;2,"",AQ62-AR62)</x:f>
      </x:c>
      <x:c r="AV62" s="67" t="str">
        <x:f>IF(COUNT(AQ62,AP62)&lt;2,"",AQ62-AP62)</x:f>
      </x:c>
      <x:c r="AW62" s="67" t="str">
        <x:f>IF(COUNT(AO62,AS62)&lt;2,"",IF(AS62=0,"",AO62/AS62))</x:f>
      </x:c>
      <x:c r="AX62" s="67" t="str">
        <x:f>IF(COUNT(AW62,AR62)&lt;2,"",AW62-AR62)</x:f>
      </x:c>
      <x:c r="AY62" s="67" t="str">
        <x:f>IF(COUNT(AO62,AW62)&lt;2,"",AO62-AW62)</x:f>
      </x:c>
      <x:c r="AZ62" s="55"/>
      <x:c r="BA62" s="55"/>
      <x:c r="BB62" s="55"/>
      <x:c r="BC62" s="55"/>
      <x:c r="BD62" s="55"/>
      <x:c r="BE62" s="56"/>
      <x:c r="BF62" s="56"/>
      <x:c r="BG62" s="55"/>
    </x:row>
    <x:row r="63" ht="28" customHeight="1">
      <x:c r="A63" s="55"/>
      <x:c r="B63" s="55"/>
      <x:c r="C63" s="55"/>
      <x:c r="D63" s="55"/>
      <x:c r="E63" s="56"/>
      <x:c r="F63" s="57"/>
      <x:c r="G63" s="59"/>
      <x:c r="H63" s="59"/>
      <x:c r="I63" s="59"/>
      <x:c r="J63" s="59"/>
      <x:c r="K63" s="59"/>
      <x:c r="L63" s="59"/>
      <x:c r="M63" s="59"/>
      <x:c r="N63" s="59"/>
      <x:c r="O63" s="56"/>
      <x:c r="P63" s="56"/>
      <x:c r="Q63" s="56"/>
      <x:c r="R63" s="56"/>
      <x:c r="S63" s="55"/>
      <x:c r="T63" s="55"/>
      <x:c r="U63" s="56"/>
      <x:c r="V63" s="56"/>
      <x:c r="W63" s="55"/>
      <x:c r="X63" s="60"/>
      <x:c r="Y63" s="55"/>
      <x:c r="Z63" s="55"/>
      <x:c r="AA63" s="59"/>
      <x:c r="AB63" s="55"/>
      <x:c r="AC63" s="55"/>
      <x:c r="AD63" s="59"/>
      <x:c r="AE63" s="55"/>
      <x:c r="AF63" s="55"/>
      <x:c r="AG63" s="59"/>
      <x:c r="AH63" s="55"/>
      <x:c r="AI63" s="55"/>
      <x:c r="AJ63" s="59"/>
      <x:c r="AK63" s="55"/>
      <x:c r="AL63" s="55"/>
      <x:c r="AM63" s="59"/>
      <x:c r="AN63" s="56"/>
      <x:c r="AO63" s="57"/>
      <x:c r="AP63" s="57"/>
      <x:c r="AQ63" s="57"/>
      <x:c r="AR63" s="57"/>
      <x:c r="AS63" s="65" t="str">
        <x:f>IF(COUNT(AQ63,AR63)&lt;2,"",IF(AR63=0,"",AQ63/AR63))</x:f>
      </x:c>
      <x:c r="AT63" s="65" t="str">
        <x:f>IF(COUNT(AQ63,AP63)&lt;2,"",IF(AP63=0,"",AQ63/AP63))</x:f>
      </x:c>
      <x:c r="AU63" s="67" t="str">
        <x:f>IF(COUNT(AQ63,AR63)&lt;2,"",AQ63-AR63)</x:f>
      </x:c>
      <x:c r="AV63" s="67" t="str">
        <x:f>IF(COUNT(AQ63,AP63)&lt;2,"",AQ63-AP63)</x:f>
      </x:c>
      <x:c r="AW63" s="67" t="str">
        <x:f>IF(COUNT(AO63,AS63)&lt;2,"",IF(AS63=0,"",AO63/AS63))</x:f>
      </x:c>
      <x:c r="AX63" s="67" t="str">
        <x:f>IF(COUNT(AW63,AR63)&lt;2,"",AW63-AR63)</x:f>
      </x:c>
      <x:c r="AY63" s="67" t="str">
        <x:f>IF(COUNT(AO63,AW63)&lt;2,"",AO63-AW63)</x:f>
      </x:c>
      <x:c r="AZ63" s="55"/>
      <x:c r="BA63" s="55"/>
      <x:c r="BB63" s="55"/>
      <x:c r="BC63" s="55"/>
      <x:c r="BD63" s="55"/>
      <x:c r="BE63" s="56"/>
      <x:c r="BF63" s="56"/>
      <x:c r="BG63" s="55"/>
    </x:row>
    <x:row r="64" ht="28" customHeight="1">
      <x:c r="A64" s="55"/>
      <x:c r="B64" s="55"/>
      <x:c r="C64" s="55"/>
      <x:c r="D64" s="55"/>
      <x:c r="E64" s="56"/>
      <x:c r="F64" s="57"/>
      <x:c r="G64" s="59"/>
      <x:c r="H64" s="59"/>
      <x:c r="I64" s="59"/>
      <x:c r="J64" s="59"/>
      <x:c r="K64" s="59"/>
      <x:c r="L64" s="59"/>
      <x:c r="M64" s="59"/>
      <x:c r="N64" s="59"/>
      <x:c r="O64" s="56"/>
      <x:c r="P64" s="56"/>
      <x:c r="Q64" s="56"/>
      <x:c r="R64" s="56"/>
      <x:c r="S64" s="55"/>
      <x:c r="T64" s="55"/>
      <x:c r="U64" s="56"/>
      <x:c r="V64" s="56"/>
      <x:c r="W64" s="55"/>
      <x:c r="X64" s="60"/>
      <x:c r="Y64" s="55"/>
      <x:c r="Z64" s="55"/>
      <x:c r="AA64" s="59"/>
      <x:c r="AB64" s="55"/>
      <x:c r="AC64" s="55"/>
      <x:c r="AD64" s="59"/>
      <x:c r="AE64" s="55"/>
      <x:c r="AF64" s="55"/>
      <x:c r="AG64" s="59"/>
      <x:c r="AH64" s="55"/>
      <x:c r="AI64" s="55"/>
      <x:c r="AJ64" s="59"/>
      <x:c r="AK64" s="55"/>
      <x:c r="AL64" s="55"/>
      <x:c r="AM64" s="59"/>
      <x:c r="AN64" s="56"/>
      <x:c r="AO64" s="57"/>
      <x:c r="AP64" s="57"/>
      <x:c r="AQ64" s="57"/>
      <x:c r="AR64" s="57"/>
      <x:c r="AS64" s="65" t="str">
        <x:f>IF(COUNT(AQ64,AR64)&lt;2,"",IF(AR64=0,"",AQ64/AR64))</x:f>
      </x:c>
      <x:c r="AT64" s="65" t="str">
        <x:f>IF(COUNT(AQ64,AP64)&lt;2,"",IF(AP64=0,"",AQ64/AP64))</x:f>
      </x:c>
      <x:c r="AU64" s="67" t="str">
        <x:f>IF(COUNT(AQ64,AR64)&lt;2,"",AQ64-AR64)</x:f>
      </x:c>
      <x:c r="AV64" s="67" t="str">
        <x:f>IF(COUNT(AQ64,AP64)&lt;2,"",AQ64-AP64)</x:f>
      </x:c>
      <x:c r="AW64" s="67" t="str">
        <x:f>IF(COUNT(AO64,AS64)&lt;2,"",IF(AS64=0,"",AO64/AS64))</x:f>
      </x:c>
      <x:c r="AX64" s="67" t="str">
        <x:f>IF(COUNT(AW64,AR64)&lt;2,"",AW64-AR64)</x:f>
      </x:c>
      <x:c r="AY64" s="67" t="str">
        <x:f>IF(COUNT(AO64,AW64)&lt;2,"",AO64-AW64)</x:f>
      </x:c>
      <x:c r="AZ64" s="55"/>
      <x:c r="BA64" s="55"/>
      <x:c r="BB64" s="55"/>
      <x:c r="BC64" s="55"/>
      <x:c r="BD64" s="55"/>
      <x:c r="BE64" s="56"/>
      <x:c r="BF64" s="56"/>
      <x:c r="BG64" s="55"/>
    </x:row>
    <x:row r="65" ht="28" customHeight="1">
      <x:c r="A65" s="55"/>
      <x:c r="B65" s="55"/>
      <x:c r="C65" s="55"/>
      <x:c r="D65" s="55"/>
      <x:c r="E65" s="56"/>
      <x:c r="F65" s="57"/>
      <x:c r="G65" s="59"/>
      <x:c r="H65" s="59"/>
      <x:c r="I65" s="59"/>
      <x:c r="J65" s="59"/>
      <x:c r="K65" s="59"/>
      <x:c r="L65" s="59"/>
      <x:c r="M65" s="59"/>
      <x:c r="N65" s="59"/>
      <x:c r="O65" s="56"/>
      <x:c r="P65" s="56"/>
      <x:c r="Q65" s="56"/>
      <x:c r="R65" s="56"/>
      <x:c r="S65" s="55"/>
      <x:c r="T65" s="55"/>
      <x:c r="U65" s="56"/>
      <x:c r="V65" s="56"/>
      <x:c r="W65" s="55"/>
      <x:c r="X65" s="60"/>
      <x:c r="Y65" s="55"/>
      <x:c r="Z65" s="55"/>
      <x:c r="AA65" s="59"/>
      <x:c r="AB65" s="55"/>
      <x:c r="AC65" s="55"/>
      <x:c r="AD65" s="59"/>
      <x:c r="AE65" s="55"/>
      <x:c r="AF65" s="55"/>
      <x:c r="AG65" s="59"/>
      <x:c r="AH65" s="55"/>
      <x:c r="AI65" s="55"/>
      <x:c r="AJ65" s="59"/>
      <x:c r="AK65" s="55"/>
      <x:c r="AL65" s="55"/>
      <x:c r="AM65" s="59"/>
      <x:c r="AN65" s="56"/>
      <x:c r="AO65" s="57"/>
      <x:c r="AP65" s="57"/>
      <x:c r="AQ65" s="57"/>
      <x:c r="AR65" s="57"/>
      <x:c r="AS65" s="65" t="str">
        <x:f>IF(COUNT(AQ65,AR65)&lt;2,"",IF(AR65=0,"",AQ65/AR65))</x:f>
      </x:c>
      <x:c r="AT65" s="65" t="str">
        <x:f>IF(COUNT(AQ65,AP65)&lt;2,"",IF(AP65=0,"",AQ65/AP65))</x:f>
      </x:c>
      <x:c r="AU65" s="67" t="str">
        <x:f>IF(COUNT(AQ65,AR65)&lt;2,"",AQ65-AR65)</x:f>
      </x:c>
      <x:c r="AV65" s="67" t="str">
        <x:f>IF(COUNT(AQ65,AP65)&lt;2,"",AQ65-AP65)</x:f>
      </x:c>
      <x:c r="AW65" s="67" t="str">
        <x:f>IF(COUNT(AO65,AS65)&lt;2,"",IF(AS65=0,"",AO65/AS65))</x:f>
      </x:c>
      <x:c r="AX65" s="67" t="str">
        <x:f>IF(COUNT(AW65,AR65)&lt;2,"",AW65-AR65)</x:f>
      </x:c>
      <x:c r="AY65" s="67" t="str">
        <x:f>IF(COUNT(AO65,AW65)&lt;2,"",AO65-AW65)</x:f>
      </x:c>
      <x:c r="AZ65" s="55"/>
      <x:c r="BA65" s="55"/>
      <x:c r="BB65" s="55"/>
      <x:c r="BC65" s="55"/>
      <x:c r="BD65" s="55"/>
      <x:c r="BE65" s="56"/>
      <x:c r="BF65" s="56"/>
      <x:c r="BG65" s="55"/>
    </x:row>
    <x:row r="66" ht="28" customHeight="1">
      <x:c r="A66" s="55"/>
      <x:c r="B66" s="55"/>
      <x:c r="C66" s="55"/>
      <x:c r="D66" s="55"/>
      <x:c r="E66" s="56"/>
      <x:c r="F66" s="57"/>
      <x:c r="G66" s="59"/>
      <x:c r="H66" s="59"/>
      <x:c r="I66" s="59"/>
      <x:c r="J66" s="59"/>
      <x:c r="K66" s="59"/>
      <x:c r="L66" s="59"/>
      <x:c r="M66" s="59"/>
      <x:c r="N66" s="59"/>
      <x:c r="O66" s="56"/>
      <x:c r="P66" s="56"/>
      <x:c r="Q66" s="56"/>
      <x:c r="R66" s="56"/>
      <x:c r="S66" s="55"/>
      <x:c r="T66" s="55"/>
      <x:c r="U66" s="56"/>
      <x:c r="V66" s="56"/>
      <x:c r="W66" s="55"/>
      <x:c r="X66" s="60"/>
      <x:c r="Y66" s="55"/>
      <x:c r="Z66" s="55"/>
      <x:c r="AA66" s="59"/>
      <x:c r="AB66" s="55"/>
      <x:c r="AC66" s="55"/>
      <x:c r="AD66" s="59"/>
      <x:c r="AE66" s="55"/>
      <x:c r="AF66" s="55"/>
      <x:c r="AG66" s="59"/>
      <x:c r="AH66" s="55"/>
      <x:c r="AI66" s="55"/>
      <x:c r="AJ66" s="59"/>
      <x:c r="AK66" s="55"/>
      <x:c r="AL66" s="55"/>
      <x:c r="AM66" s="59"/>
      <x:c r="AN66" s="56"/>
      <x:c r="AO66" s="57"/>
      <x:c r="AP66" s="57"/>
      <x:c r="AQ66" s="57"/>
      <x:c r="AR66" s="57"/>
      <x:c r="AS66" s="65" t="str">
        <x:f>IF(COUNT(AQ66,AR66)&lt;2,"",IF(AR66=0,"",AQ66/AR66))</x:f>
      </x:c>
      <x:c r="AT66" s="65" t="str">
        <x:f>IF(COUNT(AQ66,AP66)&lt;2,"",IF(AP66=0,"",AQ66/AP66))</x:f>
      </x:c>
      <x:c r="AU66" s="67" t="str">
        <x:f>IF(COUNT(AQ66,AR66)&lt;2,"",AQ66-AR66)</x:f>
      </x:c>
      <x:c r="AV66" s="67" t="str">
        <x:f>IF(COUNT(AQ66,AP66)&lt;2,"",AQ66-AP66)</x:f>
      </x:c>
      <x:c r="AW66" s="67" t="str">
        <x:f>IF(COUNT(AO66,AS66)&lt;2,"",IF(AS66=0,"",AO66/AS66))</x:f>
      </x:c>
      <x:c r="AX66" s="67" t="str">
        <x:f>IF(COUNT(AW66,AR66)&lt;2,"",AW66-AR66)</x:f>
      </x:c>
      <x:c r="AY66" s="67" t="str">
        <x:f>IF(COUNT(AO66,AW66)&lt;2,"",AO66-AW66)</x:f>
      </x:c>
      <x:c r="AZ66" s="55"/>
      <x:c r="BA66" s="55"/>
      <x:c r="BB66" s="55"/>
      <x:c r="BC66" s="55"/>
      <x:c r="BD66" s="55"/>
      <x:c r="BE66" s="56"/>
      <x:c r="BF66" s="56"/>
      <x:c r="BG66" s="55"/>
    </x:row>
    <x:row r="67" ht="28" customHeight="1">
      <x:c r="A67" s="55"/>
      <x:c r="B67" s="55"/>
      <x:c r="C67" s="55"/>
      <x:c r="D67" s="55"/>
      <x:c r="E67" s="56"/>
      <x:c r="F67" s="57"/>
      <x:c r="G67" s="59"/>
      <x:c r="H67" s="59"/>
      <x:c r="I67" s="59"/>
      <x:c r="J67" s="59"/>
      <x:c r="K67" s="59"/>
      <x:c r="L67" s="59"/>
      <x:c r="M67" s="59"/>
      <x:c r="N67" s="59"/>
      <x:c r="O67" s="56"/>
      <x:c r="P67" s="56"/>
      <x:c r="Q67" s="56"/>
      <x:c r="R67" s="56"/>
      <x:c r="S67" s="55"/>
      <x:c r="T67" s="55"/>
      <x:c r="U67" s="56"/>
      <x:c r="V67" s="56"/>
      <x:c r="W67" s="55"/>
      <x:c r="X67" s="60"/>
      <x:c r="Y67" s="55"/>
      <x:c r="Z67" s="55"/>
      <x:c r="AA67" s="59"/>
      <x:c r="AB67" s="55"/>
      <x:c r="AC67" s="55"/>
      <x:c r="AD67" s="59"/>
      <x:c r="AE67" s="55"/>
      <x:c r="AF67" s="55"/>
      <x:c r="AG67" s="59"/>
      <x:c r="AH67" s="55"/>
      <x:c r="AI67" s="55"/>
      <x:c r="AJ67" s="59"/>
      <x:c r="AK67" s="55"/>
      <x:c r="AL67" s="55"/>
      <x:c r="AM67" s="59"/>
      <x:c r="AN67" s="56"/>
      <x:c r="AO67" s="57"/>
      <x:c r="AP67" s="57"/>
      <x:c r="AQ67" s="57"/>
      <x:c r="AR67" s="57"/>
      <x:c r="AS67" s="65" t="str">
        <x:f>IF(COUNT(AQ67,AR67)&lt;2,"",IF(AR67=0,"",AQ67/AR67))</x:f>
      </x:c>
      <x:c r="AT67" s="65" t="str">
        <x:f>IF(COUNT(AQ67,AP67)&lt;2,"",IF(AP67=0,"",AQ67/AP67))</x:f>
      </x:c>
      <x:c r="AU67" s="67" t="str">
        <x:f>IF(COUNT(AQ67,AR67)&lt;2,"",AQ67-AR67)</x:f>
      </x:c>
      <x:c r="AV67" s="67" t="str">
        <x:f>IF(COUNT(AQ67,AP67)&lt;2,"",AQ67-AP67)</x:f>
      </x:c>
      <x:c r="AW67" s="67" t="str">
        <x:f>IF(COUNT(AO67,AS67)&lt;2,"",IF(AS67=0,"",AO67/AS67))</x:f>
      </x:c>
      <x:c r="AX67" s="67" t="str">
        <x:f>IF(COUNT(AW67,AR67)&lt;2,"",AW67-AR67)</x:f>
      </x:c>
      <x:c r="AY67" s="67" t="str">
        <x:f>IF(COUNT(AO67,AW67)&lt;2,"",AO67-AW67)</x:f>
      </x:c>
      <x:c r="AZ67" s="55"/>
      <x:c r="BA67" s="55"/>
      <x:c r="BB67" s="55"/>
      <x:c r="BC67" s="55"/>
      <x:c r="BD67" s="55"/>
      <x:c r="BE67" s="56"/>
      <x:c r="BF67" s="56"/>
      <x:c r="BG67" s="55"/>
    </x:row>
    <x:row r="68" ht="28" customHeight="1">
      <x:c r="A68" s="55"/>
      <x:c r="B68" s="55"/>
      <x:c r="C68" s="55"/>
      <x:c r="D68" s="55"/>
      <x:c r="E68" s="56"/>
      <x:c r="F68" s="57"/>
      <x:c r="G68" s="59"/>
      <x:c r="H68" s="59"/>
      <x:c r="I68" s="59"/>
      <x:c r="J68" s="59"/>
      <x:c r="K68" s="59"/>
      <x:c r="L68" s="59"/>
      <x:c r="M68" s="59"/>
      <x:c r="N68" s="59"/>
      <x:c r="O68" s="56"/>
      <x:c r="P68" s="56"/>
      <x:c r="Q68" s="56"/>
      <x:c r="R68" s="56"/>
      <x:c r="S68" s="55"/>
      <x:c r="T68" s="55"/>
      <x:c r="U68" s="56"/>
      <x:c r="V68" s="56"/>
      <x:c r="W68" s="55"/>
      <x:c r="X68" s="60"/>
      <x:c r="Y68" s="55"/>
      <x:c r="Z68" s="55"/>
      <x:c r="AA68" s="59"/>
      <x:c r="AB68" s="55"/>
      <x:c r="AC68" s="55"/>
      <x:c r="AD68" s="59"/>
      <x:c r="AE68" s="55"/>
      <x:c r="AF68" s="55"/>
      <x:c r="AG68" s="59"/>
      <x:c r="AH68" s="55"/>
      <x:c r="AI68" s="55"/>
      <x:c r="AJ68" s="59"/>
      <x:c r="AK68" s="55"/>
      <x:c r="AL68" s="55"/>
      <x:c r="AM68" s="59"/>
      <x:c r="AN68" s="56"/>
      <x:c r="AO68" s="57"/>
      <x:c r="AP68" s="57"/>
      <x:c r="AQ68" s="57"/>
      <x:c r="AR68" s="57"/>
      <x:c r="AS68" s="65" t="str">
        <x:f>IF(COUNT(AQ68,AR68)&lt;2,"",IF(AR68=0,"",AQ68/AR68))</x:f>
      </x:c>
      <x:c r="AT68" s="65" t="str">
        <x:f>IF(COUNT(AQ68,AP68)&lt;2,"",IF(AP68=0,"",AQ68/AP68))</x:f>
      </x:c>
      <x:c r="AU68" s="67" t="str">
        <x:f>IF(COUNT(AQ68,AR68)&lt;2,"",AQ68-AR68)</x:f>
      </x:c>
      <x:c r="AV68" s="67" t="str">
        <x:f>IF(COUNT(AQ68,AP68)&lt;2,"",AQ68-AP68)</x:f>
      </x:c>
      <x:c r="AW68" s="67" t="str">
        <x:f>IF(COUNT(AO68,AS68)&lt;2,"",IF(AS68=0,"",AO68/AS68))</x:f>
      </x:c>
      <x:c r="AX68" s="67" t="str">
        <x:f>IF(COUNT(AW68,AR68)&lt;2,"",AW68-AR68)</x:f>
      </x:c>
      <x:c r="AY68" s="67" t="str">
        <x:f>IF(COUNT(AO68,AW68)&lt;2,"",AO68-AW68)</x:f>
      </x:c>
      <x:c r="AZ68" s="55"/>
      <x:c r="BA68" s="55"/>
      <x:c r="BB68" s="55"/>
      <x:c r="BC68" s="55"/>
      <x:c r="BD68" s="55"/>
      <x:c r="BE68" s="56"/>
      <x:c r="BF68" s="56"/>
      <x:c r="BG68" s="55"/>
    </x:row>
    <x:row r="69" ht="28" customHeight="1">
      <x:c r="A69" s="55"/>
      <x:c r="B69" s="55"/>
      <x:c r="C69" s="55"/>
      <x:c r="D69" s="55"/>
      <x:c r="E69" s="56"/>
      <x:c r="F69" s="57"/>
      <x:c r="G69" s="59"/>
      <x:c r="H69" s="59"/>
      <x:c r="I69" s="59"/>
      <x:c r="J69" s="59"/>
      <x:c r="K69" s="59"/>
      <x:c r="L69" s="59"/>
      <x:c r="M69" s="59"/>
      <x:c r="N69" s="59"/>
      <x:c r="O69" s="56"/>
      <x:c r="P69" s="56"/>
      <x:c r="Q69" s="56"/>
      <x:c r="R69" s="56"/>
      <x:c r="S69" s="55"/>
      <x:c r="T69" s="55"/>
      <x:c r="U69" s="56"/>
      <x:c r="V69" s="56"/>
      <x:c r="W69" s="55"/>
      <x:c r="X69" s="60"/>
      <x:c r="Y69" s="55"/>
      <x:c r="Z69" s="55"/>
      <x:c r="AA69" s="59"/>
      <x:c r="AB69" s="55"/>
      <x:c r="AC69" s="55"/>
      <x:c r="AD69" s="59"/>
      <x:c r="AE69" s="55"/>
      <x:c r="AF69" s="55"/>
      <x:c r="AG69" s="59"/>
      <x:c r="AH69" s="55"/>
      <x:c r="AI69" s="55"/>
      <x:c r="AJ69" s="59"/>
      <x:c r="AK69" s="55"/>
      <x:c r="AL69" s="55"/>
      <x:c r="AM69" s="59"/>
      <x:c r="AN69" s="56"/>
      <x:c r="AO69" s="57"/>
      <x:c r="AP69" s="57"/>
      <x:c r="AQ69" s="57"/>
      <x:c r="AR69" s="57"/>
      <x:c r="AS69" s="65" t="str">
        <x:f>IF(COUNT(AQ69,AR69)&lt;2,"",IF(AR69=0,"",AQ69/AR69))</x:f>
      </x:c>
      <x:c r="AT69" s="65" t="str">
        <x:f>IF(COUNT(AQ69,AP69)&lt;2,"",IF(AP69=0,"",AQ69/AP69))</x:f>
      </x:c>
      <x:c r="AU69" s="67" t="str">
        <x:f>IF(COUNT(AQ69,AR69)&lt;2,"",AQ69-AR69)</x:f>
      </x:c>
      <x:c r="AV69" s="67" t="str">
        <x:f>IF(COUNT(AQ69,AP69)&lt;2,"",AQ69-AP69)</x:f>
      </x:c>
      <x:c r="AW69" s="67" t="str">
        <x:f>IF(COUNT(AO69,AS69)&lt;2,"",IF(AS69=0,"",AO69/AS69))</x:f>
      </x:c>
      <x:c r="AX69" s="67" t="str">
        <x:f>IF(COUNT(AW69,AR69)&lt;2,"",AW69-AR69)</x:f>
      </x:c>
      <x:c r="AY69" s="67" t="str">
        <x:f>IF(COUNT(AO69,AW69)&lt;2,"",AO69-AW69)</x:f>
      </x:c>
      <x:c r="AZ69" s="55"/>
      <x:c r="BA69" s="55"/>
      <x:c r="BB69" s="55"/>
      <x:c r="BC69" s="55"/>
      <x:c r="BD69" s="55"/>
      <x:c r="BE69" s="56"/>
      <x:c r="BF69" s="56"/>
      <x:c r="BG69" s="55"/>
    </x:row>
    <x:row r="70" ht="28" customHeight="1">
      <x:c r="A70" s="55"/>
      <x:c r="B70" s="55"/>
      <x:c r="C70" s="55"/>
      <x:c r="D70" s="55"/>
      <x:c r="E70" s="56"/>
      <x:c r="F70" s="57"/>
      <x:c r="G70" s="59"/>
      <x:c r="H70" s="59"/>
      <x:c r="I70" s="59"/>
      <x:c r="J70" s="59"/>
      <x:c r="K70" s="59"/>
      <x:c r="L70" s="59"/>
      <x:c r="M70" s="59"/>
      <x:c r="N70" s="59"/>
      <x:c r="O70" s="56"/>
      <x:c r="P70" s="56"/>
      <x:c r="Q70" s="56"/>
      <x:c r="R70" s="56"/>
      <x:c r="S70" s="55"/>
      <x:c r="T70" s="55"/>
      <x:c r="U70" s="56"/>
      <x:c r="V70" s="56"/>
      <x:c r="W70" s="55"/>
      <x:c r="X70" s="60"/>
      <x:c r="Y70" s="55"/>
      <x:c r="Z70" s="55"/>
      <x:c r="AA70" s="59"/>
      <x:c r="AB70" s="55"/>
      <x:c r="AC70" s="55"/>
      <x:c r="AD70" s="59"/>
      <x:c r="AE70" s="55"/>
      <x:c r="AF70" s="55"/>
      <x:c r="AG70" s="59"/>
      <x:c r="AH70" s="55"/>
      <x:c r="AI70" s="55"/>
      <x:c r="AJ70" s="59"/>
      <x:c r="AK70" s="55"/>
      <x:c r="AL70" s="55"/>
      <x:c r="AM70" s="59"/>
      <x:c r="AN70" s="56"/>
      <x:c r="AO70" s="57"/>
      <x:c r="AP70" s="57"/>
      <x:c r="AQ70" s="57"/>
      <x:c r="AR70" s="57"/>
      <x:c r="AS70" s="65" t="str">
        <x:f>IF(COUNT(AQ70,AR70)&lt;2,"",IF(AR70=0,"",AQ70/AR70))</x:f>
      </x:c>
      <x:c r="AT70" s="65" t="str">
        <x:f>IF(COUNT(AQ70,AP70)&lt;2,"",IF(AP70=0,"",AQ70/AP70))</x:f>
      </x:c>
      <x:c r="AU70" s="67" t="str">
        <x:f>IF(COUNT(AQ70,AR70)&lt;2,"",AQ70-AR70)</x:f>
      </x:c>
      <x:c r="AV70" s="67" t="str">
        <x:f>IF(COUNT(AQ70,AP70)&lt;2,"",AQ70-AP70)</x:f>
      </x:c>
      <x:c r="AW70" s="67" t="str">
        <x:f>IF(COUNT(AO70,AS70)&lt;2,"",IF(AS70=0,"",AO70/AS70))</x:f>
      </x:c>
      <x:c r="AX70" s="67" t="str">
        <x:f>IF(COUNT(AW70,AR70)&lt;2,"",AW70-AR70)</x:f>
      </x:c>
      <x:c r="AY70" s="67" t="str">
        <x:f>IF(COUNT(AO70,AW70)&lt;2,"",AO70-AW70)</x:f>
      </x:c>
      <x:c r="AZ70" s="55"/>
      <x:c r="BA70" s="55"/>
      <x:c r="BB70" s="55"/>
      <x:c r="BC70" s="55"/>
      <x:c r="BD70" s="55"/>
      <x:c r="BE70" s="56"/>
      <x:c r="BF70" s="56"/>
      <x:c r="BG70" s="55"/>
    </x:row>
    <x:row r="71" ht="28" customHeight="1">
      <x:c r="A71" s="55"/>
      <x:c r="B71" s="55"/>
      <x:c r="C71" s="55"/>
      <x:c r="D71" s="55"/>
      <x:c r="E71" s="56"/>
      <x:c r="F71" s="57"/>
      <x:c r="G71" s="59"/>
      <x:c r="H71" s="59"/>
      <x:c r="I71" s="59"/>
      <x:c r="J71" s="59"/>
      <x:c r="K71" s="59"/>
      <x:c r="L71" s="59"/>
      <x:c r="M71" s="59"/>
      <x:c r="N71" s="59"/>
      <x:c r="O71" s="56"/>
      <x:c r="P71" s="56"/>
      <x:c r="Q71" s="56"/>
      <x:c r="R71" s="56"/>
      <x:c r="S71" s="55"/>
      <x:c r="T71" s="55"/>
      <x:c r="U71" s="56"/>
      <x:c r="V71" s="56"/>
      <x:c r="W71" s="55"/>
      <x:c r="X71" s="60"/>
      <x:c r="Y71" s="55"/>
      <x:c r="Z71" s="55"/>
      <x:c r="AA71" s="59"/>
      <x:c r="AB71" s="55"/>
      <x:c r="AC71" s="55"/>
      <x:c r="AD71" s="59"/>
      <x:c r="AE71" s="55"/>
      <x:c r="AF71" s="55"/>
      <x:c r="AG71" s="59"/>
      <x:c r="AH71" s="55"/>
      <x:c r="AI71" s="55"/>
      <x:c r="AJ71" s="59"/>
      <x:c r="AK71" s="55"/>
      <x:c r="AL71" s="55"/>
      <x:c r="AM71" s="59"/>
      <x:c r="AN71" s="56"/>
      <x:c r="AO71" s="57"/>
      <x:c r="AP71" s="57"/>
      <x:c r="AQ71" s="57"/>
      <x:c r="AR71" s="57"/>
      <x:c r="AS71" s="65" t="str">
        <x:f>IF(COUNT(AQ71,AR71)&lt;2,"",IF(AR71=0,"",AQ71/AR71))</x:f>
      </x:c>
      <x:c r="AT71" s="65" t="str">
        <x:f>IF(COUNT(AQ71,AP71)&lt;2,"",IF(AP71=0,"",AQ71/AP71))</x:f>
      </x:c>
      <x:c r="AU71" s="67" t="str">
        <x:f>IF(COUNT(AQ71,AR71)&lt;2,"",AQ71-AR71)</x:f>
      </x:c>
      <x:c r="AV71" s="67" t="str">
        <x:f>IF(COUNT(AQ71,AP71)&lt;2,"",AQ71-AP71)</x:f>
      </x:c>
      <x:c r="AW71" s="67" t="str">
        <x:f>IF(COUNT(AO71,AS71)&lt;2,"",IF(AS71=0,"",AO71/AS71))</x:f>
      </x:c>
      <x:c r="AX71" s="67" t="str">
        <x:f>IF(COUNT(AW71,AR71)&lt;2,"",AW71-AR71)</x:f>
      </x:c>
      <x:c r="AY71" s="67" t="str">
        <x:f>IF(COUNT(AO71,AW71)&lt;2,"",AO71-AW71)</x:f>
      </x:c>
      <x:c r="AZ71" s="55"/>
      <x:c r="BA71" s="55"/>
      <x:c r="BB71" s="55"/>
      <x:c r="BC71" s="55"/>
      <x:c r="BD71" s="55"/>
      <x:c r="BE71" s="56"/>
      <x:c r="BF71" s="56"/>
      <x:c r="BG71" s="55"/>
    </x:row>
    <x:row r="72" ht="28" customHeight="1">
      <x:c r="A72" s="55"/>
      <x:c r="B72" s="55"/>
      <x:c r="C72" s="55"/>
      <x:c r="D72" s="55"/>
      <x:c r="E72" s="56"/>
      <x:c r="F72" s="57"/>
      <x:c r="G72" s="59"/>
      <x:c r="H72" s="59"/>
      <x:c r="I72" s="59"/>
      <x:c r="J72" s="59"/>
      <x:c r="K72" s="59"/>
      <x:c r="L72" s="59"/>
      <x:c r="M72" s="59"/>
      <x:c r="N72" s="59"/>
      <x:c r="O72" s="56"/>
      <x:c r="P72" s="56"/>
      <x:c r="Q72" s="56"/>
      <x:c r="R72" s="56"/>
      <x:c r="S72" s="55"/>
      <x:c r="T72" s="55"/>
      <x:c r="U72" s="56"/>
      <x:c r="V72" s="56"/>
      <x:c r="W72" s="55"/>
      <x:c r="X72" s="60"/>
      <x:c r="Y72" s="55"/>
      <x:c r="Z72" s="55"/>
      <x:c r="AA72" s="59"/>
      <x:c r="AB72" s="55"/>
      <x:c r="AC72" s="55"/>
      <x:c r="AD72" s="59"/>
      <x:c r="AE72" s="55"/>
      <x:c r="AF72" s="55"/>
      <x:c r="AG72" s="59"/>
      <x:c r="AH72" s="55"/>
      <x:c r="AI72" s="55"/>
      <x:c r="AJ72" s="59"/>
      <x:c r="AK72" s="55"/>
      <x:c r="AL72" s="55"/>
      <x:c r="AM72" s="59"/>
      <x:c r="AN72" s="56"/>
      <x:c r="AO72" s="57"/>
      <x:c r="AP72" s="57"/>
      <x:c r="AQ72" s="57"/>
      <x:c r="AR72" s="57"/>
      <x:c r="AS72" s="65" t="str">
        <x:f>IF(COUNT(AQ72,AR72)&lt;2,"",IF(AR72=0,"",AQ72/AR72))</x:f>
      </x:c>
      <x:c r="AT72" s="65" t="str">
        <x:f>IF(COUNT(AQ72,AP72)&lt;2,"",IF(AP72=0,"",AQ72/AP72))</x:f>
      </x:c>
      <x:c r="AU72" s="67" t="str">
        <x:f>IF(COUNT(AQ72,AR72)&lt;2,"",AQ72-AR72)</x:f>
      </x:c>
      <x:c r="AV72" s="67" t="str">
        <x:f>IF(COUNT(AQ72,AP72)&lt;2,"",AQ72-AP72)</x:f>
      </x:c>
      <x:c r="AW72" s="67" t="str">
        <x:f>IF(COUNT(AO72,AS72)&lt;2,"",IF(AS72=0,"",AO72/AS72))</x:f>
      </x:c>
      <x:c r="AX72" s="67" t="str">
        <x:f>IF(COUNT(AW72,AR72)&lt;2,"",AW72-AR72)</x:f>
      </x:c>
      <x:c r="AY72" s="67" t="str">
        <x:f>IF(COUNT(AO72,AW72)&lt;2,"",AO72-AW72)</x:f>
      </x:c>
      <x:c r="AZ72" s="55"/>
      <x:c r="BA72" s="55"/>
      <x:c r="BB72" s="55"/>
      <x:c r="BC72" s="55"/>
      <x:c r="BD72" s="55"/>
      <x:c r="BE72" s="56"/>
      <x:c r="BF72" s="56"/>
      <x:c r="BG72" s="55"/>
    </x:row>
    <x:row r="73" ht="28" customHeight="1">
      <x:c r="A73" s="55"/>
      <x:c r="B73" s="55"/>
      <x:c r="C73" s="55"/>
      <x:c r="D73" s="55"/>
      <x:c r="E73" s="56"/>
      <x:c r="F73" s="57"/>
      <x:c r="G73" s="59"/>
      <x:c r="H73" s="59"/>
      <x:c r="I73" s="59"/>
      <x:c r="J73" s="59"/>
      <x:c r="K73" s="59"/>
      <x:c r="L73" s="59"/>
      <x:c r="M73" s="59"/>
      <x:c r="N73" s="59"/>
      <x:c r="O73" s="56"/>
      <x:c r="P73" s="56"/>
      <x:c r="Q73" s="56"/>
      <x:c r="R73" s="56"/>
      <x:c r="S73" s="55"/>
      <x:c r="T73" s="55"/>
      <x:c r="U73" s="56"/>
      <x:c r="V73" s="56"/>
      <x:c r="W73" s="55"/>
      <x:c r="X73" s="60"/>
      <x:c r="Y73" s="55"/>
      <x:c r="Z73" s="55"/>
      <x:c r="AA73" s="59"/>
      <x:c r="AB73" s="55"/>
      <x:c r="AC73" s="55"/>
      <x:c r="AD73" s="59"/>
      <x:c r="AE73" s="55"/>
      <x:c r="AF73" s="55"/>
      <x:c r="AG73" s="59"/>
      <x:c r="AH73" s="55"/>
      <x:c r="AI73" s="55"/>
      <x:c r="AJ73" s="59"/>
      <x:c r="AK73" s="55"/>
      <x:c r="AL73" s="55"/>
      <x:c r="AM73" s="59"/>
      <x:c r="AN73" s="56"/>
      <x:c r="AO73" s="57"/>
      <x:c r="AP73" s="57"/>
      <x:c r="AQ73" s="57"/>
      <x:c r="AR73" s="57"/>
      <x:c r="AS73" s="65" t="str">
        <x:f>IF(COUNT(AQ73,AR73)&lt;2,"",IF(AR73=0,"",AQ73/AR73))</x:f>
      </x:c>
      <x:c r="AT73" s="65" t="str">
        <x:f>IF(COUNT(AQ73,AP73)&lt;2,"",IF(AP73=0,"",AQ73/AP73))</x:f>
      </x:c>
      <x:c r="AU73" s="67" t="str">
        <x:f>IF(COUNT(AQ73,AR73)&lt;2,"",AQ73-AR73)</x:f>
      </x:c>
      <x:c r="AV73" s="67" t="str">
        <x:f>IF(COUNT(AQ73,AP73)&lt;2,"",AQ73-AP73)</x:f>
      </x:c>
      <x:c r="AW73" s="67" t="str">
        <x:f>IF(COUNT(AO73,AS73)&lt;2,"",IF(AS73=0,"",AO73/AS73))</x:f>
      </x:c>
      <x:c r="AX73" s="67" t="str">
        <x:f>IF(COUNT(AW73,AR73)&lt;2,"",AW73-AR73)</x:f>
      </x:c>
      <x:c r="AY73" s="67" t="str">
        <x:f>IF(COUNT(AO73,AW73)&lt;2,"",AO73-AW73)</x:f>
      </x:c>
      <x:c r="AZ73" s="55"/>
      <x:c r="BA73" s="55"/>
      <x:c r="BB73" s="55"/>
      <x:c r="BC73" s="55"/>
      <x:c r="BD73" s="55"/>
      <x:c r="BE73" s="56"/>
      <x:c r="BF73" s="56"/>
      <x:c r="BG73" s="55"/>
    </x:row>
    <x:row r="74" ht="28" customHeight="1">
      <x:c r="A74" s="55"/>
      <x:c r="B74" s="55"/>
      <x:c r="C74" s="55"/>
      <x:c r="D74" s="55"/>
      <x:c r="E74" s="56"/>
      <x:c r="F74" s="57"/>
      <x:c r="G74" s="59"/>
      <x:c r="H74" s="59"/>
      <x:c r="I74" s="59"/>
      <x:c r="J74" s="59"/>
      <x:c r="K74" s="59"/>
      <x:c r="L74" s="59"/>
      <x:c r="M74" s="59"/>
      <x:c r="N74" s="59"/>
      <x:c r="O74" s="56"/>
      <x:c r="P74" s="56"/>
      <x:c r="Q74" s="56"/>
      <x:c r="R74" s="56"/>
      <x:c r="S74" s="55"/>
      <x:c r="T74" s="55"/>
      <x:c r="U74" s="56"/>
      <x:c r="V74" s="56"/>
      <x:c r="W74" s="55"/>
      <x:c r="X74" s="60"/>
      <x:c r="Y74" s="55"/>
      <x:c r="Z74" s="55"/>
      <x:c r="AA74" s="59"/>
      <x:c r="AB74" s="55"/>
      <x:c r="AC74" s="55"/>
      <x:c r="AD74" s="59"/>
      <x:c r="AE74" s="55"/>
      <x:c r="AF74" s="55"/>
      <x:c r="AG74" s="59"/>
      <x:c r="AH74" s="55"/>
      <x:c r="AI74" s="55"/>
      <x:c r="AJ74" s="59"/>
      <x:c r="AK74" s="55"/>
      <x:c r="AL74" s="55"/>
      <x:c r="AM74" s="59"/>
      <x:c r="AN74" s="56"/>
      <x:c r="AO74" s="57"/>
      <x:c r="AP74" s="57"/>
      <x:c r="AQ74" s="57"/>
      <x:c r="AR74" s="57"/>
      <x:c r="AS74" s="65" t="str">
        <x:f>IF(COUNT(AQ74,AR74)&lt;2,"",IF(AR74=0,"",AQ74/AR74))</x:f>
      </x:c>
      <x:c r="AT74" s="65" t="str">
        <x:f>IF(COUNT(AQ74,AP74)&lt;2,"",IF(AP74=0,"",AQ74/AP74))</x:f>
      </x:c>
      <x:c r="AU74" s="67" t="str">
        <x:f>IF(COUNT(AQ74,AR74)&lt;2,"",AQ74-AR74)</x:f>
      </x:c>
      <x:c r="AV74" s="67" t="str">
        <x:f>IF(COUNT(AQ74,AP74)&lt;2,"",AQ74-AP74)</x:f>
      </x:c>
      <x:c r="AW74" s="67" t="str">
        <x:f>IF(COUNT(AO74,AS74)&lt;2,"",IF(AS74=0,"",AO74/AS74))</x:f>
      </x:c>
      <x:c r="AX74" s="67" t="str">
        <x:f>IF(COUNT(AW74,AR74)&lt;2,"",AW74-AR74)</x:f>
      </x:c>
      <x:c r="AY74" s="67" t="str">
        <x:f>IF(COUNT(AO74,AW74)&lt;2,"",AO74-AW74)</x:f>
      </x:c>
      <x:c r="AZ74" s="55"/>
      <x:c r="BA74" s="55"/>
      <x:c r="BB74" s="55"/>
      <x:c r="BC74" s="55"/>
      <x:c r="BD74" s="55"/>
      <x:c r="BE74" s="56"/>
      <x:c r="BF74" s="56"/>
      <x:c r="BG74" s="55"/>
    </x:row>
    <x:row r="75" ht="28" customHeight="1">
      <x:c r="A75" s="55"/>
      <x:c r="B75" s="55"/>
      <x:c r="C75" s="55"/>
      <x:c r="D75" s="55"/>
      <x:c r="E75" s="56"/>
      <x:c r="F75" s="57"/>
      <x:c r="G75" s="59"/>
      <x:c r="H75" s="59"/>
      <x:c r="I75" s="59"/>
      <x:c r="J75" s="59"/>
      <x:c r="K75" s="59"/>
      <x:c r="L75" s="59"/>
      <x:c r="M75" s="59"/>
      <x:c r="N75" s="59"/>
      <x:c r="O75" s="56"/>
      <x:c r="P75" s="56"/>
      <x:c r="Q75" s="56"/>
      <x:c r="R75" s="56"/>
      <x:c r="S75" s="55"/>
      <x:c r="T75" s="55"/>
      <x:c r="U75" s="56"/>
      <x:c r="V75" s="56"/>
      <x:c r="W75" s="55"/>
      <x:c r="X75" s="60"/>
      <x:c r="Y75" s="55"/>
      <x:c r="Z75" s="55"/>
      <x:c r="AA75" s="59"/>
      <x:c r="AB75" s="55"/>
      <x:c r="AC75" s="55"/>
      <x:c r="AD75" s="59"/>
      <x:c r="AE75" s="55"/>
      <x:c r="AF75" s="55"/>
      <x:c r="AG75" s="59"/>
      <x:c r="AH75" s="55"/>
      <x:c r="AI75" s="55"/>
      <x:c r="AJ75" s="59"/>
      <x:c r="AK75" s="55"/>
      <x:c r="AL75" s="55"/>
      <x:c r="AM75" s="59"/>
      <x:c r="AN75" s="56"/>
      <x:c r="AO75" s="57"/>
      <x:c r="AP75" s="57"/>
      <x:c r="AQ75" s="57"/>
      <x:c r="AR75" s="57"/>
      <x:c r="AS75" s="65" t="str">
        <x:f>IF(COUNT(AQ75,AR75)&lt;2,"",IF(AR75=0,"",AQ75/AR75))</x:f>
      </x:c>
      <x:c r="AT75" s="65" t="str">
        <x:f>IF(COUNT(AQ75,AP75)&lt;2,"",IF(AP75=0,"",AQ75/AP75))</x:f>
      </x:c>
      <x:c r="AU75" s="67" t="str">
        <x:f>IF(COUNT(AQ75,AR75)&lt;2,"",AQ75-AR75)</x:f>
      </x:c>
      <x:c r="AV75" s="67" t="str">
        <x:f>IF(COUNT(AQ75,AP75)&lt;2,"",AQ75-AP75)</x:f>
      </x:c>
      <x:c r="AW75" s="67" t="str">
        <x:f>IF(COUNT(AO75,AS75)&lt;2,"",IF(AS75=0,"",AO75/AS75))</x:f>
      </x:c>
      <x:c r="AX75" s="67" t="str">
        <x:f>IF(COUNT(AW75,AR75)&lt;2,"",AW75-AR75)</x:f>
      </x:c>
      <x:c r="AY75" s="67" t="str">
        <x:f>IF(COUNT(AO75,AW75)&lt;2,"",AO75-AW75)</x:f>
      </x:c>
      <x:c r="AZ75" s="55"/>
      <x:c r="BA75" s="55"/>
      <x:c r="BB75" s="55"/>
      <x:c r="BC75" s="55"/>
      <x:c r="BD75" s="55"/>
      <x:c r="BE75" s="56"/>
      <x:c r="BF75" s="56"/>
      <x:c r="BG75" s="55"/>
    </x:row>
    <x:row r="76" ht="28" customHeight="1">
      <x:c r="A76" s="55"/>
      <x:c r="B76" s="55"/>
      <x:c r="C76" s="55"/>
      <x:c r="D76" s="55"/>
      <x:c r="E76" s="56"/>
      <x:c r="F76" s="57"/>
      <x:c r="G76" s="59"/>
      <x:c r="H76" s="59"/>
      <x:c r="I76" s="59"/>
      <x:c r="J76" s="59"/>
      <x:c r="K76" s="59"/>
      <x:c r="L76" s="59"/>
      <x:c r="M76" s="59"/>
      <x:c r="N76" s="59"/>
      <x:c r="O76" s="56"/>
      <x:c r="P76" s="56"/>
      <x:c r="Q76" s="56"/>
      <x:c r="R76" s="56"/>
      <x:c r="S76" s="55"/>
      <x:c r="T76" s="55"/>
      <x:c r="U76" s="56"/>
      <x:c r="V76" s="56"/>
      <x:c r="W76" s="55"/>
      <x:c r="X76" s="60"/>
      <x:c r="Y76" s="55"/>
      <x:c r="Z76" s="55"/>
      <x:c r="AA76" s="59"/>
      <x:c r="AB76" s="55"/>
      <x:c r="AC76" s="55"/>
      <x:c r="AD76" s="59"/>
      <x:c r="AE76" s="55"/>
      <x:c r="AF76" s="55"/>
      <x:c r="AG76" s="59"/>
      <x:c r="AH76" s="55"/>
      <x:c r="AI76" s="55"/>
      <x:c r="AJ76" s="59"/>
      <x:c r="AK76" s="55"/>
      <x:c r="AL76" s="55"/>
      <x:c r="AM76" s="59"/>
      <x:c r="AN76" s="56"/>
      <x:c r="AO76" s="57"/>
      <x:c r="AP76" s="57"/>
      <x:c r="AQ76" s="57"/>
      <x:c r="AR76" s="57"/>
      <x:c r="AS76" s="65" t="str">
        <x:f>IF(COUNT(AQ76,AR76)&lt;2,"",IF(AR76=0,"",AQ76/AR76))</x:f>
      </x:c>
      <x:c r="AT76" s="65" t="str">
        <x:f>IF(COUNT(AQ76,AP76)&lt;2,"",IF(AP76=0,"",AQ76/AP76))</x:f>
      </x:c>
      <x:c r="AU76" s="67" t="str">
        <x:f>IF(COUNT(AQ76,AR76)&lt;2,"",AQ76-AR76)</x:f>
      </x:c>
      <x:c r="AV76" s="67" t="str">
        <x:f>IF(COUNT(AQ76,AP76)&lt;2,"",AQ76-AP76)</x:f>
      </x:c>
      <x:c r="AW76" s="67" t="str">
        <x:f>IF(COUNT(AO76,AS76)&lt;2,"",IF(AS76=0,"",AO76/AS76))</x:f>
      </x:c>
      <x:c r="AX76" s="67" t="str">
        <x:f>IF(COUNT(AW76,AR76)&lt;2,"",AW76-AR76)</x:f>
      </x:c>
      <x:c r="AY76" s="67" t="str">
        <x:f>IF(COUNT(AO76,AW76)&lt;2,"",AO76-AW76)</x:f>
      </x:c>
      <x:c r="AZ76" s="55"/>
      <x:c r="BA76" s="55"/>
      <x:c r="BB76" s="55"/>
      <x:c r="BC76" s="55"/>
      <x:c r="BD76" s="55"/>
      <x:c r="BE76" s="56"/>
      <x:c r="BF76" s="56"/>
      <x:c r="BG76" s="55"/>
    </x:row>
    <x:row r="77" ht="28" customHeight="1">
      <x:c r="A77" s="55"/>
      <x:c r="B77" s="55"/>
      <x:c r="C77" s="55"/>
      <x:c r="D77" s="55"/>
      <x:c r="E77" s="56"/>
      <x:c r="F77" s="57"/>
      <x:c r="G77" s="59"/>
      <x:c r="H77" s="59"/>
      <x:c r="I77" s="59"/>
      <x:c r="J77" s="59"/>
      <x:c r="K77" s="59"/>
      <x:c r="L77" s="59"/>
      <x:c r="M77" s="59"/>
      <x:c r="N77" s="59"/>
      <x:c r="O77" s="56"/>
      <x:c r="P77" s="56"/>
      <x:c r="Q77" s="56"/>
      <x:c r="R77" s="56"/>
      <x:c r="S77" s="55"/>
      <x:c r="T77" s="55"/>
      <x:c r="U77" s="56"/>
      <x:c r="V77" s="56"/>
      <x:c r="W77" s="55"/>
      <x:c r="X77" s="60"/>
      <x:c r="Y77" s="55"/>
      <x:c r="Z77" s="55"/>
      <x:c r="AA77" s="59"/>
      <x:c r="AB77" s="55"/>
      <x:c r="AC77" s="55"/>
      <x:c r="AD77" s="59"/>
      <x:c r="AE77" s="55"/>
      <x:c r="AF77" s="55"/>
      <x:c r="AG77" s="59"/>
      <x:c r="AH77" s="55"/>
      <x:c r="AI77" s="55"/>
      <x:c r="AJ77" s="59"/>
      <x:c r="AK77" s="55"/>
      <x:c r="AL77" s="55"/>
      <x:c r="AM77" s="59"/>
      <x:c r="AN77" s="56"/>
      <x:c r="AO77" s="57"/>
      <x:c r="AP77" s="57"/>
      <x:c r="AQ77" s="57"/>
      <x:c r="AR77" s="57"/>
      <x:c r="AS77" s="65" t="str">
        <x:f>IF(COUNT(AQ77,AR77)&lt;2,"",IF(AR77=0,"",AQ77/AR77))</x:f>
      </x:c>
      <x:c r="AT77" s="65" t="str">
        <x:f>IF(COUNT(AQ77,AP77)&lt;2,"",IF(AP77=0,"",AQ77/AP77))</x:f>
      </x:c>
      <x:c r="AU77" s="67" t="str">
        <x:f>IF(COUNT(AQ77,AR77)&lt;2,"",AQ77-AR77)</x:f>
      </x:c>
      <x:c r="AV77" s="67" t="str">
        <x:f>IF(COUNT(AQ77,AP77)&lt;2,"",AQ77-AP77)</x:f>
      </x:c>
      <x:c r="AW77" s="67" t="str">
        <x:f>IF(COUNT(AO77,AS77)&lt;2,"",IF(AS77=0,"",AO77/AS77))</x:f>
      </x:c>
      <x:c r="AX77" s="67" t="str">
        <x:f>IF(COUNT(AW77,AR77)&lt;2,"",AW77-AR77)</x:f>
      </x:c>
      <x:c r="AY77" s="67" t="str">
        <x:f>IF(COUNT(AO77,AW77)&lt;2,"",AO77-AW77)</x:f>
      </x:c>
      <x:c r="AZ77" s="55"/>
      <x:c r="BA77" s="55"/>
      <x:c r="BB77" s="55"/>
      <x:c r="BC77" s="55"/>
      <x:c r="BD77" s="55"/>
      <x:c r="BE77" s="56"/>
      <x:c r="BF77" s="56"/>
      <x:c r="BG77" s="55"/>
    </x:row>
    <x:row r="78" ht="28" customHeight="1">
      <x:c r="A78" s="55"/>
      <x:c r="B78" s="55"/>
      <x:c r="C78" s="55"/>
      <x:c r="D78" s="55"/>
      <x:c r="E78" s="56"/>
      <x:c r="F78" s="57"/>
      <x:c r="G78" s="59"/>
      <x:c r="H78" s="59"/>
      <x:c r="I78" s="59"/>
      <x:c r="J78" s="59"/>
      <x:c r="K78" s="59"/>
      <x:c r="L78" s="59"/>
      <x:c r="M78" s="59"/>
      <x:c r="N78" s="59"/>
      <x:c r="O78" s="56"/>
      <x:c r="P78" s="56"/>
      <x:c r="Q78" s="56"/>
      <x:c r="R78" s="56"/>
      <x:c r="S78" s="55"/>
      <x:c r="T78" s="55"/>
      <x:c r="U78" s="56"/>
      <x:c r="V78" s="56"/>
      <x:c r="W78" s="55"/>
      <x:c r="X78" s="60"/>
      <x:c r="Y78" s="55"/>
      <x:c r="Z78" s="55"/>
      <x:c r="AA78" s="59"/>
      <x:c r="AB78" s="55"/>
      <x:c r="AC78" s="55"/>
      <x:c r="AD78" s="59"/>
      <x:c r="AE78" s="55"/>
      <x:c r="AF78" s="55"/>
      <x:c r="AG78" s="59"/>
      <x:c r="AH78" s="55"/>
      <x:c r="AI78" s="55"/>
      <x:c r="AJ78" s="59"/>
      <x:c r="AK78" s="55"/>
      <x:c r="AL78" s="55"/>
      <x:c r="AM78" s="59"/>
      <x:c r="AN78" s="56"/>
      <x:c r="AO78" s="57"/>
      <x:c r="AP78" s="57"/>
      <x:c r="AQ78" s="57"/>
      <x:c r="AR78" s="57"/>
      <x:c r="AS78" s="65" t="str">
        <x:f>IF(COUNT(AQ78,AR78)&lt;2,"",IF(AR78=0,"",AQ78/AR78))</x:f>
      </x:c>
      <x:c r="AT78" s="65" t="str">
        <x:f>IF(COUNT(AQ78,AP78)&lt;2,"",IF(AP78=0,"",AQ78/AP78))</x:f>
      </x:c>
      <x:c r="AU78" s="67" t="str">
        <x:f>IF(COUNT(AQ78,AR78)&lt;2,"",AQ78-AR78)</x:f>
      </x:c>
      <x:c r="AV78" s="67" t="str">
        <x:f>IF(COUNT(AQ78,AP78)&lt;2,"",AQ78-AP78)</x:f>
      </x:c>
      <x:c r="AW78" s="67" t="str">
        <x:f>IF(COUNT(AO78,AS78)&lt;2,"",IF(AS78=0,"",AO78/AS78))</x:f>
      </x:c>
      <x:c r="AX78" s="67" t="str">
        <x:f>IF(COUNT(AW78,AR78)&lt;2,"",AW78-AR78)</x:f>
      </x:c>
      <x:c r="AY78" s="67" t="str">
        <x:f>IF(COUNT(AO78,AW78)&lt;2,"",AO78-AW78)</x:f>
      </x:c>
      <x:c r="AZ78" s="55"/>
      <x:c r="BA78" s="55"/>
      <x:c r="BB78" s="55"/>
      <x:c r="BC78" s="55"/>
      <x:c r="BD78" s="55"/>
      <x:c r="BE78" s="56"/>
      <x:c r="BF78" s="56"/>
      <x:c r="BG78" s="55"/>
    </x:row>
    <x:row r="79" ht="28" customHeight="1">
      <x:c r="A79" s="55"/>
      <x:c r="B79" s="55"/>
      <x:c r="C79" s="55"/>
      <x:c r="D79" s="55"/>
      <x:c r="E79" s="56"/>
      <x:c r="F79" s="57"/>
      <x:c r="G79" s="59"/>
      <x:c r="H79" s="59"/>
      <x:c r="I79" s="59"/>
      <x:c r="J79" s="59"/>
      <x:c r="K79" s="59"/>
      <x:c r="L79" s="59"/>
      <x:c r="M79" s="59"/>
      <x:c r="N79" s="59"/>
      <x:c r="O79" s="56"/>
      <x:c r="P79" s="56"/>
      <x:c r="Q79" s="56"/>
      <x:c r="R79" s="56"/>
      <x:c r="S79" s="55"/>
      <x:c r="T79" s="55"/>
      <x:c r="U79" s="56"/>
      <x:c r="V79" s="56"/>
      <x:c r="W79" s="55"/>
      <x:c r="X79" s="60"/>
      <x:c r="Y79" s="55"/>
      <x:c r="Z79" s="55"/>
      <x:c r="AA79" s="59"/>
      <x:c r="AB79" s="55"/>
      <x:c r="AC79" s="55"/>
      <x:c r="AD79" s="59"/>
      <x:c r="AE79" s="55"/>
      <x:c r="AF79" s="55"/>
      <x:c r="AG79" s="59"/>
      <x:c r="AH79" s="55"/>
      <x:c r="AI79" s="55"/>
      <x:c r="AJ79" s="59"/>
      <x:c r="AK79" s="55"/>
      <x:c r="AL79" s="55"/>
      <x:c r="AM79" s="59"/>
      <x:c r="AN79" s="56"/>
      <x:c r="AO79" s="57"/>
      <x:c r="AP79" s="57"/>
      <x:c r="AQ79" s="57"/>
      <x:c r="AR79" s="57"/>
      <x:c r="AS79" s="65" t="str">
        <x:f>IF(COUNT(AQ79,AR79)&lt;2,"",IF(AR79=0,"",AQ79/AR79))</x:f>
      </x:c>
      <x:c r="AT79" s="65" t="str">
        <x:f>IF(COUNT(AQ79,AP79)&lt;2,"",IF(AP79=0,"",AQ79/AP79))</x:f>
      </x:c>
      <x:c r="AU79" s="67" t="str">
        <x:f>IF(COUNT(AQ79,AR79)&lt;2,"",AQ79-AR79)</x:f>
      </x:c>
      <x:c r="AV79" s="67" t="str">
        <x:f>IF(COUNT(AQ79,AP79)&lt;2,"",AQ79-AP79)</x:f>
      </x:c>
      <x:c r="AW79" s="67" t="str">
        <x:f>IF(COUNT(AO79,AS79)&lt;2,"",IF(AS79=0,"",AO79/AS79))</x:f>
      </x:c>
      <x:c r="AX79" s="67" t="str">
        <x:f>IF(COUNT(AW79,AR79)&lt;2,"",AW79-AR79)</x:f>
      </x:c>
      <x:c r="AY79" s="67" t="str">
        <x:f>IF(COUNT(AO79,AW79)&lt;2,"",AO79-AW79)</x:f>
      </x:c>
      <x:c r="AZ79" s="55"/>
      <x:c r="BA79" s="55"/>
      <x:c r="BB79" s="55"/>
      <x:c r="BC79" s="55"/>
      <x:c r="BD79" s="55"/>
      <x:c r="BE79" s="56"/>
      <x:c r="BF79" s="56"/>
      <x:c r="BG79" s="55"/>
    </x:row>
    <x:row r="80" ht="28" customHeight="1">
      <x:c r="A80" s="55"/>
      <x:c r="B80" s="55"/>
      <x:c r="C80" s="55"/>
      <x:c r="D80" s="55"/>
      <x:c r="E80" s="56"/>
      <x:c r="F80" s="57"/>
      <x:c r="G80" s="59"/>
      <x:c r="H80" s="59"/>
      <x:c r="I80" s="59"/>
      <x:c r="J80" s="59"/>
      <x:c r="K80" s="59"/>
      <x:c r="L80" s="59"/>
      <x:c r="M80" s="59"/>
      <x:c r="N80" s="59"/>
      <x:c r="O80" s="56"/>
      <x:c r="P80" s="56"/>
      <x:c r="Q80" s="56"/>
      <x:c r="R80" s="56"/>
      <x:c r="S80" s="55"/>
      <x:c r="T80" s="55"/>
      <x:c r="U80" s="56"/>
      <x:c r="V80" s="56"/>
      <x:c r="W80" s="55"/>
      <x:c r="X80" s="60"/>
      <x:c r="Y80" s="55"/>
      <x:c r="Z80" s="55"/>
      <x:c r="AA80" s="59"/>
      <x:c r="AB80" s="55"/>
      <x:c r="AC80" s="55"/>
      <x:c r="AD80" s="59"/>
      <x:c r="AE80" s="55"/>
      <x:c r="AF80" s="55"/>
      <x:c r="AG80" s="59"/>
      <x:c r="AH80" s="55"/>
      <x:c r="AI80" s="55"/>
      <x:c r="AJ80" s="59"/>
      <x:c r="AK80" s="55"/>
      <x:c r="AL80" s="55"/>
      <x:c r="AM80" s="59"/>
      <x:c r="AN80" s="56"/>
      <x:c r="AO80" s="57"/>
      <x:c r="AP80" s="57"/>
      <x:c r="AQ80" s="57"/>
      <x:c r="AR80" s="57"/>
      <x:c r="AS80" s="65" t="str">
        <x:f>IF(COUNT(AQ80,AR80)&lt;2,"",IF(AR80=0,"",AQ80/AR80))</x:f>
      </x:c>
      <x:c r="AT80" s="65" t="str">
        <x:f>IF(COUNT(AQ80,AP80)&lt;2,"",IF(AP80=0,"",AQ80/AP80))</x:f>
      </x:c>
      <x:c r="AU80" s="67" t="str">
        <x:f>IF(COUNT(AQ80,AR80)&lt;2,"",AQ80-AR80)</x:f>
      </x:c>
      <x:c r="AV80" s="67" t="str">
        <x:f>IF(COUNT(AQ80,AP80)&lt;2,"",AQ80-AP80)</x:f>
      </x:c>
      <x:c r="AW80" s="67" t="str">
        <x:f>IF(COUNT(AO80,AS80)&lt;2,"",IF(AS80=0,"",AO80/AS80))</x:f>
      </x:c>
      <x:c r="AX80" s="67" t="str">
        <x:f>IF(COUNT(AW80,AR80)&lt;2,"",AW80-AR80)</x:f>
      </x:c>
      <x:c r="AY80" s="67" t="str">
        <x:f>IF(COUNT(AO80,AW80)&lt;2,"",AO80-AW80)</x:f>
      </x:c>
      <x:c r="AZ80" s="55"/>
      <x:c r="BA80" s="55"/>
      <x:c r="BB80" s="55"/>
      <x:c r="BC80" s="55"/>
      <x:c r="BD80" s="55"/>
      <x:c r="BE80" s="56"/>
      <x:c r="BF80" s="56"/>
      <x:c r="BG80" s="55"/>
    </x:row>
    <x:row r="81" ht="28" customHeight="1">
      <x:c r="A81" s="55"/>
      <x:c r="B81" s="55"/>
      <x:c r="C81" s="55"/>
      <x:c r="D81" s="55"/>
      <x:c r="E81" s="56"/>
      <x:c r="F81" s="57"/>
      <x:c r="G81" s="59"/>
      <x:c r="H81" s="59"/>
      <x:c r="I81" s="59"/>
      <x:c r="J81" s="59"/>
      <x:c r="K81" s="59"/>
      <x:c r="L81" s="59"/>
      <x:c r="M81" s="59"/>
      <x:c r="N81" s="59"/>
      <x:c r="O81" s="56"/>
      <x:c r="P81" s="56"/>
      <x:c r="Q81" s="56"/>
      <x:c r="R81" s="56"/>
      <x:c r="S81" s="55"/>
      <x:c r="T81" s="55"/>
      <x:c r="U81" s="56"/>
      <x:c r="V81" s="56"/>
      <x:c r="W81" s="55"/>
      <x:c r="X81" s="60"/>
      <x:c r="Y81" s="55"/>
      <x:c r="Z81" s="55"/>
      <x:c r="AA81" s="59"/>
      <x:c r="AB81" s="55"/>
      <x:c r="AC81" s="55"/>
      <x:c r="AD81" s="59"/>
      <x:c r="AE81" s="55"/>
      <x:c r="AF81" s="55"/>
      <x:c r="AG81" s="59"/>
      <x:c r="AH81" s="55"/>
      <x:c r="AI81" s="55"/>
      <x:c r="AJ81" s="59"/>
      <x:c r="AK81" s="55"/>
      <x:c r="AL81" s="55"/>
      <x:c r="AM81" s="59"/>
      <x:c r="AN81" s="56"/>
      <x:c r="AO81" s="57"/>
      <x:c r="AP81" s="57"/>
      <x:c r="AQ81" s="57"/>
      <x:c r="AR81" s="57"/>
      <x:c r="AS81" s="65" t="str">
        <x:f>IF(COUNT(AQ81,AR81)&lt;2,"",IF(AR81=0,"",AQ81/AR81))</x:f>
      </x:c>
      <x:c r="AT81" s="65" t="str">
        <x:f>IF(COUNT(AQ81,AP81)&lt;2,"",IF(AP81=0,"",AQ81/AP81))</x:f>
      </x:c>
      <x:c r="AU81" s="67" t="str">
        <x:f>IF(COUNT(AQ81,AR81)&lt;2,"",AQ81-AR81)</x:f>
      </x:c>
      <x:c r="AV81" s="67" t="str">
        <x:f>IF(COUNT(AQ81,AP81)&lt;2,"",AQ81-AP81)</x:f>
      </x:c>
      <x:c r="AW81" s="67" t="str">
        <x:f>IF(COUNT(AO81,AS81)&lt;2,"",IF(AS81=0,"",AO81/AS81))</x:f>
      </x:c>
      <x:c r="AX81" s="67" t="str">
        <x:f>IF(COUNT(AW81,AR81)&lt;2,"",AW81-AR81)</x:f>
      </x:c>
      <x:c r="AY81" s="67" t="str">
        <x:f>IF(COUNT(AO81,AW81)&lt;2,"",AO81-AW81)</x:f>
      </x:c>
      <x:c r="AZ81" s="55"/>
      <x:c r="BA81" s="55"/>
      <x:c r="BB81" s="55"/>
      <x:c r="BC81" s="55"/>
      <x:c r="BD81" s="55"/>
      <x:c r="BE81" s="56"/>
      <x:c r="BF81" s="56"/>
      <x:c r="BG81" s="55"/>
    </x:row>
    <x:row r="82" ht="28" customHeight="1">
      <x:c r="A82" s="55"/>
      <x:c r="B82" s="55"/>
      <x:c r="C82" s="55"/>
      <x:c r="D82" s="55"/>
      <x:c r="E82" s="56"/>
      <x:c r="F82" s="57"/>
      <x:c r="G82" s="59"/>
      <x:c r="H82" s="59"/>
      <x:c r="I82" s="59"/>
      <x:c r="J82" s="59"/>
      <x:c r="K82" s="59"/>
      <x:c r="L82" s="59"/>
      <x:c r="M82" s="59"/>
      <x:c r="N82" s="59"/>
      <x:c r="O82" s="56"/>
      <x:c r="P82" s="56"/>
      <x:c r="Q82" s="56"/>
      <x:c r="R82" s="56"/>
      <x:c r="S82" s="55"/>
      <x:c r="T82" s="55"/>
      <x:c r="U82" s="56"/>
      <x:c r="V82" s="56"/>
      <x:c r="W82" s="55"/>
      <x:c r="X82" s="60"/>
      <x:c r="Y82" s="55"/>
      <x:c r="Z82" s="55"/>
      <x:c r="AA82" s="59"/>
      <x:c r="AB82" s="55"/>
      <x:c r="AC82" s="55"/>
      <x:c r="AD82" s="59"/>
      <x:c r="AE82" s="55"/>
      <x:c r="AF82" s="55"/>
      <x:c r="AG82" s="59"/>
      <x:c r="AH82" s="55"/>
      <x:c r="AI82" s="55"/>
      <x:c r="AJ82" s="59"/>
      <x:c r="AK82" s="55"/>
      <x:c r="AL82" s="55"/>
      <x:c r="AM82" s="59"/>
      <x:c r="AN82" s="56"/>
      <x:c r="AO82" s="57"/>
      <x:c r="AP82" s="57"/>
      <x:c r="AQ82" s="57"/>
      <x:c r="AR82" s="57"/>
      <x:c r="AS82" s="65" t="str">
        <x:f>IF(COUNT(AQ82,AR82)&lt;2,"",IF(AR82=0,"",AQ82/AR82))</x:f>
      </x:c>
      <x:c r="AT82" s="65" t="str">
        <x:f>IF(COUNT(AQ82,AP82)&lt;2,"",IF(AP82=0,"",AQ82/AP82))</x:f>
      </x:c>
      <x:c r="AU82" s="67" t="str">
        <x:f>IF(COUNT(AQ82,AR82)&lt;2,"",AQ82-AR82)</x:f>
      </x:c>
      <x:c r="AV82" s="67" t="str">
        <x:f>IF(COUNT(AQ82,AP82)&lt;2,"",AQ82-AP82)</x:f>
      </x:c>
      <x:c r="AW82" s="67" t="str">
        <x:f>IF(COUNT(AO82,AS82)&lt;2,"",IF(AS82=0,"",AO82/AS82))</x:f>
      </x:c>
      <x:c r="AX82" s="67" t="str">
        <x:f>IF(COUNT(AW82,AR82)&lt;2,"",AW82-AR82)</x:f>
      </x:c>
      <x:c r="AY82" s="67" t="str">
        <x:f>IF(COUNT(AO82,AW82)&lt;2,"",AO82-AW82)</x:f>
      </x:c>
      <x:c r="AZ82" s="55"/>
      <x:c r="BA82" s="55"/>
      <x:c r="BB82" s="55"/>
      <x:c r="BC82" s="55"/>
      <x:c r="BD82" s="55"/>
      <x:c r="BE82" s="56"/>
      <x:c r="BF82" s="56"/>
      <x:c r="BG82" s="55"/>
    </x:row>
    <x:row r="83" ht="28" customHeight="1">
      <x:c r="A83" s="55"/>
      <x:c r="B83" s="55"/>
      <x:c r="C83" s="55"/>
      <x:c r="D83" s="55"/>
      <x:c r="E83" s="56"/>
      <x:c r="F83" s="57"/>
      <x:c r="G83" s="59"/>
      <x:c r="H83" s="59"/>
      <x:c r="I83" s="59"/>
      <x:c r="J83" s="59"/>
      <x:c r="K83" s="59"/>
      <x:c r="L83" s="59"/>
      <x:c r="M83" s="59"/>
      <x:c r="N83" s="59"/>
      <x:c r="O83" s="56"/>
      <x:c r="P83" s="56"/>
      <x:c r="Q83" s="56"/>
      <x:c r="R83" s="56"/>
      <x:c r="S83" s="55"/>
      <x:c r="T83" s="55"/>
      <x:c r="U83" s="56"/>
      <x:c r="V83" s="56"/>
      <x:c r="W83" s="55"/>
      <x:c r="X83" s="60"/>
      <x:c r="Y83" s="55"/>
      <x:c r="Z83" s="55"/>
      <x:c r="AA83" s="59"/>
      <x:c r="AB83" s="55"/>
      <x:c r="AC83" s="55"/>
      <x:c r="AD83" s="59"/>
      <x:c r="AE83" s="55"/>
      <x:c r="AF83" s="55"/>
      <x:c r="AG83" s="59"/>
      <x:c r="AH83" s="55"/>
      <x:c r="AI83" s="55"/>
      <x:c r="AJ83" s="59"/>
      <x:c r="AK83" s="55"/>
      <x:c r="AL83" s="55"/>
      <x:c r="AM83" s="59"/>
      <x:c r="AN83" s="56"/>
      <x:c r="AO83" s="57"/>
      <x:c r="AP83" s="57"/>
      <x:c r="AQ83" s="57"/>
      <x:c r="AR83" s="57"/>
      <x:c r="AS83" s="65" t="str">
        <x:f>IF(COUNT(AQ83,AR83)&lt;2,"",IF(AR83=0,"",AQ83/AR83))</x:f>
      </x:c>
      <x:c r="AT83" s="65" t="str">
        <x:f>IF(COUNT(AQ83,AP83)&lt;2,"",IF(AP83=0,"",AQ83/AP83))</x:f>
      </x:c>
      <x:c r="AU83" s="67" t="str">
        <x:f>IF(COUNT(AQ83,AR83)&lt;2,"",AQ83-AR83)</x:f>
      </x:c>
      <x:c r="AV83" s="67" t="str">
        <x:f>IF(COUNT(AQ83,AP83)&lt;2,"",AQ83-AP83)</x:f>
      </x:c>
      <x:c r="AW83" s="67" t="str">
        <x:f>IF(COUNT(AO83,AS83)&lt;2,"",IF(AS83=0,"",AO83/AS83))</x:f>
      </x:c>
      <x:c r="AX83" s="67" t="str">
        <x:f>IF(COUNT(AW83,AR83)&lt;2,"",AW83-AR83)</x:f>
      </x:c>
      <x:c r="AY83" s="67" t="str">
        <x:f>IF(COUNT(AO83,AW83)&lt;2,"",AO83-AW83)</x:f>
      </x:c>
      <x:c r="AZ83" s="55"/>
      <x:c r="BA83" s="55"/>
      <x:c r="BB83" s="55"/>
      <x:c r="BC83" s="55"/>
      <x:c r="BD83" s="55"/>
      <x:c r="BE83" s="56"/>
      <x:c r="BF83" s="56"/>
      <x:c r="BG83" s="55"/>
    </x:row>
    <x:row r="84" ht="28" customHeight="1">
      <x:c r="A84" s="55"/>
      <x:c r="B84" s="55"/>
      <x:c r="C84" s="55"/>
      <x:c r="D84" s="55"/>
      <x:c r="E84" s="56"/>
      <x:c r="F84" s="57"/>
      <x:c r="G84" s="59"/>
      <x:c r="H84" s="59"/>
      <x:c r="I84" s="59"/>
      <x:c r="J84" s="59"/>
      <x:c r="K84" s="59"/>
      <x:c r="L84" s="59"/>
      <x:c r="M84" s="59"/>
      <x:c r="N84" s="59"/>
      <x:c r="O84" s="56"/>
      <x:c r="P84" s="56"/>
      <x:c r="Q84" s="56"/>
      <x:c r="R84" s="56"/>
      <x:c r="S84" s="55"/>
      <x:c r="T84" s="55"/>
      <x:c r="U84" s="56"/>
      <x:c r="V84" s="56"/>
      <x:c r="W84" s="55"/>
      <x:c r="X84" s="60"/>
      <x:c r="Y84" s="55"/>
      <x:c r="Z84" s="55"/>
      <x:c r="AA84" s="59"/>
      <x:c r="AB84" s="55"/>
      <x:c r="AC84" s="55"/>
      <x:c r="AD84" s="59"/>
      <x:c r="AE84" s="55"/>
      <x:c r="AF84" s="55"/>
      <x:c r="AG84" s="59"/>
      <x:c r="AH84" s="55"/>
      <x:c r="AI84" s="55"/>
      <x:c r="AJ84" s="59"/>
      <x:c r="AK84" s="55"/>
      <x:c r="AL84" s="55"/>
      <x:c r="AM84" s="59"/>
      <x:c r="AN84" s="56"/>
      <x:c r="AO84" s="57"/>
      <x:c r="AP84" s="57"/>
      <x:c r="AQ84" s="57"/>
      <x:c r="AR84" s="57"/>
      <x:c r="AS84" s="65" t="str">
        <x:f>IF(COUNT(AQ84,AR84)&lt;2,"",IF(AR84=0,"",AQ84/AR84))</x:f>
      </x:c>
      <x:c r="AT84" s="65" t="str">
        <x:f>IF(COUNT(AQ84,AP84)&lt;2,"",IF(AP84=0,"",AQ84/AP84))</x:f>
      </x:c>
      <x:c r="AU84" s="67" t="str">
        <x:f>IF(COUNT(AQ84,AR84)&lt;2,"",AQ84-AR84)</x:f>
      </x:c>
      <x:c r="AV84" s="67" t="str">
        <x:f>IF(COUNT(AQ84,AP84)&lt;2,"",AQ84-AP84)</x:f>
      </x:c>
      <x:c r="AW84" s="67" t="str">
        <x:f>IF(COUNT(AO84,AS84)&lt;2,"",IF(AS84=0,"",AO84/AS84))</x:f>
      </x:c>
      <x:c r="AX84" s="67" t="str">
        <x:f>IF(COUNT(AW84,AR84)&lt;2,"",AW84-AR84)</x:f>
      </x:c>
      <x:c r="AY84" s="67" t="str">
        <x:f>IF(COUNT(AO84,AW84)&lt;2,"",AO84-AW84)</x:f>
      </x:c>
      <x:c r="AZ84" s="55"/>
      <x:c r="BA84" s="55"/>
      <x:c r="BB84" s="55"/>
      <x:c r="BC84" s="55"/>
      <x:c r="BD84" s="55"/>
      <x:c r="BE84" s="56"/>
      <x:c r="BF84" s="56"/>
      <x:c r="BG84" s="55"/>
    </x:row>
    <x:row r="85" ht="28" customHeight="1">
      <x:c r="A85" s="55"/>
      <x:c r="B85" s="55"/>
      <x:c r="C85" s="55"/>
      <x:c r="D85" s="55"/>
      <x:c r="E85" s="56"/>
      <x:c r="F85" s="57"/>
      <x:c r="G85" s="59"/>
      <x:c r="H85" s="59"/>
      <x:c r="I85" s="59"/>
      <x:c r="J85" s="59"/>
      <x:c r="K85" s="59"/>
      <x:c r="L85" s="59"/>
      <x:c r="M85" s="59"/>
      <x:c r="N85" s="59"/>
      <x:c r="O85" s="56"/>
      <x:c r="P85" s="56"/>
      <x:c r="Q85" s="56"/>
      <x:c r="R85" s="56"/>
      <x:c r="S85" s="55"/>
      <x:c r="T85" s="55"/>
      <x:c r="U85" s="56"/>
      <x:c r="V85" s="56"/>
      <x:c r="W85" s="55"/>
      <x:c r="X85" s="60"/>
      <x:c r="Y85" s="55"/>
      <x:c r="Z85" s="55"/>
      <x:c r="AA85" s="59"/>
      <x:c r="AB85" s="55"/>
      <x:c r="AC85" s="55"/>
      <x:c r="AD85" s="59"/>
      <x:c r="AE85" s="55"/>
      <x:c r="AF85" s="55"/>
      <x:c r="AG85" s="59"/>
      <x:c r="AH85" s="55"/>
      <x:c r="AI85" s="55"/>
      <x:c r="AJ85" s="59"/>
      <x:c r="AK85" s="55"/>
      <x:c r="AL85" s="55"/>
      <x:c r="AM85" s="59"/>
      <x:c r="AN85" s="56"/>
      <x:c r="AO85" s="57"/>
      <x:c r="AP85" s="57"/>
      <x:c r="AQ85" s="57"/>
      <x:c r="AR85" s="57"/>
      <x:c r="AS85" s="65" t="str">
        <x:f>IF(COUNT(AQ85,AR85)&lt;2,"",IF(AR85=0,"",AQ85/AR85))</x:f>
      </x:c>
      <x:c r="AT85" s="65" t="str">
        <x:f>IF(COUNT(AQ85,AP85)&lt;2,"",IF(AP85=0,"",AQ85/AP85))</x:f>
      </x:c>
      <x:c r="AU85" s="67" t="str">
        <x:f>IF(COUNT(AQ85,AR85)&lt;2,"",AQ85-AR85)</x:f>
      </x:c>
      <x:c r="AV85" s="67" t="str">
        <x:f>IF(COUNT(AQ85,AP85)&lt;2,"",AQ85-AP85)</x:f>
      </x:c>
      <x:c r="AW85" s="67" t="str">
        <x:f>IF(COUNT(AO85,AS85)&lt;2,"",IF(AS85=0,"",AO85/AS85))</x:f>
      </x:c>
      <x:c r="AX85" s="67" t="str">
        <x:f>IF(COUNT(AW85,AR85)&lt;2,"",AW85-AR85)</x:f>
      </x:c>
      <x:c r="AY85" s="67" t="str">
        <x:f>IF(COUNT(AO85,AW85)&lt;2,"",AO85-AW85)</x:f>
      </x:c>
      <x:c r="AZ85" s="55"/>
      <x:c r="BA85" s="55"/>
      <x:c r="BB85" s="55"/>
      <x:c r="BC85" s="55"/>
      <x:c r="BD85" s="55"/>
      <x:c r="BE85" s="56"/>
      <x:c r="BF85" s="56"/>
      <x:c r="BG85" s="55"/>
    </x:row>
    <x:row r="86" ht="28" customHeight="1">
      <x:c r="A86" s="55"/>
      <x:c r="B86" s="55"/>
      <x:c r="C86" s="55"/>
      <x:c r="D86" s="55"/>
      <x:c r="E86" s="56"/>
      <x:c r="F86" s="57"/>
      <x:c r="G86" s="59"/>
      <x:c r="H86" s="59"/>
      <x:c r="I86" s="59"/>
      <x:c r="J86" s="59"/>
      <x:c r="K86" s="59"/>
      <x:c r="L86" s="59"/>
      <x:c r="M86" s="59"/>
      <x:c r="N86" s="59"/>
      <x:c r="O86" s="56"/>
      <x:c r="P86" s="56"/>
      <x:c r="Q86" s="56"/>
      <x:c r="R86" s="56"/>
      <x:c r="S86" s="55"/>
      <x:c r="T86" s="55"/>
      <x:c r="U86" s="56"/>
      <x:c r="V86" s="56"/>
      <x:c r="W86" s="55"/>
      <x:c r="X86" s="60"/>
      <x:c r="Y86" s="55"/>
      <x:c r="Z86" s="55"/>
      <x:c r="AA86" s="59"/>
      <x:c r="AB86" s="55"/>
      <x:c r="AC86" s="55"/>
      <x:c r="AD86" s="59"/>
      <x:c r="AE86" s="55"/>
      <x:c r="AF86" s="55"/>
      <x:c r="AG86" s="59"/>
      <x:c r="AH86" s="55"/>
      <x:c r="AI86" s="55"/>
      <x:c r="AJ86" s="59"/>
      <x:c r="AK86" s="55"/>
      <x:c r="AL86" s="55"/>
      <x:c r="AM86" s="59"/>
      <x:c r="AN86" s="56"/>
      <x:c r="AO86" s="57"/>
      <x:c r="AP86" s="57"/>
      <x:c r="AQ86" s="57"/>
      <x:c r="AR86" s="57"/>
      <x:c r="AS86" s="65" t="str">
        <x:f>IF(COUNT(AQ86,AR86)&lt;2,"",IF(AR86=0,"",AQ86/AR86))</x:f>
      </x:c>
      <x:c r="AT86" s="65" t="str">
        <x:f>IF(COUNT(AQ86,AP86)&lt;2,"",IF(AP86=0,"",AQ86/AP86))</x:f>
      </x:c>
      <x:c r="AU86" s="67" t="str">
        <x:f>IF(COUNT(AQ86,AR86)&lt;2,"",AQ86-AR86)</x:f>
      </x:c>
      <x:c r="AV86" s="67" t="str">
        <x:f>IF(COUNT(AQ86,AP86)&lt;2,"",AQ86-AP86)</x:f>
      </x:c>
      <x:c r="AW86" s="67" t="str">
        <x:f>IF(COUNT(AO86,AS86)&lt;2,"",IF(AS86=0,"",AO86/AS86))</x:f>
      </x:c>
      <x:c r="AX86" s="67" t="str">
        <x:f>IF(COUNT(AW86,AR86)&lt;2,"",AW86-AR86)</x:f>
      </x:c>
      <x:c r="AY86" s="67" t="str">
        <x:f>IF(COUNT(AO86,AW86)&lt;2,"",AO86-AW86)</x:f>
      </x:c>
      <x:c r="AZ86" s="55"/>
      <x:c r="BA86" s="55"/>
      <x:c r="BB86" s="55"/>
      <x:c r="BC86" s="55"/>
      <x:c r="BD86" s="55"/>
      <x:c r="BE86" s="56"/>
      <x:c r="BF86" s="56"/>
      <x:c r="BG86" s="55"/>
    </x:row>
    <x:row r="87" ht="28" customHeight="1">
      <x:c r="A87" s="55"/>
      <x:c r="B87" s="55"/>
      <x:c r="C87" s="55"/>
      <x:c r="D87" s="55"/>
      <x:c r="E87" s="56"/>
      <x:c r="F87" s="57"/>
      <x:c r="G87" s="59"/>
      <x:c r="H87" s="59"/>
      <x:c r="I87" s="59"/>
      <x:c r="J87" s="59"/>
      <x:c r="K87" s="59"/>
      <x:c r="L87" s="59"/>
      <x:c r="M87" s="59"/>
      <x:c r="N87" s="59"/>
      <x:c r="O87" s="56"/>
      <x:c r="P87" s="56"/>
      <x:c r="Q87" s="56"/>
      <x:c r="R87" s="56"/>
      <x:c r="S87" s="55"/>
      <x:c r="T87" s="55"/>
      <x:c r="U87" s="56"/>
      <x:c r="V87" s="56"/>
      <x:c r="W87" s="55"/>
      <x:c r="X87" s="60"/>
      <x:c r="Y87" s="55"/>
      <x:c r="Z87" s="55"/>
      <x:c r="AA87" s="59"/>
      <x:c r="AB87" s="55"/>
      <x:c r="AC87" s="55"/>
      <x:c r="AD87" s="59"/>
      <x:c r="AE87" s="55"/>
      <x:c r="AF87" s="55"/>
      <x:c r="AG87" s="59"/>
      <x:c r="AH87" s="55"/>
      <x:c r="AI87" s="55"/>
      <x:c r="AJ87" s="59"/>
      <x:c r="AK87" s="55"/>
      <x:c r="AL87" s="55"/>
      <x:c r="AM87" s="59"/>
      <x:c r="AN87" s="56"/>
      <x:c r="AO87" s="57"/>
      <x:c r="AP87" s="57"/>
      <x:c r="AQ87" s="57"/>
      <x:c r="AR87" s="57"/>
      <x:c r="AS87" s="65" t="str">
        <x:f>IF(COUNT(AQ87,AR87)&lt;2,"",IF(AR87=0,"",AQ87/AR87))</x:f>
      </x:c>
      <x:c r="AT87" s="65" t="str">
        <x:f>IF(COUNT(AQ87,AP87)&lt;2,"",IF(AP87=0,"",AQ87/AP87))</x:f>
      </x:c>
      <x:c r="AU87" s="67" t="str">
        <x:f>IF(COUNT(AQ87,AR87)&lt;2,"",AQ87-AR87)</x:f>
      </x:c>
      <x:c r="AV87" s="67" t="str">
        <x:f>IF(COUNT(AQ87,AP87)&lt;2,"",AQ87-AP87)</x:f>
      </x:c>
      <x:c r="AW87" s="67" t="str">
        <x:f>IF(COUNT(AO87,AS87)&lt;2,"",IF(AS87=0,"",AO87/AS87))</x:f>
      </x:c>
      <x:c r="AX87" s="67" t="str">
        <x:f>IF(COUNT(AW87,AR87)&lt;2,"",AW87-AR87)</x:f>
      </x:c>
      <x:c r="AY87" s="67" t="str">
        <x:f>IF(COUNT(AO87,AW87)&lt;2,"",AO87-AW87)</x:f>
      </x:c>
      <x:c r="AZ87" s="55"/>
      <x:c r="BA87" s="55"/>
      <x:c r="BB87" s="55"/>
      <x:c r="BC87" s="55"/>
      <x:c r="BD87" s="55"/>
      <x:c r="BE87" s="56"/>
      <x:c r="BF87" s="56"/>
      <x:c r="BG87" s="55"/>
    </x:row>
    <x:row r="88" ht="28" customHeight="1">
      <x:c r="A88" s="55"/>
      <x:c r="B88" s="55"/>
      <x:c r="C88" s="55"/>
      <x:c r="D88" s="55"/>
      <x:c r="E88" s="56"/>
      <x:c r="F88" s="57"/>
      <x:c r="G88" s="59"/>
      <x:c r="H88" s="59"/>
      <x:c r="I88" s="59"/>
      <x:c r="J88" s="59"/>
      <x:c r="K88" s="59"/>
      <x:c r="L88" s="59"/>
      <x:c r="M88" s="59"/>
      <x:c r="N88" s="59"/>
      <x:c r="O88" s="56"/>
      <x:c r="P88" s="56"/>
      <x:c r="Q88" s="56"/>
      <x:c r="R88" s="56"/>
      <x:c r="S88" s="55"/>
      <x:c r="T88" s="55"/>
      <x:c r="U88" s="56"/>
      <x:c r="V88" s="56"/>
      <x:c r="W88" s="55"/>
      <x:c r="X88" s="60"/>
      <x:c r="Y88" s="55"/>
      <x:c r="Z88" s="55"/>
      <x:c r="AA88" s="59"/>
      <x:c r="AB88" s="55"/>
      <x:c r="AC88" s="55"/>
      <x:c r="AD88" s="59"/>
      <x:c r="AE88" s="55"/>
      <x:c r="AF88" s="55"/>
      <x:c r="AG88" s="59"/>
      <x:c r="AH88" s="55"/>
      <x:c r="AI88" s="55"/>
      <x:c r="AJ88" s="59"/>
      <x:c r="AK88" s="55"/>
      <x:c r="AL88" s="55"/>
      <x:c r="AM88" s="59"/>
      <x:c r="AN88" s="56"/>
      <x:c r="AO88" s="57"/>
      <x:c r="AP88" s="57"/>
      <x:c r="AQ88" s="57"/>
      <x:c r="AR88" s="57"/>
      <x:c r="AS88" s="65" t="str">
        <x:f>IF(COUNT(AQ88,AR88)&lt;2,"",IF(AR88=0,"",AQ88/AR88))</x:f>
      </x:c>
      <x:c r="AT88" s="65" t="str">
        <x:f>IF(COUNT(AQ88,AP88)&lt;2,"",IF(AP88=0,"",AQ88/AP88))</x:f>
      </x:c>
      <x:c r="AU88" s="67" t="str">
        <x:f>IF(COUNT(AQ88,AR88)&lt;2,"",AQ88-AR88)</x:f>
      </x:c>
      <x:c r="AV88" s="67" t="str">
        <x:f>IF(COUNT(AQ88,AP88)&lt;2,"",AQ88-AP88)</x:f>
      </x:c>
      <x:c r="AW88" s="67" t="str">
        <x:f>IF(COUNT(AO88,AS88)&lt;2,"",IF(AS88=0,"",AO88/AS88))</x:f>
      </x:c>
      <x:c r="AX88" s="67" t="str">
        <x:f>IF(COUNT(AW88,AR88)&lt;2,"",AW88-AR88)</x:f>
      </x:c>
      <x:c r="AY88" s="67" t="str">
        <x:f>IF(COUNT(AO88,AW88)&lt;2,"",AO88-AW88)</x:f>
      </x:c>
      <x:c r="AZ88" s="55"/>
      <x:c r="BA88" s="55"/>
      <x:c r="BB88" s="55"/>
      <x:c r="BC88" s="55"/>
      <x:c r="BD88" s="55"/>
      <x:c r="BE88" s="56"/>
      <x:c r="BF88" s="56"/>
      <x:c r="BG88" s="55"/>
    </x:row>
    <x:row r="89" ht="28" customHeight="1">
      <x:c r="A89" s="55"/>
      <x:c r="B89" s="55"/>
      <x:c r="C89" s="55"/>
      <x:c r="D89" s="55"/>
      <x:c r="E89" s="56"/>
      <x:c r="F89" s="57"/>
      <x:c r="G89" s="59"/>
      <x:c r="H89" s="59"/>
      <x:c r="I89" s="59"/>
      <x:c r="J89" s="59"/>
      <x:c r="K89" s="59"/>
      <x:c r="L89" s="59"/>
      <x:c r="M89" s="59"/>
      <x:c r="N89" s="59"/>
      <x:c r="O89" s="56"/>
      <x:c r="P89" s="56"/>
      <x:c r="Q89" s="56"/>
      <x:c r="R89" s="56"/>
      <x:c r="S89" s="55"/>
      <x:c r="T89" s="55"/>
      <x:c r="U89" s="56"/>
      <x:c r="V89" s="56"/>
      <x:c r="W89" s="55"/>
      <x:c r="X89" s="60"/>
      <x:c r="Y89" s="55"/>
      <x:c r="Z89" s="55"/>
      <x:c r="AA89" s="59"/>
      <x:c r="AB89" s="55"/>
      <x:c r="AC89" s="55"/>
      <x:c r="AD89" s="59"/>
      <x:c r="AE89" s="55"/>
      <x:c r="AF89" s="55"/>
      <x:c r="AG89" s="59"/>
      <x:c r="AH89" s="55"/>
      <x:c r="AI89" s="55"/>
      <x:c r="AJ89" s="59"/>
      <x:c r="AK89" s="55"/>
      <x:c r="AL89" s="55"/>
      <x:c r="AM89" s="59"/>
      <x:c r="AN89" s="56"/>
      <x:c r="AO89" s="57"/>
      <x:c r="AP89" s="57"/>
      <x:c r="AQ89" s="57"/>
      <x:c r="AR89" s="57"/>
      <x:c r="AS89" s="65" t="str">
        <x:f>IF(COUNT(AQ89,AR89)&lt;2,"",IF(AR89=0,"",AQ89/AR89))</x:f>
      </x:c>
      <x:c r="AT89" s="65" t="str">
        <x:f>IF(COUNT(AQ89,AP89)&lt;2,"",IF(AP89=0,"",AQ89/AP89))</x:f>
      </x:c>
      <x:c r="AU89" s="67" t="str">
        <x:f>IF(COUNT(AQ89,AR89)&lt;2,"",AQ89-AR89)</x:f>
      </x:c>
      <x:c r="AV89" s="67" t="str">
        <x:f>IF(COUNT(AQ89,AP89)&lt;2,"",AQ89-AP89)</x:f>
      </x:c>
      <x:c r="AW89" s="67" t="str">
        <x:f>IF(COUNT(AO89,AS89)&lt;2,"",IF(AS89=0,"",AO89/AS89))</x:f>
      </x:c>
      <x:c r="AX89" s="67" t="str">
        <x:f>IF(COUNT(AW89,AR89)&lt;2,"",AW89-AR89)</x:f>
      </x:c>
      <x:c r="AY89" s="67" t="str">
        <x:f>IF(COUNT(AO89,AW89)&lt;2,"",AO89-AW89)</x:f>
      </x:c>
      <x:c r="AZ89" s="55"/>
      <x:c r="BA89" s="55"/>
      <x:c r="BB89" s="55"/>
      <x:c r="BC89" s="55"/>
      <x:c r="BD89" s="55"/>
      <x:c r="BE89" s="56"/>
      <x:c r="BF89" s="56"/>
      <x:c r="BG89" s="55"/>
    </x:row>
    <x:row r="90" ht="28" customHeight="1">
      <x:c r="A90" s="55"/>
      <x:c r="B90" s="55"/>
      <x:c r="C90" s="55"/>
      <x:c r="D90" s="55"/>
      <x:c r="E90" s="56"/>
      <x:c r="F90" s="57"/>
      <x:c r="G90" s="59"/>
      <x:c r="H90" s="59"/>
      <x:c r="I90" s="59"/>
      <x:c r="J90" s="59"/>
      <x:c r="K90" s="59"/>
      <x:c r="L90" s="59"/>
      <x:c r="M90" s="59"/>
      <x:c r="N90" s="59"/>
      <x:c r="O90" s="56"/>
      <x:c r="P90" s="56"/>
      <x:c r="Q90" s="56"/>
      <x:c r="R90" s="56"/>
      <x:c r="S90" s="55"/>
      <x:c r="T90" s="55"/>
      <x:c r="U90" s="56"/>
      <x:c r="V90" s="56"/>
      <x:c r="W90" s="55"/>
      <x:c r="X90" s="60"/>
      <x:c r="Y90" s="55"/>
      <x:c r="Z90" s="55"/>
      <x:c r="AA90" s="59"/>
      <x:c r="AB90" s="55"/>
      <x:c r="AC90" s="55"/>
      <x:c r="AD90" s="59"/>
      <x:c r="AE90" s="55"/>
      <x:c r="AF90" s="55"/>
      <x:c r="AG90" s="59"/>
      <x:c r="AH90" s="55"/>
      <x:c r="AI90" s="55"/>
      <x:c r="AJ90" s="59"/>
      <x:c r="AK90" s="55"/>
      <x:c r="AL90" s="55"/>
      <x:c r="AM90" s="59"/>
      <x:c r="AN90" s="56"/>
      <x:c r="AO90" s="57"/>
      <x:c r="AP90" s="57"/>
      <x:c r="AQ90" s="57"/>
      <x:c r="AR90" s="57"/>
      <x:c r="AS90" s="65" t="str">
        <x:f>IF(COUNT(AQ90,AR90)&lt;2,"",IF(AR90=0,"",AQ90/AR90))</x:f>
      </x:c>
      <x:c r="AT90" s="65" t="str">
        <x:f>IF(COUNT(AQ90,AP90)&lt;2,"",IF(AP90=0,"",AQ90/AP90))</x:f>
      </x:c>
      <x:c r="AU90" s="67" t="str">
        <x:f>IF(COUNT(AQ90,AR90)&lt;2,"",AQ90-AR90)</x:f>
      </x:c>
      <x:c r="AV90" s="67" t="str">
        <x:f>IF(COUNT(AQ90,AP90)&lt;2,"",AQ90-AP90)</x:f>
      </x:c>
      <x:c r="AW90" s="67" t="str">
        <x:f>IF(COUNT(AO90,AS90)&lt;2,"",IF(AS90=0,"",AO90/AS90))</x:f>
      </x:c>
      <x:c r="AX90" s="67" t="str">
        <x:f>IF(COUNT(AW90,AR90)&lt;2,"",AW90-AR90)</x:f>
      </x:c>
      <x:c r="AY90" s="67" t="str">
        <x:f>IF(COUNT(AO90,AW90)&lt;2,"",AO90-AW90)</x:f>
      </x:c>
      <x:c r="AZ90" s="55"/>
      <x:c r="BA90" s="55"/>
      <x:c r="BB90" s="55"/>
      <x:c r="BC90" s="55"/>
      <x:c r="BD90" s="55"/>
      <x:c r="BE90" s="56"/>
      <x:c r="BF90" s="56"/>
      <x:c r="BG90" s="55"/>
    </x:row>
    <x:row r="91" ht="28" customHeight="1">
      <x:c r="A91" s="55"/>
      <x:c r="B91" s="55"/>
      <x:c r="C91" s="55"/>
      <x:c r="D91" s="55"/>
      <x:c r="E91" s="56"/>
      <x:c r="F91" s="57"/>
      <x:c r="G91" s="59"/>
      <x:c r="H91" s="59"/>
      <x:c r="I91" s="59"/>
      <x:c r="J91" s="59"/>
      <x:c r="K91" s="59"/>
      <x:c r="L91" s="59"/>
      <x:c r="M91" s="59"/>
      <x:c r="N91" s="59"/>
      <x:c r="O91" s="56"/>
      <x:c r="P91" s="56"/>
      <x:c r="Q91" s="56"/>
      <x:c r="R91" s="56"/>
      <x:c r="S91" s="55"/>
      <x:c r="T91" s="55"/>
      <x:c r="U91" s="56"/>
      <x:c r="V91" s="56"/>
      <x:c r="W91" s="55"/>
      <x:c r="X91" s="60"/>
      <x:c r="Y91" s="55"/>
      <x:c r="Z91" s="55"/>
      <x:c r="AA91" s="59"/>
      <x:c r="AB91" s="55"/>
      <x:c r="AC91" s="55"/>
      <x:c r="AD91" s="59"/>
      <x:c r="AE91" s="55"/>
      <x:c r="AF91" s="55"/>
      <x:c r="AG91" s="59"/>
      <x:c r="AH91" s="55"/>
      <x:c r="AI91" s="55"/>
      <x:c r="AJ91" s="59"/>
      <x:c r="AK91" s="55"/>
      <x:c r="AL91" s="55"/>
      <x:c r="AM91" s="59"/>
      <x:c r="AN91" s="56"/>
      <x:c r="AO91" s="57"/>
      <x:c r="AP91" s="57"/>
      <x:c r="AQ91" s="57"/>
      <x:c r="AR91" s="57"/>
      <x:c r="AS91" s="65" t="str">
        <x:f>IF(COUNT(AQ91,AR91)&lt;2,"",IF(AR91=0,"",AQ91/AR91))</x:f>
      </x:c>
      <x:c r="AT91" s="65" t="str">
        <x:f>IF(COUNT(AQ91,AP91)&lt;2,"",IF(AP91=0,"",AQ91/AP91))</x:f>
      </x:c>
      <x:c r="AU91" s="67" t="str">
        <x:f>IF(COUNT(AQ91,AR91)&lt;2,"",AQ91-AR91)</x:f>
      </x:c>
      <x:c r="AV91" s="67" t="str">
        <x:f>IF(COUNT(AQ91,AP91)&lt;2,"",AQ91-AP91)</x:f>
      </x:c>
      <x:c r="AW91" s="67" t="str">
        <x:f>IF(COUNT(AO91,AS91)&lt;2,"",IF(AS91=0,"",AO91/AS91))</x:f>
      </x:c>
      <x:c r="AX91" s="67" t="str">
        <x:f>IF(COUNT(AW91,AR91)&lt;2,"",AW91-AR91)</x:f>
      </x:c>
      <x:c r="AY91" s="67" t="str">
        <x:f>IF(COUNT(AO91,AW91)&lt;2,"",AO91-AW91)</x:f>
      </x:c>
      <x:c r="AZ91" s="55"/>
      <x:c r="BA91" s="55"/>
      <x:c r="BB91" s="55"/>
      <x:c r="BC91" s="55"/>
      <x:c r="BD91" s="55"/>
      <x:c r="BE91" s="56"/>
      <x:c r="BF91" s="56"/>
      <x:c r="BG91" s="55"/>
    </x:row>
    <x:row r="92" ht="28" customHeight="1">
      <x:c r="A92" s="55"/>
      <x:c r="B92" s="55"/>
      <x:c r="C92" s="55"/>
      <x:c r="D92" s="55"/>
      <x:c r="E92" s="56"/>
      <x:c r="F92" s="57"/>
      <x:c r="G92" s="59"/>
      <x:c r="H92" s="59"/>
      <x:c r="I92" s="59"/>
      <x:c r="J92" s="59"/>
      <x:c r="K92" s="59"/>
      <x:c r="L92" s="59"/>
      <x:c r="M92" s="59"/>
      <x:c r="N92" s="59"/>
      <x:c r="O92" s="56"/>
      <x:c r="P92" s="56"/>
      <x:c r="Q92" s="56"/>
      <x:c r="R92" s="56"/>
      <x:c r="S92" s="55"/>
      <x:c r="T92" s="55"/>
      <x:c r="U92" s="56"/>
      <x:c r="V92" s="56"/>
      <x:c r="W92" s="55"/>
      <x:c r="X92" s="60"/>
      <x:c r="Y92" s="55"/>
      <x:c r="Z92" s="55"/>
      <x:c r="AA92" s="59"/>
      <x:c r="AB92" s="55"/>
      <x:c r="AC92" s="55"/>
      <x:c r="AD92" s="59"/>
      <x:c r="AE92" s="55"/>
      <x:c r="AF92" s="55"/>
      <x:c r="AG92" s="59"/>
      <x:c r="AH92" s="55"/>
      <x:c r="AI92" s="55"/>
      <x:c r="AJ92" s="59"/>
      <x:c r="AK92" s="55"/>
      <x:c r="AL92" s="55"/>
      <x:c r="AM92" s="59"/>
      <x:c r="AN92" s="56"/>
      <x:c r="AO92" s="57"/>
      <x:c r="AP92" s="57"/>
      <x:c r="AQ92" s="57"/>
      <x:c r="AR92" s="57"/>
      <x:c r="AS92" s="65" t="str">
        <x:f>IF(COUNT(AQ92,AR92)&lt;2,"",IF(AR92=0,"",AQ92/AR92))</x:f>
      </x:c>
      <x:c r="AT92" s="65" t="str">
        <x:f>IF(COUNT(AQ92,AP92)&lt;2,"",IF(AP92=0,"",AQ92/AP92))</x:f>
      </x:c>
      <x:c r="AU92" s="67" t="str">
        <x:f>IF(COUNT(AQ92,AR92)&lt;2,"",AQ92-AR92)</x:f>
      </x:c>
      <x:c r="AV92" s="67" t="str">
        <x:f>IF(COUNT(AQ92,AP92)&lt;2,"",AQ92-AP92)</x:f>
      </x:c>
      <x:c r="AW92" s="67" t="str">
        <x:f>IF(COUNT(AO92,AS92)&lt;2,"",IF(AS92=0,"",AO92/AS92))</x:f>
      </x:c>
      <x:c r="AX92" s="67" t="str">
        <x:f>IF(COUNT(AW92,AR92)&lt;2,"",AW92-AR92)</x:f>
      </x:c>
      <x:c r="AY92" s="67" t="str">
        <x:f>IF(COUNT(AO92,AW92)&lt;2,"",AO92-AW92)</x:f>
      </x:c>
      <x:c r="AZ92" s="55"/>
      <x:c r="BA92" s="55"/>
      <x:c r="BB92" s="55"/>
      <x:c r="BC92" s="55"/>
      <x:c r="BD92" s="55"/>
      <x:c r="BE92" s="56"/>
      <x:c r="BF92" s="56"/>
      <x:c r="BG92" s="55"/>
    </x:row>
    <x:row r="93" ht="28" customHeight="1">
      <x:c r="A93" s="55"/>
      <x:c r="B93" s="55"/>
      <x:c r="C93" s="55"/>
      <x:c r="D93" s="55"/>
      <x:c r="E93" s="56"/>
      <x:c r="F93" s="57"/>
      <x:c r="G93" s="59"/>
      <x:c r="H93" s="59"/>
      <x:c r="I93" s="59"/>
      <x:c r="J93" s="59"/>
      <x:c r="K93" s="59"/>
      <x:c r="L93" s="59"/>
      <x:c r="M93" s="59"/>
      <x:c r="N93" s="59"/>
      <x:c r="O93" s="56"/>
      <x:c r="P93" s="56"/>
      <x:c r="Q93" s="56"/>
      <x:c r="R93" s="56"/>
      <x:c r="S93" s="55"/>
      <x:c r="T93" s="55"/>
      <x:c r="U93" s="56"/>
      <x:c r="V93" s="56"/>
      <x:c r="W93" s="55"/>
      <x:c r="X93" s="60"/>
      <x:c r="Y93" s="55"/>
      <x:c r="Z93" s="55"/>
      <x:c r="AA93" s="59"/>
      <x:c r="AB93" s="55"/>
      <x:c r="AC93" s="55"/>
      <x:c r="AD93" s="59"/>
      <x:c r="AE93" s="55"/>
      <x:c r="AF93" s="55"/>
      <x:c r="AG93" s="59"/>
      <x:c r="AH93" s="55"/>
      <x:c r="AI93" s="55"/>
      <x:c r="AJ93" s="59"/>
      <x:c r="AK93" s="55"/>
      <x:c r="AL93" s="55"/>
      <x:c r="AM93" s="59"/>
      <x:c r="AN93" s="56"/>
      <x:c r="AO93" s="57"/>
      <x:c r="AP93" s="57"/>
      <x:c r="AQ93" s="57"/>
      <x:c r="AR93" s="57"/>
      <x:c r="AS93" s="65" t="str">
        <x:f>IF(COUNT(AQ93,AR93)&lt;2,"",IF(AR93=0,"",AQ93/AR93))</x:f>
      </x:c>
      <x:c r="AT93" s="65" t="str">
        <x:f>IF(COUNT(AQ93,AP93)&lt;2,"",IF(AP93=0,"",AQ93/AP93))</x:f>
      </x:c>
      <x:c r="AU93" s="67" t="str">
        <x:f>IF(COUNT(AQ93,AR93)&lt;2,"",AQ93-AR93)</x:f>
      </x:c>
      <x:c r="AV93" s="67" t="str">
        <x:f>IF(COUNT(AQ93,AP93)&lt;2,"",AQ93-AP93)</x:f>
      </x:c>
      <x:c r="AW93" s="67" t="str">
        <x:f>IF(COUNT(AO93,AS93)&lt;2,"",IF(AS93=0,"",AO93/AS93))</x:f>
      </x:c>
      <x:c r="AX93" s="67" t="str">
        <x:f>IF(COUNT(AW93,AR93)&lt;2,"",AW93-AR93)</x:f>
      </x:c>
      <x:c r="AY93" s="67" t="str">
        <x:f>IF(COUNT(AO93,AW93)&lt;2,"",AO93-AW93)</x:f>
      </x:c>
      <x:c r="AZ93" s="55"/>
      <x:c r="BA93" s="55"/>
      <x:c r="BB93" s="55"/>
      <x:c r="BC93" s="55"/>
      <x:c r="BD93" s="55"/>
      <x:c r="BE93" s="56"/>
      <x:c r="BF93" s="56"/>
      <x:c r="BG93" s="55"/>
    </x:row>
    <x:row r="94" ht="28" customHeight="1">
      <x:c r="A94" s="55"/>
      <x:c r="B94" s="55"/>
      <x:c r="C94" s="55"/>
      <x:c r="D94" s="55"/>
      <x:c r="E94" s="56"/>
      <x:c r="F94" s="57"/>
      <x:c r="G94" s="59"/>
      <x:c r="H94" s="59"/>
      <x:c r="I94" s="59"/>
      <x:c r="J94" s="59"/>
      <x:c r="K94" s="59"/>
      <x:c r="L94" s="59"/>
      <x:c r="M94" s="59"/>
      <x:c r="N94" s="59"/>
      <x:c r="O94" s="56"/>
      <x:c r="P94" s="56"/>
      <x:c r="Q94" s="56"/>
      <x:c r="R94" s="56"/>
      <x:c r="S94" s="55"/>
      <x:c r="T94" s="55"/>
      <x:c r="U94" s="56"/>
      <x:c r="V94" s="56"/>
      <x:c r="W94" s="55"/>
      <x:c r="X94" s="60"/>
      <x:c r="Y94" s="55"/>
      <x:c r="Z94" s="55"/>
      <x:c r="AA94" s="59"/>
      <x:c r="AB94" s="55"/>
      <x:c r="AC94" s="55"/>
      <x:c r="AD94" s="59"/>
      <x:c r="AE94" s="55"/>
      <x:c r="AF94" s="55"/>
      <x:c r="AG94" s="59"/>
      <x:c r="AH94" s="55"/>
      <x:c r="AI94" s="55"/>
      <x:c r="AJ94" s="59"/>
      <x:c r="AK94" s="55"/>
      <x:c r="AL94" s="55"/>
      <x:c r="AM94" s="59"/>
      <x:c r="AN94" s="56"/>
      <x:c r="AO94" s="57"/>
      <x:c r="AP94" s="57"/>
      <x:c r="AQ94" s="57"/>
      <x:c r="AR94" s="57"/>
      <x:c r="AS94" s="65" t="str">
        <x:f>IF(COUNT(AQ94,AR94)&lt;2,"",IF(AR94=0,"",AQ94/AR94))</x:f>
      </x:c>
      <x:c r="AT94" s="65" t="str">
        <x:f>IF(COUNT(AQ94,AP94)&lt;2,"",IF(AP94=0,"",AQ94/AP94))</x:f>
      </x:c>
      <x:c r="AU94" s="67" t="str">
        <x:f>IF(COUNT(AQ94,AR94)&lt;2,"",AQ94-AR94)</x:f>
      </x:c>
      <x:c r="AV94" s="67" t="str">
        <x:f>IF(COUNT(AQ94,AP94)&lt;2,"",AQ94-AP94)</x:f>
      </x:c>
      <x:c r="AW94" s="67" t="str">
        <x:f>IF(COUNT(AO94,AS94)&lt;2,"",IF(AS94=0,"",AO94/AS94))</x:f>
      </x:c>
      <x:c r="AX94" s="67" t="str">
        <x:f>IF(COUNT(AW94,AR94)&lt;2,"",AW94-AR94)</x:f>
      </x:c>
      <x:c r="AY94" s="67" t="str">
        <x:f>IF(COUNT(AO94,AW94)&lt;2,"",AO94-AW94)</x:f>
      </x:c>
      <x:c r="AZ94" s="55"/>
      <x:c r="BA94" s="55"/>
      <x:c r="BB94" s="55"/>
      <x:c r="BC94" s="55"/>
      <x:c r="BD94" s="55"/>
      <x:c r="BE94" s="56"/>
      <x:c r="BF94" s="56"/>
      <x:c r="BG94" s="55"/>
    </x:row>
    <x:row r="95" ht="28" customHeight="1">
      <x:c r="A95" s="55"/>
      <x:c r="B95" s="55"/>
      <x:c r="C95" s="55"/>
      <x:c r="D95" s="55"/>
      <x:c r="E95" s="56"/>
      <x:c r="F95" s="57"/>
      <x:c r="G95" s="59"/>
      <x:c r="H95" s="59"/>
      <x:c r="I95" s="59"/>
      <x:c r="J95" s="59"/>
      <x:c r="K95" s="59"/>
      <x:c r="L95" s="59"/>
      <x:c r="M95" s="59"/>
      <x:c r="N95" s="59"/>
      <x:c r="O95" s="56"/>
      <x:c r="P95" s="56"/>
      <x:c r="Q95" s="56"/>
      <x:c r="R95" s="56"/>
      <x:c r="S95" s="55"/>
      <x:c r="T95" s="55"/>
      <x:c r="U95" s="56"/>
      <x:c r="V95" s="56"/>
      <x:c r="W95" s="55"/>
      <x:c r="X95" s="60"/>
      <x:c r="Y95" s="55"/>
      <x:c r="Z95" s="55"/>
      <x:c r="AA95" s="59"/>
      <x:c r="AB95" s="55"/>
      <x:c r="AC95" s="55"/>
      <x:c r="AD95" s="59"/>
      <x:c r="AE95" s="55"/>
      <x:c r="AF95" s="55"/>
      <x:c r="AG95" s="59"/>
      <x:c r="AH95" s="55"/>
      <x:c r="AI95" s="55"/>
      <x:c r="AJ95" s="59"/>
      <x:c r="AK95" s="55"/>
      <x:c r="AL95" s="55"/>
      <x:c r="AM95" s="59"/>
      <x:c r="AN95" s="56"/>
      <x:c r="AO95" s="57"/>
      <x:c r="AP95" s="57"/>
      <x:c r="AQ95" s="57"/>
      <x:c r="AR95" s="57"/>
      <x:c r="AS95" s="65" t="str">
        <x:f>IF(COUNT(AQ95,AR95)&lt;2,"",IF(AR95=0,"",AQ95/AR95))</x:f>
      </x:c>
      <x:c r="AT95" s="65" t="str">
        <x:f>IF(COUNT(AQ95,AP95)&lt;2,"",IF(AP95=0,"",AQ95/AP95))</x:f>
      </x:c>
      <x:c r="AU95" s="67" t="str">
        <x:f>IF(COUNT(AQ95,AR95)&lt;2,"",AQ95-AR95)</x:f>
      </x:c>
      <x:c r="AV95" s="67" t="str">
        <x:f>IF(COUNT(AQ95,AP95)&lt;2,"",AQ95-AP95)</x:f>
      </x:c>
      <x:c r="AW95" s="67" t="str">
        <x:f>IF(COUNT(AO95,AS95)&lt;2,"",IF(AS95=0,"",AO95/AS95))</x:f>
      </x:c>
      <x:c r="AX95" s="67" t="str">
        <x:f>IF(COUNT(AW95,AR95)&lt;2,"",AW95-AR95)</x:f>
      </x:c>
      <x:c r="AY95" s="67" t="str">
        <x:f>IF(COUNT(AO95,AW95)&lt;2,"",AO95-AW95)</x:f>
      </x:c>
      <x:c r="AZ95" s="55"/>
      <x:c r="BA95" s="55"/>
      <x:c r="BB95" s="55"/>
      <x:c r="BC95" s="55"/>
      <x:c r="BD95" s="55"/>
      <x:c r="BE95" s="56"/>
      <x:c r="BF95" s="56"/>
      <x:c r="BG95" s="55"/>
    </x:row>
    <x:row r="96" ht="28" customHeight="1">
      <x:c r="A96" s="55"/>
      <x:c r="B96" s="55"/>
      <x:c r="C96" s="55"/>
      <x:c r="D96" s="55"/>
      <x:c r="E96" s="56"/>
      <x:c r="F96" s="57"/>
      <x:c r="G96" s="59"/>
      <x:c r="H96" s="59"/>
      <x:c r="I96" s="59"/>
      <x:c r="J96" s="59"/>
      <x:c r="K96" s="59"/>
      <x:c r="L96" s="59"/>
      <x:c r="M96" s="59"/>
      <x:c r="N96" s="59"/>
      <x:c r="O96" s="56"/>
      <x:c r="P96" s="56"/>
      <x:c r="Q96" s="56"/>
      <x:c r="R96" s="56"/>
      <x:c r="S96" s="55"/>
      <x:c r="T96" s="55"/>
      <x:c r="U96" s="56"/>
      <x:c r="V96" s="56"/>
      <x:c r="W96" s="55"/>
      <x:c r="X96" s="60"/>
      <x:c r="Y96" s="55"/>
      <x:c r="Z96" s="55"/>
      <x:c r="AA96" s="59"/>
      <x:c r="AB96" s="55"/>
      <x:c r="AC96" s="55"/>
      <x:c r="AD96" s="59"/>
      <x:c r="AE96" s="55"/>
      <x:c r="AF96" s="55"/>
      <x:c r="AG96" s="59"/>
      <x:c r="AH96" s="55"/>
      <x:c r="AI96" s="55"/>
      <x:c r="AJ96" s="59"/>
      <x:c r="AK96" s="55"/>
      <x:c r="AL96" s="55"/>
      <x:c r="AM96" s="59"/>
      <x:c r="AN96" s="56"/>
      <x:c r="AO96" s="57"/>
      <x:c r="AP96" s="57"/>
      <x:c r="AQ96" s="57"/>
      <x:c r="AR96" s="57"/>
      <x:c r="AS96" s="65" t="str">
        <x:f>IF(COUNT(AQ96,AR96)&lt;2,"",IF(AR96=0,"",AQ96/AR96))</x:f>
      </x:c>
      <x:c r="AT96" s="65" t="str">
        <x:f>IF(COUNT(AQ96,AP96)&lt;2,"",IF(AP96=0,"",AQ96/AP96))</x:f>
      </x:c>
      <x:c r="AU96" s="67" t="str">
        <x:f>IF(COUNT(AQ96,AR96)&lt;2,"",AQ96-AR96)</x:f>
      </x:c>
      <x:c r="AV96" s="67" t="str">
        <x:f>IF(COUNT(AQ96,AP96)&lt;2,"",AQ96-AP96)</x:f>
      </x:c>
      <x:c r="AW96" s="67" t="str">
        <x:f>IF(COUNT(AO96,AS96)&lt;2,"",IF(AS96=0,"",AO96/AS96))</x:f>
      </x:c>
      <x:c r="AX96" s="67" t="str">
        <x:f>IF(COUNT(AW96,AR96)&lt;2,"",AW96-AR96)</x:f>
      </x:c>
      <x:c r="AY96" s="67" t="str">
        <x:f>IF(COUNT(AO96,AW96)&lt;2,"",AO96-AW96)</x:f>
      </x:c>
      <x:c r="AZ96" s="55"/>
      <x:c r="BA96" s="55"/>
      <x:c r="BB96" s="55"/>
      <x:c r="BC96" s="55"/>
      <x:c r="BD96" s="55"/>
      <x:c r="BE96" s="56"/>
      <x:c r="BF96" s="56"/>
      <x:c r="BG96" s="55"/>
    </x:row>
    <x:row r="97" ht="28" customHeight="1">
      <x:c r="A97" s="55"/>
      <x:c r="B97" s="55"/>
      <x:c r="C97" s="55"/>
      <x:c r="D97" s="55"/>
      <x:c r="E97" s="56"/>
      <x:c r="F97" s="57"/>
      <x:c r="G97" s="59"/>
      <x:c r="H97" s="59"/>
      <x:c r="I97" s="59"/>
      <x:c r="J97" s="59"/>
      <x:c r="K97" s="59"/>
      <x:c r="L97" s="59"/>
      <x:c r="M97" s="59"/>
      <x:c r="N97" s="59"/>
      <x:c r="O97" s="56"/>
      <x:c r="P97" s="56"/>
      <x:c r="Q97" s="56"/>
      <x:c r="R97" s="56"/>
      <x:c r="S97" s="55"/>
      <x:c r="T97" s="55"/>
      <x:c r="U97" s="56"/>
      <x:c r="V97" s="56"/>
      <x:c r="W97" s="55"/>
      <x:c r="X97" s="60"/>
      <x:c r="Y97" s="55"/>
      <x:c r="Z97" s="55"/>
      <x:c r="AA97" s="59"/>
      <x:c r="AB97" s="55"/>
      <x:c r="AC97" s="55"/>
      <x:c r="AD97" s="59"/>
      <x:c r="AE97" s="55"/>
      <x:c r="AF97" s="55"/>
      <x:c r="AG97" s="59"/>
      <x:c r="AH97" s="55"/>
      <x:c r="AI97" s="55"/>
      <x:c r="AJ97" s="59"/>
      <x:c r="AK97" s="55"/>
      <x:c r="AL97" s="55"/>
      <x:c r="AM97" s="59"/>
      <x:c r="AN97" s="56"/>
      <x:c r="AO97" s="57"/>
      <x:c r="AP97" s="57"/>
      <x:c r="AQ97" s="57"/>
      <x:c r="AR97" s="57"/>
      <x:c r="AS97" s="65" t="str">
        <x:f>IF(COUNT(AQ97,AR97)&lt;2,"",IF(AR97=0,"",AQ97/AR97))</x:f>
      </x:c>
      <x:c r="AT97" s="65" t="str">
        <x:f>IF(COUNT(AQ97,AP97)&lt;2,"",IF(AP97=0,"",AQ97/AP97))</x:f>
      </x:c>
      <x:c r="AU97" s="67" t="str">
        <x:f>IF(COUNT(AQ97,AR97)&lt;2,"",AQ97-AR97)</x:f>
      </x:c>
      <x:c r="AV97" s="67" t="str">
        <x:f>IF(COUNT(AQ97,AP97)&lt;2,"",AQ97-AP97)</x:f>
      </x:c>
      <x:c r="AW97" s="67" t="str">
        <x:f>IF(COUNT(AO97,AS97)&lt;2,"",IF(AS97=0,"",AO97/AS97))</x:f>
      </x:c>
      <x:c r="AX97" s="67" t="str">
        <x:f>IF(COUNT(AW97,AR97)&lt;2,"",AW97-AR97)</x:f>
      </x:c>
      <x:c r="AY97" s="67" t="str">
        <x:f>IF(COUNT(AO97,AW97)&lt;2,"",AO97-AW97)</x:f>
      </x:c>
      <x:c r="AZ97" s="55"/>
      <x:c r="BA97" s="55"/>
      <x:c r="BB97" s="55"/>
      <x:c r="BC97" s="55"/>
      <x:c r="BD97" s="55"/>
      <x:c r="BE97" s="56"/>
      <x:c r="BF97" s="56"/>
      <x:c r="BG97" s="55"/>
    </x:row>
    <x:row r="98" ht="28" customHeight="1">
      <x:c r="A98" s="55"/>
      <x:c r="B98" s="55"/>
      <x:c r="C98" s="55"/>
      <x:c r="D98" s="55"/>
      <x:c r="E98" s="56"/>
      <x:c r="F98" s="57"/>
      <x:c r="G98" s="59"/>
      <x:c r="H98" s="59"/>
      <x:c r="I98" s="59"/>
      <x:c r="J98" s="59"/>
      <x:c r="K98" s="59"/>
      <x:c r="L98" s="59"/>
      <x:c r="M98" s="59"/>
      <x:c r="N98" s="59"/>
      <x:c r="O98" s="56"/>
      <x:c r="P98" s="56"/>
      <x:c r="Q98" s="56"/>
      <x:c r="R98" s="56"/>
      <x:c r="S98" s="55"/>
      <x:c r="T98" s="55"/>
      <x:c r="U98" s="56"/>
      <x:c r="V98" s="56"/>
      <x:c r="W98" s="55"/>
      <x:c r="X98" s="60"/>
      <x:c r="Y98" s="55"/>
      <x:c r="Z98" s="55"/>
      <x:c r="AA98" s="59"/>
      <x:c r="AB98" s="55"/>
      <x:c r="AC98" s="55"/>
      <x:c r="AD98" s="59"/>
      <x:c r="AE98" s="55"/>
      <x:c r="AF98" s="55"/>
      <x:c r="AG98" s="59"/>
      <x:c r="AH98" s="55"/>
      <x:c r="AI98" s="55"/>
      <x:c r="AJ98" s="59"/>
      <x:c r="AK98" s="55"/>
      <x:c r="AL98" s="55"/>
      <x:c r="AM98" s="59"/>
      <x:c r="AN98" s="56"/>
      <x:c r="AO98" s="57"/>
      <x:c r="AP98" s="57"/>
      <x:c r="AQ98" s="57"/>
      <x:c r="AR98" s="57"/>
      <x:c r="AS98" s="65" t="str">
        <x:f>IF(COUNT(AQ98,AR98)&lt;2,"",IF(AR98=0,"",AQ98/AR98))</x:f>
      </x:c>
      <x:c r="AT98" s="65" t="str">
        <x:f>IF(COUNT(AQ98,AP98)&lt;2,"",IF(AP98=0,"",AQ98/AP98))</x:f>
      </x:c>
      <x:c r="AU98" s="67" t="str">
        <x:f>IF(COUNT(AQ98,AR98)&lt;2,"",AQ98-AR98)</x:f>
      </x:c>
      <x:c r="AV98" s="67" t="str">
        <x:f>IF(COUNT(AQ98,AP98)&lt;2,"",AQ98-AP98)</x:f>
      </x:c>
      <x:c r="AW98" s="67" t="str">
        <x:f>IF(COUNT(AO98,AS98)&lt;2,"",IF(AS98=0,"",AO98/AS98))</x:f>
      </x:c>
      <x:c r="AX98" s="67" t="str">
        <x:f>IF(COUNT(AW98,AR98)&lt;2,"",AW98-AR98)</x:f>
      </x:c>
      <x:c r="AY98" s="67" t="str">
        <x:f>IF(COUNT(AO98,AW98)&lt;2,"",AO98-AW98)</x:f>
      </x:c>
      <x:c r="AZ98" s="55"/>
      <x:c r="BA98" s="55"/>
      <x:c r="BB98" s="55"/>
      <x:c r="BC98" s="55"/>
      <x:c r="BD98" s="55"/>
      <x:c r="BE98" s="56"/>
      <x:c r="BF98" s="56"/>
      <x:c r="BG98" s="55"/>
    </x:row>
    <x:row r="99" ht="28" customHeight="1">
      <x:c r="A99" s="55"/>
      <x:c r="B99" s="55"/>
      <x:c r="C99" s="55"/>
      <x:c r="D99" s="55"/>
      <x:c r="E99" s="56"/>
      <x:c r="F99" s="57"/>
      <x:c r="G99" s="59"/>
      <x:c r="H99" s="59"/>
      <x:c r="I99" s="59"/>
      <x:c r="J99" s="59"/>
      <x:c r="K99" s="59"/>
      <x:c r="L99" s="59"/>
      <x:c r="M99" s="59"/>
      <x:c r="N99" s="59"/>
      <x:c r="O99" s="56"/>
      <x:c r="P99" s="56"/>
      <x:c r="Q99" s="56"/>
      <x:c r="R99" s="56"/>
      <x:c r="S99" s="55"/>
      <x:c r="T99" s="55"/>
      <x:c r="U99" s="56"/>
      <x:c r="V99" s="56"/>
      <x:c r="W99" s="55"/>
      <x:c r="X99" s="60"/>
      <x:c r="Y99" s="55"/>
      <x:c r="Z99" s="55"/>
      <x:c r="AA99" s="59"/>
      <x:c r="AB99" s="55"/>
      <x:c r="AC99" s="55"/>
      <x:c r="AD99" s="59"/>
      <x:c r="AE99" s="55"/>
      <x:c r="AF99" s="55"/>
      <x:c r="AG99" s="59"/>
      <x:c r="AH99" s="55"/>
      <x:c r="AI99" s="55"/>
      <x:c r="AJ99" s="59"/>
      <x:c r="AK99" s="55"/>
      <x:c r="AL99" s="55"/>
      <x:c r="AM99" s="59"/>
      <x:c r="AN99" s="56"/>
      <x:c r="AO99" s="57"/>
      <x:c r="AP99" s="57"/>
      <x:c r="AQ99" s="57"/>
      <x:c r="AR99" s="57"/>
      <x:c r="AS99" s="65" t="str">
        <x:f>IF(COUNT(AQ99,AR99)&lt;2,"",IF(AR99=0,"",AQ99/AR99))</x:f>
      </x:c>
      <x:c r="AT99" s="65" t="str">
        <x:f>IF(COUNT(AQ99,AP99)&lt;2,"",IF(AP99=0,"",AQ99/AP99))</x:f>
      </x:c>
      <x:c r="AU99" s="67" t="str">
        <x:f>IF(COUNT(AQ99,AR99)&lt;2,"",AQ99-AR99)</x:f>
      </x:c>
      <x:c r="AV99" s="67" t="str">
        <x:f>IF(COUNT(AQ99,AP99)&lt;2,"",AQ99-AP99)</x:f>
      </x:c>
      <x:c r="AW99" s="67" t="str">
        <x:f>IF(COUNT(AO99,AS99)&lt;2,"",IF(AS99=0,"",AO99/AS99))</x:f>
      </x:c>
      <x:c r="AX99" s="67" t="str">
        <x:f>IF(COUNT(AW99,AR99)&lt;2,"",AW99-AR99)</x:f>
      </x:c>
      <x:c r="AY99" s="67" t="str">
        <x:f>IF(COUNT(AO99,AW99)&lt;2,"",AO99-AW99)</x:f>
      </x:c>
      <x:c r="AZ99" s="55"/>
      <x:c r="BA99" s="55"/>
      <x:c r="BB99" s="55"/>
      <x:c r="BC99" s="55"/>
      <x:c r="BD99" s="55"/>
      <x:c r="BE99" s="56"/>
      <x:c r="BF99" s="56"/>
      <x:c r="BG99" s="55"/>
    </x:row>
    <x:row r="100" ht="28" customHeight="1">
      <x:c r="A100" s="55"/>
      <x:c r="B100" s="55"/>
      <x:c r="C100" s="55"/>
      <x:c r="D100" s="55"/>
      <x:c r="E100" s="56"/>
      <x:c r="F100" s="57"/>
      <x:c r="G100" s="59"/>
      <x:c r="H100" s="59"/>
      <x:c r="I100" s="59"/>
      <x:c r="J100" s="59"/>
      <x:c r="K100" s="59"/>
      <x:c r="L100" s="59"/>
      <x:c r="M100" s="59"/>
      <x:c r="N100" s="59"/>
      <x:c r="O100" s="56"/>
      <x:c r="P100" s="56"/>
      <x:c r="Q100" s="56"/>
      <x:c r="R100" s="56"/>
      <x:c r="S100" s="55"/>
      <x:c r="T100" s="55"/>
      <x:c r="U100" s="56"/>
      <x:c r="V100" s="56"/>
      <x:c r="W100" s="55"/>
      <x:c r="X100" s="60"/>
      <x:c r="Y100" s="55"/>
      <x:c r="Z100" s="55"/>
      <x:c r="AA100" s="59"/>
      <x:c r="AB100" s="55"/>
      <x:c r="AC100" s="55"/>
      <x:c r="AD100" s="59"/>
      <x:c r="AE100" s="55"/>
      <x:c r="AF100" s="55"/>
      <x:c r="AG100" s="59"/>
      <x:c r="AH100" s="55"/>
      <x:c r="AI100" s="55"/>
      <x:c r="AJ100" s="59"/>
      <x:c r="AK100" s="55"/>
      <x:c r="AL100" s="55"/>
      <x:c r="AM100" s="59"/>
      <x:c r="AN100" s="56"/>
      <x:c r="AO100" s="57"/>
      <x:c r="AP100" s="57"/>
      <x:c r="AQ100" s="57"/>
      <x:c r="AR100" s="57"/>
      <x:c r="AS100" s="65" t="str">
        <x:f>IF(COUNT(AQ100,AR100)&lt;2,"",IF(AR100=0,"",AQ100/AR100))</x:f>
      </x:c>
      <x:c r="AT100" s="65" t="str">
        <x:f>IF(COUNT(AQ100,AP100)&lt;2,"",IF(AP100=0,"",AQ100/AP100))</x:f>
      </x:c>
      <x:c r="AU100" s="67" t="str">
        <x:f>IF(COUNT(AQ100,AR100)&lt;2,"",AQ100-AR100)</x:f>
      </x:c>
      <x:c r="AV100" s="67" t="str">
        <x:f>IF(COUNT(AQ100,AP100)&lt;2,"",AQ100-AP100)</x:f>
      </x:c>
      <x:c r="AW100" s="67" t="str">
        <x:f>IF(COUNT(AO100,AS100)&lt;2,"",IF(AS100=0,"",AO100/AS100))</x:f>
      </x:c>
      <x:c r="AX100" s="67" t="str">
        <x:f>IF(COUNT(AW100,AR100)&lt;2,"",AW100-AR100)</x:f>
      </x:c>
      <x:c r="AY100" s="67" t="str">
        <x:f>IF(COUNT(AO100,AW100)&lt;2,"",AO100-AW100)</x:f>
      </x:c>
      <x:c r="AZ100" s="55"/>
      <x:c r="BA100" s="55"/>
      <x:c r="BB100" s="55"/>
      <x:c r="BC100" s="55"/>
      <x:c r="BD100" s="55"/>
      <x:c r="BE100" s="56"/>
      <x:c r="BF100" s="56"/>
      <x:c r="BG100" s="55"/>
    </x:row>
    <x:row r="101" ht="28" customHeight="1">
      <x:c r="A101" s="55"/>
      <x:c r="B101" s="55"/>
      <x:c r="C101" s="55"/>
      <x:c r="D101" s="55"/>
      <x:c r="E101" s="56"/>
      <x:c r="F101" s="57"/>
      <x:c r="G101" s="59"/>
      <x:c r="H101" s="59"/>
      <x:c r="I101" s="59"/>
      <x:c r="J101" s="59"/>
      <x:c r="K101" s="59"/>
      <x:c r="L101" s="59"/>
      <x:c r="M101" s="59"/>
      <x:c r="N101" s="59"/>
      <x:c r="O101" s="56"/>
      <x:c r="P101" s="56"/>
      <x:c r="Q101" s="56"/>
      <x:c r="R101" s="56"/>
      <x:c r="S101" s="55"/>
      <x:c r="T101" s="55"/>
      <x:c r="U101" s="56"/>
      <x:c r="V101" s="56"/>
      <x:c r="W101" s="55"/>
      <x:c r="X101" s="60"/>
      <x:c r="Y101" s="55"/>
      <x:c r="Z101" s="55"/>
      <x:c r="AA101" s="59"/>
      <x:c r="AB101" s="55"/>
      <x:c r="AC101" s="55"/>
      <x:c r="AD101" s="59"/>
      <x:c r="AE101" s="55"/>
      <x:c r="AF101" s="55"/>
      <x:c r="AG101" s="59"/>
      <x:c r="AH101" s="55"/>
      <x:c r="AI101" s="55"/>
      <x:c r="AJ101" s="59"/>
      <x:c r="AK101" s="55"/>
      <x:c r="AL101" s="55"/>
      <x:c r="AM101" s="59"/>
      <x:c r="AN101" s="56"/>
      <x:c r="AO101" s="57"/>
      <x:c r="AP101" s="57"/>
      <x:c r="AQ101" s="57"/>
      <x:c r="AR101" s="57"/>
      <x:c r="AS101" s="65" t="str">
        <x:f>IF(COUNT(AQ101,AR101)&lt;2,"",IF(AR101=0,"",AQ101/AR101))</x:f>
      </x:c>
      <x:c r="AT101" s="65" t="str">
        <x:f>IF(COUNT(AQ101,AP101)&lt;2,"",IF(AP101=0,"",AQ101/AP101))</x:f>
      </x:c>
      <x:c r="AU101" s="67" t="str">
        <x:f>IF(COUNT(AQ101,AR101)&lt;2,"",AQ101-AR101)</x:f>
      </x:c>
      <x:c r="AV101" s="67" t="str">
        <x:f>IF(COUNT(AQ101,AP101)&lt;2,"",AQ101-AP101)</x:f>
      </x:c>
      <x:c r="AW101" s="67" t="str">
        <x:f>IF(COUNT(AO101,AS101)&lt;2,"",IF(AS101=0,"",AO101/AS101))</x:f>
      </x:c>
      <x:c r="AX101" s="67" t="str">
        <x:f>IF(COUNT(AW101,AR101)&lt;2,"",AW101-AR101)</x:f>
      </x:c>
      <x:c r="AY101" s="67" t="str">
        <x:f>IF(COUNT(AO101,AW101)&lt;2,"",AO101-AW101)</x:f>
      </x:c>
      <x:c r="AZ101" s="55"/>
      <x:c r="BA101" s="55"/>
      <x:c r="BB101" s="55"/>
      <x:c r="BC101" s="55"/>
      <x:c r="BD101" s="55"/>
      <x:c r="BE101" s="56"/>
      <x:c r="BF101" s="56"/>
      <x:c r="BG101" s="55"/>
    </x:row>
    <x:row r="102" ht="28" customHeight="1">
      <x:c r="A102" s="55"/>
      <x:c r="B102" s="55"/>
      <x:c r="C102" s="55"/>
      <x:c r="D102" s="55"/>
      <x:c r="E102" s="56"/>
      <x:c r="F102" s="57"/>
      <x:c r="G102" s="59"/>
      <x:c r="H102" s="59"/>
      <x:c r="I102" s="59"/>
      <x:c r="J102" s="59"/>
      <x:c r="K102" s="59"/>
      <x:c r="L102" s="59"/>
      <x:c r="M102" s="59"/>
      <x:c r="N102" s="59"/>
      <x:c r="O102" s="56"/>
      <x:c r="P102" s="56"/>
      <x:c r="Q102" s="56"/>
      <x:c r="R102" s="56"/>
      <x:c r="S102" s="55"/>
      <x:c r="T102" s="55"/>
      <x:c r="U102" s="56"/>
      <x:c r="V102" s="56"/>
      <x:c r="W102" s="55"/>
      <x:c r="X102" s="60"/>
      <x:c r="Y102" s="55"/>
      <x:c r="Z102" s="55"/>
      <x:c r="AA102" s="59"/>
      <x:c r="AB102" s="55"/>
      <x:c r="AC102" s="55"/>
      <x:c r="AD102" s="59"/>
      <x:c r="AE102" s="55"/>
      <x:c r="AF102" s="55"/>
      <x:c r="AG102" s="59"/>
      <x:c r="AH102" s="55"/>
      <x:c r="AI102" s="55"/>
      <x:c r="AJ102" s="59"/>
      <x:c r="AK102" s="55"/>
      <x:c r="AL102" s="55"/>
      <x:c r="AM102" s="59"/>
      <x:c r="AN102" s="56"/>
      <x:c r="AO102" s="57"/>
      <x:c r="AP102" s="57"/>
      <x:c r="AQ102" s="57"/>
      <x:c r="AR102" s="57"/>
      <x:c r="AS102" s="65" t="str">
        <x:f>IF(COUNT(AQ102,AR102)&lt;2,"",IF(AR102=0,"",AQ102/AR102))</x:f>
      </x:c>
      <x:c r="AT102" s="65" t="str">
        <x:f>IF(COUNT(AQ102,AP102)&lt;2,"",IF(AP102=0,"",AQ102/AP102))</x:f>
      </x:c>
      <x:c r="AU102" s="67" t="str">
        <x:f>IF(COUNT(AQ102,AR102)&lt;2,"",AQ102-AR102)</x:f>
      </x:c>
      <x:c r="AV102" s="67" t="str">
        <x:f>IF(COUNT(AQ102,AP102)&lt;2,"",AQ102-AP102)</x:f>
      </x:c>
      <x:c r="AW102" s="67" t="str">
        <x:f>IF(COUNT(AO102,AS102)&lt;2,"",IF(AS102=0,"",AO102/AS102))</x:f>
      </x:c>
      <x:c r="AX102" s="67" t="str">
        <x:f>IF(COUNT(AW102,AR102)&lt;2,"",AW102-AR102)</x:f>
      </x:c>
      <x:c r="AY102" s="67" t="str">
        <x:f>IF(COUNT(AO102,AW102)&lt;2,"",AO102-AW102)</x:f>
      </x:c>
      <x:c r="AZ102" s="55"/>
      <x:c r="BA102" s="55"/>
      <x:c r="BB102" s="55"/>
      <x:c r="BC102" s="55"/>
      <x:c r="BD102" s="55"/>
      <x:c r="BE102" s="56"/>
      <x:c r="BF102" s="56"/>
      <x:c r="BG102" s="55"/>
    </x:row>
    <x:row r="103" ht="28" customHeight="1">
      <x:c r="A103" s="55"/>
      <x:c r="B103" s="55"/>
      <x:c r="C103" s="55"/>
      <x:c r="D103" s="55"/>
      <x:c r="E103" s="56"/>
      <x:c r="F103" s="57"/>
      <x:c r="G103" s="59"/>
      <x:c r="H103" s="59"/>
      <x:c r="I103" s="59"/>
      <x:c r="J103" s="59"/>
      <x:c r="K103" s="59"/>
      <x:c r="L103" s="59"/>
      <x:c r="M103" s="59"/>
      <x:c r="N103" s="59"/>
      <x:c r="O103" s="56"/>
      <x:c r="P103" s="56"/>
      <x:c r="Q103" s="56"/>
      <x:c r="R103" s="56"/>
      <x:c r="S103" s="55"/>
      <x:c r="T103" s="55"/>
      <x:c r="U103" s="56"/>
      <x:c r="V103" s="56"/>
      <x:c r="W103" s="55"/>
      <x:c r="X103" s="60"/>
      <x:c r="Y103" s="55"/>
      <x:c r="Z103" s="55"/>
      <x:c r="AA103" s="59"/>
      <x:c r="AB103" s="55"/>
      <x:c r="AC103" s="55"/>
      <x:c r="AD103" s="59"/>
      <x:c r="AE103" s="55"/>
      <x:c r="AF103" s="55"/>
      <x:c r="AG103" s="59"/>
      <x:c r="AH103" s="55"/>
      <x:c r="AI103" s="55"/>
      <x:c r="AJ103" s="59"/>
      <x:c r="AK103" s="55"/>
      <x:c r="AL103" s="55"/>
      <x:c r="AM103" s="59"/>
      <x:c r="AN103" s="56"/>
      <x:c r="AO103" s="57"/>
      <x:c r="AP103" s="57"/>
      <x:c r="AQ103" s="57"/>
      <x:c r="AR103" s="57"/>
      <x:c r="AS103" s="65" t="str">
        <x:f>IF(COUNT(AQ103,AR103)&lt;2,"",IF(AR103=0,"",AQ103/AR103))</x:f>
      </x:c>
      <x:c r="AT103" s="65" t="str">
        <x:f>IF(COUNT(AQ103,AP103)&lt;2,"",IF(AP103=0,"",AQ103/AP103))</x:f>
      </x:c>
      <x:c r="AU103" s="67" t="str">
        <x:f>IF(COUNT(AQ103,AR103)&lt;2,"",AQ103-AR103)</x:f>
      </x:c>
      <x:c r="AV103" s="67" t="str">
        <x:f>IF(COUNT(AQ103,AP103)&lt;2,"",AQ103-AP103)</x:f>
      </x:c>
      <x:c r="AW103" s="67" t="str">
        <x:f>IF(COUNT(AO103,AS103)&lt;2,"",IF(AS103=0,"",AO103/AS103))</x:f>
      </x:c>
      <x:c r="AX103" s="67" t="str">
        <x:f>IF(COUNT(AW103,AR103)&lt;2,"",AW103-AR103)</x:f>
      </x:c>
      <x:c r="AY103" s="67" t="str">
        <x:f>IF(COUNT(AO103,AW103)&lt;2,"",AO103-AW103)</x:f>
      </x:c>
      <x:c r="AZ103" s="55"/>
      <x:c r="BA103" s="55"/>
      <x:c r="BB103" s="55"/>
      <x:c r="BC103" s="55"/>
      <x:c r="BD103" s="55"/>
      <x:c r="BE103" s="56"/>
      <x:c r="BF103" s="56"/>
      <x:c r="BG103" s="55"/>
    </x:row>
    <x:row r="104" ht="28" customHeight="1">
      <x:c r="A104" s="55"/>
      <x:c r="B104" s="55"/>
      <x:c r="C104" s="55"/>
      <x:c r="D104" s="55"/>
      <x:c r="E104" s="56"/>
      <x:c r="F104" s="57"/>
      <x:c r="G104" s="59"/>
      <x:c r="H104" s="59"/>
      <x:c r="I104" s="59"/>
      <x:c r="J104" s="59"/>
      <x:c r="K104" s="59"/>
      <x:c r="L104" s="59"/>
      <x:c r="M104" s="59"/>
      <x:c r="N104" s="59"/>
      <x:c r="O104" s="56"/>
      <x:c r="P104" s="56"/>
      <x:c r="Q104" s="56"/>
      <x:c r="R104" s="56"/>
      <x:c r="S104" s="55"/>
      <x:c r="T104" s="55"/>
      <x:c r="U104" s="56"/>
      <x:c r="V104" s="56"/>
      <x:c r="W104" s="55"/>
      <x:c r="X104" s="60"/>
      <x:c r="Y104" s="55"/>
      <x:c r="Z104" s="55"/>
      <x:c r="AA104" s="59"/>
      <x:c r="AB104" s="55"/>
      <x:c r="AC104" s="55"/>
      <x:c r="AD104" s="59"/>
      <x:c r="AE104" s="55"/>
      <x:c r="AF104" s="55"/>
      <x:c r="AG104" s="59"/>
      <x:c r="AH104" s="55"/>
      <x:c r="AI104" s="55"/>
      <x:c r="AJ104" s="59"/>
      <x:c r="AK104" s="55"/>
      <x:c r="AL104" s="55"/>
      <x:c r="AM104" s="59"/>
      <x:c r="AN104" s="56"/>
      <x:c r="AO104" s="57"/>
      <x:c r="AP104" s="57"/>
      <x:c r="AQ104" s="57"/>
      <x:c r="AR104" s="57"/>
      <x:c r="AS104" s="65" t="str">
        <x:f>IF(COUNT(AQ104,AR104)&lt;2,"",IF(AR104=0,"",AQ104/AR104))</x:f>
      </x:c>
      <x:c r="AT104" s="65" t="str">
        <x:f>IF(COUNT(AQ104,AP104)&lt;2,"",IF(AP104=0,"",AQ104/AP104))</x:f>
      </x:c>
      <x:c r="AU104" s="67" t="str">
        <x:f>IF(COUNT(AQ104,AR104)&lt;2,"",AQ104-AR104)</x:f>
      </x:c>
      <x:c r="AV104" s="67" t="str">
        <x:f>IF(COUNT(AQ104,AP104)&lt;2,"",AQ104-AP104)</x:f>
      </x:c>
      <x:c r="AW104" s="67" t="str">
        <x:f>IF(COUNT(AO104,AS104)&lt;2,"",IF(AS104=0,"",AO104/AS104))</x:f>
      </x:c>
      <x:c r="AX104" s="67" t="str">
        <x:f>IF(COUNT(AW104,AR104)&lt;2,"",AW104-AR104)</x:f>
      </x:c>
      <x:c r="AY104" s="67" t="str">
        <x:f>IF(COUNT(AO104,AW104)&lt;2,"",AO104-AW104)</x:f>
      </x:c>
      <x:c r="AZ104" s="55"/>
      <x:c r="BA104" s="55"/>
      <x:c r="BB104" s="55"/>
      <x:c r="BC104" s="55"/>
      <x:c r="BD104" s="55"/>
      <x:c r="BE104" s="56"/>
      <x:c r="BF104" s="56"/>
      <x:c r="BG104" s="55"/>
    </x:row>
    <x:row r="105" ht="28" customHeight="1">
      <x:c r="A105" s="55"/>
      <x:c r="B105" s="55"/>
      <x:c r="C105" s="55"/>
      <x:c r="D105" s="55"/>
      <x:c r="E105" s="56"/>
      <x:c r="F105" s="57"/>
      <x:c r="G105" s="59"/>
      <x:c r="H105" s="59"/>
      <x:c r="I105" s="59"/>
      <x:c r="J105" s="59"/>
      <x:c r="K105" s="59"/>
      <x:c r="L105" s="59"/>
      <x:c r="M105" s="59"/>
      <x:c r="N105" s="59"/>
      <x:c r="O105" s="56"/>
      <x:c r="P105" s="56"/>
      <x:c r="Q105" s="56"/>
      <x:c r="R105" s="56"/>
      <x:c r="S105" s="55"/>
      <x:c r="T105" s="55"/>
      <x:c r="U105" s="56"/>
      <x:c r="V105" s="56"/>
      <x:c r="W105" s="55"/>
      <x:c r="X105" s="60"/>
      <x:c r="Y105" s="55"/>
      <x:c r="Z105" s="55"/>
      <x:c r="AA105" s="59"/>
      <x:c r="AB105" s="55"/>
      <x:c r="AC105" s="55"/>
      <x:c r="AD105" s="59"/>
      <x:c r="AE105" s="55"/>
      <x:c r="AF105" s="55"/>
      <x:c r="AG105" s="59"/>
      <x:c r="AH105" s="55"/>
      <x:c r="AI105" s="55"/>
      <x:c r="AJ105" s="59"/>
      <x:c r="AK105" s="55"/>
      <x:c r="AL105" s="55"/>
      <x:c r="AM105" s="59"/>
      <x:c r="AN105" s="56"/>
      <x:c r="AO105" s="57"/>
      <x:c r="AP105" s="57"/>
      <x:c r="AQ105" s="57"/>
      <x:c r="AR105" s="57"/>
      <x:c r="AS105" s="65" t="str">
        <x:f>IF(COUNT(AQ105,AR105)&lt;2,"",IF(AR105=0,"",AQ105/AR105))</x:f>
      </x:c>
      <x:c r="AT105" s="65" t="str">
        <x:f>IF(COUNT(AQ105,AP105)&lt;2,"",IF(AP105=0,"",AQ105/AP105))</x:f>
      </x:c>
      <x:c r="AU105" s="67" t="str">
        <x:f>IF(COUNT(AQ105,AR105)&lt;2,"",AQ105-AR105)</x:f>
      </x:c>
      <x:c r="AV105" s="67" t="str">
        <x:f>IF(COUNT(AQ105,AP105)&lt;2,"",AQ105-AP105)</x:f>
      </x:c>
      <x:c r="AW105" s="67" t="str">
        <x:f>IF(COUNT(AO105,AS105)&lt;2,"",IF(AS105=0,"",AO105/AS105))</x:f>
      </x:c>
      <x:c r="AX105" s="67" t="str">
        <x:f>IF(COUNT(AW105,AR105)&lt;2,"",AW105-AR105)</x:f>
      </x:c>
      <x:c r="AY105" s="67" t="str">
        <x:f>IF(COUNT(AO105,AW105)&lt;2,"",AO105-AW105)</x:f>
      </x:c>
      <x:c r="AZ105" s="55"/>
      <x:c r="BA105" s="55"/>
      <x:c r="BB105" s="55"/>
      <x:c r="BC105" s="55"/>
      <x:c r="BD105" s="55"/>
      <x:c r="BE105" s="56"/>
      <x:c r="BF105" s="56"/>
      <x:c r="BG105" s="55"/>
    </x:row>
    <x:row r="106" ht="28" customHeight="1">
      <x:c r="A106" s="55"/>
      <x:c r="B106" s="55"/>
      <x:c r="C106" s="55"/>
      <x:c r="D106" s="55"/>
      <x:c r="E106" s="56"/>
      <x:c r="F106" s="57"/>
      <x:c r="G106" s="59"/>
      <x:c r="H106" s="59"/>
      <x:c r="I106" s="59"/>
      <x:c r="J106" s="59"/>
      <x:c r="K106" s="59"/>
      <x:c r="L106" s="59"/>
      <x:c r="M106" s="59"/>
      <x:c r="N106" s="59"/>
      <x:c r="O106" s="56"/>
      <x:c r="P106" s="56"/>
      <x:c r="Q106" s="56"/>
      <x:c r="R106" s="56"/>
      <x:c r="S106" s="55"/>
      <x:c r="T106" s="55"/>
      <x:c r="U106" s="56"/>
      <x:c r="V106" s="56"/>
      <x:c r="W106" s="55"/>
      <x:c r="X106" s="60"/>
      <x:c r="Y106" s="55"/>
      <x:c r="Z106" s="55"/>
      <x:c r="AA106" s="59"/>
      <x:c r="AB106" s="55"/>
      <x:c r="AC106" s="55"/>
      <x:c r="AD106" s="59"/>
      <x:c r="AE106" s="55"/>
      <x:c r="AF106" s="55"/>
      <x:c r="AG106" s="59"/>
      <x:c r="AH106" s="55"/>
      <x:c r="AI106" s="55"/>
      <x:c r="AJ106" s="59"/>
      <x:c r="AK106" s="55"/>
      <x:c r="AL106" s="55"/>
      <x:c r="AM106" s="59"/>
      <x:c r="AN106" s="56"/>
      <x:c r="AO106" s="57"/>
      <x:c r="AP106" s="57"/>
      <x:c r="AQ106" s="57"/>
      <x:c r="AR106" s="57"/>
      <x:c r="AS106" s="65" t="str">
        <x:f>IF(COUNT(AQ106,AR106)&lt;2,"",IF(AR106=0,"",AQ106/AR106))</x:f>
      </x:c>
      <x:c r="AT106" s="65" t="str">
        <x:f>IF(COUNT(AQ106,AP106)&lt;2,"",IF(AP106=0,"",AQ106/AP106))</x:f>
      </x:c>
      <x:c r="AU106" s="67" t="str">
        <x:f>IF(COUNT(AQ106,AR106)&lt;2,"",AQ106-AR106)</x:f>
      </x:c>
      <x:c r="AV106" s="67" t="str">
        <x:f>IF(COUNT(AQ106,AP106)&lt;2,"",AQ106-AP106)</x:f>
      </x:c>
      <x:c r="AW106" s="67" t="str">
        <x:f>IF(COUNT(AO106,AS106)&lt;2,"",IF(AS106=0,"",AO106/AS106))</x:f>
      </x:c>
      <x:c r="AX106" s="67" t="str">
        <x:f>IF(COUNT(AW106,AR106)&lt;2,"",AW106-AR106)</x:f>
      </x:c>
      <x:c r="AY106" s="67" t="str">
        <x:f>IF(COUNT(AO106,AW106)&lt;2,"",AO106-AW106)</x:f>
      </x:c>
      <x:c r="AZ106" s="55"/>
      <x:c r="BA106" s="55"/>
      <x:c r="BB106" s="55"/>
      <x:c r="BC106" s="55"/>
      <x:c r="BD106" s="55"/>
      <x:c r="BE106" s="56"/>
      <x:c r="BF106" s="56"/>
      <x:c r="BG106" s="55"/>
    </x:row>
    <x:row r="107" ht="28" customHeight="1">
      <x:c r="A107" s="55"/>
      <x:c r="B107" s="55"/>
      <x:c r="C107" s="55"/>
      <x:c r="D107" s="55"/>
      <x:c r="E107" s="56"/>
      <x:c r="F107" s="57"/>
      <x:c r="G107" s="59"/>
      <x:c r="H107" s="59"/>
      <x:c r="I107" s="59"/>
      <x:c r="J107" s="59"/>
      <x:c r="K107" s="59"/>
      <x:c r="L107" s="59"/>
      <x:c r="M107" s="59"/>
      <x:c r="N107" s="59"/>
      <x:c r="O107" s="56"/>
      <x:c r="P107" s="56"/>
      <x:c r="Q107" s="56"/>
      <x:c r="R107" s="56"/>
      <x:c r="S107" s="55"/>
      <x:c r="T107" s="55"/>
      <x:c r="U107" s="56"/>
      <x:c r="V107" s="56"/>
      <x:c r="W107" s="55"/>
      <x:c r="X107" s="60"/>
      <x:c r="Y107" s="55"/>
      <x:c r="Z107" s="55"/>
      <x:c r="AA107" s="59"/>
      <x:c r="AB107" s="55"/>
      <x:c r="AC107" s="55"/>
      <x:c r="AD107" s="59"/>
      <x:c r="AE107" s="55"/>
      <x:c r="AF107" s="55"/>
      <x:c r="AG107" s="59"/>
      <x:c r="AH107" s="55"/>
      <x:c r="AI107" s="55"/>
      <x:c r="AJ107" s="59"/>
      <x:c r="AK107" s="55"/>
      <x:c r="AL107" s="55"/>
      <x:c r="AM107" s="59"/>
      <x:c r="AN107" s="56"/>
      <x:c r="AO107" s="57"/>
      <x:c r="AP107" s="57"/>
      <x:c r="AQ107" s="57"/>
      <x:c r="AR107" s="57"/>
      <x:c r="AS107" s="65" t="str">
        <x:f>IF(COUNT(AQ107,AR107)&lt;2,"",IF(AR107=0,"",AQ107/AR107))</x:f>
      </x:c>
      <x:c r="AT107" s="65" t="str">
        <x:f>IF(COUNT(AQ107,AP107)&lt;2,"",IF(AP107=0,"",AQ107/AP107))</x:f>
      </x:c>
      <x:c r="AU107" s="67" t="str">
        <x:f>IF(COUNT(AQ107,AR107)&lt;2,"",AQ107-AR107)</x:f>
      </x:c>
      <x:c r="AV107" s="67" t="str">
        <x:f>IF(COUNT(AQ107,AP107)&lt;2,"",AQ107-AP107)</x:f>
      </x:c>
      <x:c r="AW107" s="67" t="str">
        <x:f>IF(COUNT(AO107,AS107)&lt;2,"",IF(AS107=0,"",AO107/AS107))</x:f>
      </x:c>
      <x:c r="AX107" s="67" t="str">
        <x:f>IF(COUNT(AW107,AR107)&lt;2,"",AW107-AR107)</x:f>
      </x:c>
      <x:c r="AY107" s="67" t="str">
        <x:f>IF(COUNT(AO107,AW107)&lt;2,"",AO107-AW107)</x:f>
      </x:c>
      <x:c r="AZ107" s="55"/>
      <x:c r="BA107" s="55"/>
      <x:c r="BB107" s="55"/>
      <x:c r="BC107" s="55"/>
      <x:c r="BD107" s="55"/>
      <x:c r="BE107" s="56"/>
      <x:c r="BF107" s="56"/>
      <x:c r="BG107" s="55"/>
    </x:row>
    <x:row r="108" ht="28" customHeight="1">
      <x:c r="A108" s="55"/>
      <x:c r="B108" s="55"/>
      <x:c r="C108" s="55"/>
      <x:c r="D108" s="55"/>
      <x:c r="E108" s="56"/>
      <x:c r="F108" s="57"/>
      <x:c r="G108" s="59"/>
      <x:c r="H108" s="59"/>
      <x:c r="I108" s="59"/>
      <x:c r="J108" s="59"/>
      <x:c r="K108" s="59"/>
      <x:c r="L108" s="59"/>
      <x:c r="M108" s="59"/>
      <x:c r="N108" s="59"/>
      <x:c r="O108" s="56"/>
      <x:c r="P108" s="56"/>
      <x:c r="Q108" s="56"/>
      <x:c r="R108" s="56"/>
      <x:c r="S108" s="55"/>
      <x:c r="T108" s="55"/>
      <x:c r="U108" s="56"/>
      <x:c r="V108" s="56"/>
      <x:c r="W108" s="55"/>
      <x:c r="X108" s="60"/>
      <x:c r="Y108" s="55"/>
      <x:c r="Z108" s="55"/>
      <x:c r="AA108" s="59"/>
      <x:c r="AB108" s="55"/>
      <x:c r="AC108" s="55"/>
      <x:c r="AD108" s="59"/>
      <x:c r="AE108" s="55"/>
      <x:c r="AF108" s="55"/>
      <x:c r="AG108" s="59"/>
      <x:c r="AH108" s="55"/>
      <x:c r="AI108" s="55"/>
      <x:c r="AJ108" s="59"/>
      <x:c r="AK108" s="55"/>
      <x:c r="AL108" s="55"/>
      <x:c r="AM108" s="59"/>
      <x:c r="AN108" s="56"/>
      <x:c r="AO108" s="57"/>
      <x:c r="AP108" s="57"/>
      <x:c r="AQ108" s="57"/>
      <x:c r="AR108" s="57"/>
      <x:c r="AS108" s="65" t="str">
        <x:f>IF(COUNT(AQ108,AR108)&lt;2,"",IF(AR108=0,"",AQ108/AR108))</x:f>
      </x:c>
      <x:c r="AT108" s="65" t="str">
        <x:f>IF(COUNT(AQ108,AP108)&lt;2,"",IF(AP108=0,"",AQ108/AP108))</x:f>
      </x:c>
      <x:c r="AU108" s="67" t="str">
        <x:f>IF(COUNT(AQ108,AR108)&lt;2,"",AQ108-AR108)</x:f>
      </x:c>
      <x:c r="AV108" s="67" t="str">
        <x:f>IF(COUNT(AQ108,AP108)&lt;2,"",AQ108-AP108)</x:f>
      </x:c>
      <x:c r="AW108" s="67" t="str">
        <x:f>IF(COUNT(AO108,AS108)&lt;2,"",IF(AS108=0,"",AO108/AS108))</x:f>
      </x:c>
      <x:c r="AX108" s="67" t="str">
        <x:f>IF(COUNT(AW108,AR108)&lt;2,"",AW108-AR108)</x:f>
      </x:c>
      <x:c r="AY108" s="67" t="str">
        <x:f>IF(COUNT(AO108,AW108)&lt;2,"",AO108-AW108)</x:f>
      </x:c>
      <x:c r="AZ108" s="55"/>
      <x:c r="BA108" s="55"/>
      <x:c r="BB108" s="55"/>
      <x:c r="BC108" s="55"/>
      <x:c r="BD108" s="55"/>
      <x:c r="BE108" s="56"/>
      <x:c r="BF108" s="56"/>
      <x:c r="BG108" s="55"/>
    </x:row>
    <x:row r="109" ht="28" customHeight="1">
      <x:c r="A109" s="55"/>
      <x:c r="B109" s="55"/>
      <x:c r="C109" s="55"/>
      <x:c r="D109" s="55"/>
      <x:c r="E109" s="56"/>
      <x:c r="F109" s="57"/>
      <x:c r="G109" s="59"/>
      <x:c r="H109" s="59"/>
      <x:c r="I109" s="59"/>
      <x:c r="J109" s="59"/>
      <x:c r="K109" s="59"/>
      <x:c r="L109" s="59"/>
      <x:c r="M109" s="59"/>
      <x:c r="N109" s="59"/>
      <x:c r="O109" s="56"/>
      <x:c r="P109" s="56"/>
      <x:c r="Q109" s="56"/>
      <x:c r="R109" s="56"/>
      <x:c r="S109" s="55"/>
      <x:c r="T109" s="55"/>
      <x:c r="U109" s="56"/>
      <x:c r="V109" s="56"/>
      <x:c r="W109" s="55"/>
      <x:c r="X109" s="60"/>
      <x:c r="Y109" s="55"/>
      <x:c r="Z109" s="55"/>
      <x:c r="AA109" s="59"/>
      <x:c r="AB109" s="55"/>
      <x:c r="AC109" s="55"/>
      <x:c r="AD109" s="59"/>
      <x:c r="AE109" s="55"/>
      <x:c r="AF109" s="55"/>
      <x:c r="AG109" s="59"/>
      <x:c r="AH109" s="55"/>
      <x:c r="AI109" s="55"/>
      <x:c r="AJ109" s="59"/>
      <x:c r="AK109" s="55"/>
      <x:c r="AL109" s="55"/>
      <x:c r="AM109" s="59"/>
      <x:c r="AN109" s="56"/>
      <x:c r="AO109" s="57"/>
      <x:c r="AP109" s="57"/>
      <x:c r="AQ109" s="57"/>
      <x:c r="AR109" s="57"/>
      <x:c r="AS109" s="65" t="str">
        <x:f>IF(COUNT(AQ109,AR109)&lt;2,"",IF(AR109=0,"",AQ109/AR109))</x:f>
      </x:c>
      <x:c r="AT109" s="65" t="str">
        <x:f>IF(COUNT(AQ109,AP109)&lt;2,"",IF(AP109=0,"",AQ109/AP109))</x:f>
      </x:c>
      <x:c r="AU109" s="67" t="str">
        <x:f>IF(COUNT(AQ109,AR109)&lt;2,"",AQ109-AR109)</x:f>
      </x:c>
      <x:c r="AV109" s="67" t="str">
        <x:f>IF(COUNT(AQ109,AP109)&lt;2,"",AQ109-AP109)</x:f>
      </x:c>
      <x:c r="AW109" s="67" t="str">
        <x:f>IF(COUNT(AO109,AS109)&lt;2,"",IF(AS109=0,"",AO109/AS109))</x:f>
      </x:c>
      <x:c r="AX109" s="67" t="str">
        <x:f>IF(COUNT(AW109,AR109)&lt;2,"",AW109-AR109)</x:f>
      </x:c>
      <x:c r="AY109" s="67" t="str">
        <x:f>IF(COUNT(AO109,AW109)&lt;2,"",AO109-AW109)</x:f>
      </x:c>
      <x:c r="AZ109" s="55"/>
      <x:c r="BA109" s="55"/>
      <x:c r="BB109" s="55"/>
      <x:c r="BC109" s="55"/>
      <x:c r="BD109" s="55"/>
      <x:c r="BE109" s="56"/>
      <x:c r="BF109" s="56"/>
      <x:c r="BG109" s="55"/>
    </x:row>
    <x:row r="110" ht="28" customHeight="1">
      <x:c r="A110" s="55"/>
      <x:c r="B110" s="55"/>
      <x:c r="C110" s="55"/>
      <x:c r="D110" s="55"/>
      <x:c r="E110" s="56"/>
      <x:c r="F110" s="57"/>
      <x:c r="G110" s="59"/>
      <x:c r="H110" s="59"/>
      <x:c r="I110" s="59"/>
      <x:c r="J110" s="59"/>
      <x:c r="K110" s="59"/>
      <x:c r="L110" s="59"/>
      <x:c r="M110" s="59"/>
      <x:c r="N110" s="59"/>
      <x:c r="O110" s="56"/>
      <x:c r="P110" s="56"/>
      <x:c r="Q110" s="56"/>
      <x:c r="R110" s="56"/>
      <x:c r="S110" s="55"/>
      <x:c r="T110" s="55"/>
      <x:c r="U110" s="56"/>
      <x:c r="V110" s="56"/>
      <x:c r="W110" s="55"/>
      <x:c r="X110" s="60"/>
      <x:c r="Y110" s="55"/>
      <x:c r="Z110" s="55"/>
      <x:c r="AA110" s="59"/>
      <x:c r="AB110" s="55"/>
      <x:c r="AC110" s="55"/>
      <x:c r="AD110" s="59"/>
      <x:c r="AE110" s="55"/>
      <x:c r="AF110" s="55"/>
      <x:c r="AG110" s="59"/>
      <x:c r="AH110" s="55"/>
      <x:c r="AI110" s="55"/>
      <x:c r="AJ110" s="59"/>
      <x:c r="AK110" s="55"/>
      <x:c r="AL110" s="55"/>
      <x:c r="AM110" s="59"/>
      <x:c r="AN110" s="56"/>
      <x:c r="AO110" s="57"/>
      <x:c r="AP110" s="57"/>
      <x:c r="AQ110" s="57"/>
      <x:c r="AR110" s="57"/>
      <x:c r="AS110" s="65" t="str">
        <x:f>IF(COUNT(AQ110,AR110)&lt;2,"",IF(AR110=0,"",AQ110/AR110))</x:f>
      </x:c>
      <x:c r="AT110" s="65" t="str">
        <x:f>IF(COUNT(AQ110,AP110)&lt;2,"",IF(AP110=0,"",AQ110/AP110))</x:f>
      </x:c>
      <x:c r="AU110" s="67" t="str">
        <x:f>IF(COUNT(AQ110,AR110)&lt;2,"",AQ110-AR110)</x:f>
      </x:c>
      <x:c r="AV110" s="67" t="str">
        <x:f>IF(COUNT(AQ110,AP110)&lt;2,"",AQ110-AP110)</x:f>
      </x:c>
      <x:c r="AW110" s="67" t="str">
        <x:f>IF(COUNT(AO110,AS110)&lt;2,"",IF(AS110=0,"",AO110/AS110))</x:f>
      </x:c>
      <x:c r="AX110" s="67" t="str">
        <x:f>IF(COUNT(AW110,AR110)&lt;2,"",AW110-AR110)</x:f>
      </x:c>
      <x:c r="AY110" s="67" t="str">
        <x:f>IF(COUNT(AO110,AW110)&lt;2,"",AO110-AW110)</x:f>
      </x:c>
      <x:c r="AZ110" s="55"/>
      <x:c r="BA110" s="55"/>
      <x:c r="BB110" s="55"/>
      <x:c r="BC110" s="55"/>
      <x:c r="BD110" s="55"/>
      <x:c r="BE110" s="56"/>
      <x:c r="BF110" s="56"/>
      <x:c r="BG110" s="55"/>
    </x:row>
    <x:row r="111" ht="28" customHeight="1">
      <x:c r="A111" s="55"/>
      <x:c r="B111" s="55"/>
      <x:c r="C111" s="55"/>
      <x:c r="D111" s="55"/>
      <x:c r="E111" s="56"/>
      <x:c r="F111" s="57"/>
      <x:c r="G111" s="59"/>
      <x:c r="H111" s="59"/>
      <x:c r="I111" s="59"/>
      <x:c r="J111" s="59"/>
      <x:c r="K111" s="59"/>
      <x:c r="L111" s="59"/>
      <x:c r="M111" s="59"/>
      <x:c r="N111" s="59"/>
      <x:c r="O111" s="56"/>
      <x:c r="P111" s="56"/>
      <x:c r="Q111" s="56"/>
      <x:c r="R111" s="56"/>
      <x:c r="S111" s="55"/>
      <x:c r="T111" s="55"/>
      <x:c r="U111" s="56"/>
      <x:c r="V111" s="56"/>
      <x:c r="W111" s="55"/>
      <x:c r="X111" s="60"/>
      <x:c r="Y111" s="55"/>
      <x:c r="Z111" s="55"/>
      <x:c r="AA111" s="59"/>
      <x:c r="AB111" s="55"/>
      <x:c r="AC111" s="55"/>
      <x:c r="AD111" s="59"/>
      <x:c r="AE111" s="55"/>
      <x:c r="AF111" s="55"/>
      <x:c r="AG111" s="59"/>
      <x:c r="AH111" s="55"/>
      <x:c r="AI111" s="55"/>
      <x:c r="AJ111" s="59"/>
      <x:c r="AK111" s="55"/>
      <x:c r="AL111" s="55"/>
      <x:c r="AM111" s="59"/>
      <x:c r="AN111" s="56"/>
      <x:c r="AO111" s="57"/>
      <x:c r="AP111" s="57"/>
      <x:c r="AQ111" s="57"/>
      <x:c r="AR111" s="57"/>
      <x:c r="AS111" s="65" t="str">
        <x:f>IF(COUNT(AQ111,AR111)&lt;2,"",IF(AR111=0,"",AQ111/AR111))</x:f>
      </x:c>
      <x:c r="AT111" s="65" t="str">
        <x:f>IF(COUNT(AQ111,AP111)&lt;2,"",IF(AP111=0,"",AQ111/AP111))</x:f>
      </x:c>
      <x:c r="AU111" s="67" t="str">
        <x:f>IF(COUNT(AQ111,AR111)&lt;2,"",AQ111-AR111)</x:f>
      </x:c>
      <x:c r="AV111" s="67" t="str">
        <x:f>IF(COUNT(AQ111,AP111)&lt;2,"",AQ111-AP111)</x:f>
      </x:c>
      <x:c r="AW111" s="67" t="str">
        <x:f>IF(COUNT(AO111,AS111)&lt;2,"",IF(AS111=0,"",AO111/AS111))</x:f>
      </x:c>
      <x:c r="AX111" s="67" t="str">
        <x:f>IF(COUNT(AW111,AR111)&lt;2,"",AW111-AR111)</x:f>
      </x:c>
      <x:c r="AY111" s="67" t="str">
        <x:f>IF(COUNT(AO111,AW111)&lt;2,"",AO111-AW111)</x:f>
      </x:c>
      <x:c r="AZ111" s="55"/>
      <x:c r="BA111" s="55"/>
      <x:c r="BB111" s="55"/>
      <x:c r="BC111" s="55"/>
      <x:c r="BD111" s="55"/>
      <x:c r="BE111" s="56"/>
      <x:c r="BF111" s="56"/>
      <x:c r="BG111" s="55"/>
    </x:row>
    <x:row r="112" ht="28" customHeight="1">
      <x:c r="A112" s="55"/>
      <x:c r="B112" s="55"/>
      <x:c r="C112" s="55"/>
      <x:c r="D112" s="55"/>
      <x:c r="E112" s="56"/>
      <x:c r="F112" s="57"/>
      <x:c r="G112" s="59"/>
      <x:c r="H112" s="59"/>
      <x:c r="I112" s="59"/>
      <x:c r="J112" s="59"/>
      <x:c r="K112" s="59"/>
      <x:c r="L112" s="59"/>
      <x:c r="M112" s="59"/>
      <x:c r="N112" s="59"/>
      <x:c r="O112" s="56"/>
      <x:c r="P112" s="56"/>
      <x:c r="Q112" s="56"/>
      <x:c r="R112" s="56"/>
      <x:c r="S112" s="55"/>
      <x:c r="T112" s="55"/>
      <x:c r="U112" s="56"/>
      <x:c r="V112" s="56"/>
      <x:c r="W112" s="55"/>
      <x:c r="X112" s="60"/>
      <x:c r="Y112" s="55"/>
      <x:c r="Z112" s="55"/>
      <x:c r="AA112" s="59"/>
      <x:c r="AB112" s="55"/>
      <x:c r="AC112" s="55"/>
      <x:c r="AD112" s="59"/>
      <x:c r="AE112" s="55"/>
      <x:c r="AF112" s="55"/>
      <x:c r="AG112" s="59"/>
      <x:c r="AH112" s="55"/>
      <x:c r="AI112" s="55"/>
      <x:c r="AJ112" s="59"/>
      <x:c r="AK112" s="55"/>
      <x:c r="AL112" s="55"/>
      <x:c r="AM112" s="59"/>
      <x:c r="AN112" s="56"/>
      <x:c r="AO112" s="57"/>
      <x:c r="AP112" s="57"/>
      <x:c r="AQ112" s="57"/>
      <x:c r="AR112" s="57"/>
      <x:c r="AS112" s="65" t="str">
        <x:f>IF(COUNT(AQ112,AR112)&lt;2,"",IF(AR112=0,"",AQ112/AR112))</x:f>
      </x:c>
      <x:c r="AT112" s="65" t="str">
        <x:f>IF(COUNT(AQ112,AP112)&lt;2,"",IF(AP112=0,"",AQ112/AP112))</x:f>
      </x:c>
      <x:c r="AU112" s="67" t="str">
        <x:f>IF(COUNT(AQ112,AR112)&lt;2,"",AQ112-AR112)</x:f>
      </x:c>
      <x:c r="AV112" s="67" t="str">
        <x:f>IF(COUNT(AQ112,AP112)&lt;2,"",AQ112-AP112)</x:f>
      </x:c>
      <x:c r="AW112" s="67" t="str">
        <x:f>IF(COUNT(AO112,AS112)&lt;2,"",IF(AS112=0,"",AO112/AS112))</x:f>
      </x:c>
      <x:c r="AX112" s="67" t="str">
        <x:f>IF(COUNT(AW112,AR112)&lt;2,"",AW112-AR112)</x:f>
      </x:c>
      <x:c r="AY112" s="67" t="str">
        <x:f>IF(COUNT(AO112,AW112)&lt;2,"",AO112-AW112)</x:f>
      </x:c>
      <x:c r="AZ112" s="55"/>
      <x:c r="BA112" s="55"/>
      <x:c r="BB112" s="55"/>
      <x:c r="BC112" s="55"/>
      <x:c r="BD112" s="55"/>
      <x:c r="BE112" s="56"/>
      <x:c r="BF112" s="56"/>
      <x:c r="BG112" s="55"/>
    </x:row>
    <x:row r="113" ht="28" customHeight="1">
      <x:c r="A113" s="55"/>
      <x:c r="B113" s="55"/>
      <x:c r="C113" s="55"/>
      <x:c r="D113" s="55"/>
      <x:c r="E113" s="56"/>
      <x:c r="F113" s="57"/>
      <x:c r="G113" s="59"/>
      <x:c r="H113" s="59"/>
      <x:c r="I113" s="59"/>
      <x:c r="J113" s="59"/>
      <x:c r="K113" s="59"/>
      <x:c r="L113" s="59"/>
      <x:c r="M113" s="59"/>
      <x:c r="N113" s="59"/>
      <x:c r="O113" s="56"/>
      <x:c r="P113" s="56"/>
      <x:c r="Q113" s="56"/>
      <x:c r="R113" s="56"/>
      <x:c r="S113" s="55"/>
      <x:c r="T113" s="55"/>
      <x:c r="U113" s="56"/>
      <x:c r="V113" s="56"/>
      <x:c r="W113" s="55"/>
      <x:c r="X113" s="60"/>
      <x:c r="Y113" s="55"/>
      <x:c r="Z113" s="55"/>
      <x:c r="AA113" s="59"/>
      <x:c r="AB113" s="55"/>
      <x:c r="AC113" s="55"/>
      <x:c r="AD113" s="59"/>
      <x:c r="AE113" s="55"/>
      <x:c r="AF113" s="55"/>
      <x:c r="AG113" s="59"/>
      <x:c r="AH113" s="55"/>
      <x:c r="AI113" s="55"/>
      <x:c r="AJ113" s="59"/>
      <x:c r="AK113" s="55"/>
      <x:c r="AL113" s="55"/>
      <x:c r="AM113" s="59"/>
      <x:c r="AN113" s="56"/>
      <x:c r="AO113" s="57"/>
      <x:c r="AP113" s="57"/>
      <x:c r="AQ113" s="57"/>
      <x:c r="AR113" s="57"/>
      <x:c r="AS113" s="65" t="str">
        <x:f>IF(COUNT(AQ113,AR113)&lt;2,"",IF(AR113=0,"",AQ113/AR113))</x:f>
      </x:c>
      <x:c r="AT113" s="65" t="str">
        <x:f>IF(COUNT(AQ113,AP113)&lt;2,"",IF(AP113=0,"",AQ113/AP113))</x:f>
      </x:c>
      <x:c r="AU113" s="67" t="str">
        <x:f>IF(COUNT(AQ113,AR113)&lt;2,"",AQ113-AR113)</x:f>
      </x:c>
      <x:c r="AV113" s="67" t="str">
        <x:f>IF(COUNT(AQ113,AP113)&lt;2,"",AQ113-AP113)</x:f>
      </x:c>
      <x:c r="AW113" s="67" t="str">
        <x:f>IF(COUNT(AO113,AS113)&lt;2,"",IF(AS113=0,"",AO113/AS113))</x:f>
      </x:c>
      <x:c r="AX113" s="67" t="str">
        <x:f>IF(COUNT(AW113,AR113)&lt;2,"",AW113-AR113)</x:f>
      </x:c>
      <x:c r="AY113" s="67" t="str">
        <x:f>IF(COUNT(AO113,AW113)&lt;2,"",AO113-AW113)</x:f>
      </x:c>
      <x:c r="AZ113" s="55"/>
      <x:c r="BA113" s="55"/>
      <x:c r="BB113" s="55"/>
      <x:c r="BC113" s="55"/>
      <x:c r="BD113" s="55"/>
      <x:c r="BE113" s="56"/>
      <x:c r="BF113" s="56"/>
      <x:c r="BG113" s="55"/>
    </x:row>
    <x:row r="114" ht="28" customHeight="1">
      <x:c r="A114" s="55"/>
      <x:c r="B114" s="55"/>
      <x:c r="C114" s="55"/>
      <x:c r="D114" s="55"/>
      <x:c r="E114" s="56"/>
      <x:c r="F114" s="57"/>
      <x:c r="G114" s="59"/>
      <x:c r="H114" s="59"/>
      <x:c r="I114" s="59"/>
      <x:c r="J114" s="59"/>
      <x:c r="K114" s="59"/>
      <x:c r="L114" s="59"/>
      <x:c r="M114" s="59"/>
      <x:c r="N114" s="59"/>
      <x:c r="O114" s="56"/>
      <x:c r="P114" s="56"/>
      <x:c r="Q114" s="56"/>
      <x:c r="R114" s="56"/>
      <x:c r="S114" s="55"/>
      <x:c r="T114" s="55"/>
      <x:c r="U114" s="56"/>
      <x:c r="V114" s="56"/>
      <x:c r="W114" s="55"/>
      <x:c r="X114" s="60"/>
      <x:c r="Y114" s="55"/>
      <x:c r="Z114" s="55"/>
      <x:c r="AA114" s="59"/>
      <x:c r="AB114" s="55"/>
      <x:c r="AC114" s="55"/>
      <x:c r="AD114" s="59"/>
      <x:c r="AE114" s="55"/>
      <x:c r="AF114" s="55"/>
      <x:c r="AG114" s="59"/>
      <x:c r="AH114" s="55"/>
      <x:c r="AI114" s="55"/>
      <x:c r="AJ114" s="59"/>
      <x:c r="AK114" s="55"/>
      <x:c r="AL114" s="55"/>
      <x:c r="AM114" s="59"/>
      <x:c r="AN114" s="56"/>
      <x:c r="AO114" s="57"/>
      <x:c r="AP114" s="57"/>
      <x:c r="AQ114" s="57"/>
      <x:c r="AR114" s="57"/>
      <x:c r="AS114" s="65" t="str">
        <x:f>IF(COUNT(AQ114,AR114)&lt;2,"",IF(AR114=0,"",AQ114/AR114))</x:f>
      </x:c>
      <x:c r="AT114" s="65" t="str">
        <x:f>IF(COUNT(AQ114,AP114)&lt;2,"",IF(AP114=0,"",AQ114/AP114))</x:f>
      </x:c>
      <x:c r="AU114" s="67" t="str">
        <x:f>IF(COUNT(AQ114,AR114)&lt;2,"",AQ114-AR114)</x:f>
      </x:c>
      <x:c r="AV114" s="67" t="str">
        <x:f>IF(COUNT(AQ114,AP114)&lt;2,"",AQ114-AP114)</x:f>
      </x:c>
      <x:c r="AW114" s="67" t="str">
        <x:f>IF(COUNT(AO114,AS114)&lt;2,"",IF(AS114=0,"",AO114/AS114))</x:f>
      </x:c>
      <x:c r="AX114" s="67" t="str">
        <x:f>IF(COUNT(AW114,AR114)&lt;2,"",AW114-AR114)</x:f>
      </x:c>
      <x:c r="AY114" s="67" t="str">
        <x:f>IF(COUNT(AO114,AW114)&lt;2,"",AO114-AW114)</x:f>
      </x:c>
      <x:c r="AZ114" s="55"/>
      <x:c r="BA114" s="55"/>
      <x:c r="BB114" s="55"/>
      <x:c r="BC114" s="55"/>
      <x:c r="BD114" s="55"/>
      <x:c r="BE114" s="56"/>
      <x:c r="BF114" s="56"/>
      <x:c r="BG114" s="55"/>
    </x:row>
    <x:row r="115" ht="28" customHeight="1">
      <x:c r="A115" s="55"/>
      <x:c r="B115" s="55"/>
      <x:c r="C115" s="55"/>
      <x:c r="D115" s="55"/>
      <x:c r="E115" s="56"/>
      <x:c r="F115" s="57"/>
      <x:c r="G115" s="59"/>
      <x:c r="H115" s="59"/>
      <x:c r="I115" s="59"/>
      <x:c r="J115" s="59"/>
      <x:c r="K115" s="59"/>
      <x:c r="L115" s="59"/>
      <x:c r="M115" s="59"/>
      <x:c r="N115" s="59"/>
      <x:c r="O115" s="56"/>
      <x:c r="P115" s="56"/>
      <x:c r="Q115" s="56"/>
      <x:c r="R115" s="56"/>
      <x:c r="S115" s="55"/>
      <x:c r="T115" s="55"/>
      <x:c r="U115" s="56"/>
      <x:c r="V115" s="56"/>
      <x:c r="W115" s="55"/>
      <x:c r="X115" s="60"/>
      <x:c r="Y115" s="55"/>
      <x:c r="Z115" s="55"/>
      <x:c r="AA115" s="59"/>
      <x:c r="AB115" s="55"/>
      <x:c r="AC115" s="55"/>
      <x:c r="AD115" s="59"/>
      <x:c r="AE115" s="55"/>
      <x:c r="AF115" s="55"/>
      <x:c r="AG115" s="59"/>
      <x:c r="AH115" s="55"/>
      <x:c r="AI115" s="55"/>
      <x:c r="AJ115" s="59"/>
      <x:c r="AK115" s="55"/>
      <x:c r="AL115" s="55"/>
      <x:c r="AM115" s="59"/>
      <x:c r="AN115" s="56"/>
      <x:c r="AO115" s="57"/>
      <x:c r="AP115" s="57"/>
      <x:c r="AQ115" s="57"/>
      <x:c r="AR115" s="57"/>
      <x:c r="AS115" s="65" t="str">
        <x:f>IF(COUNT(AQ115,AR115)&lt;2,"",IF(AR115=0,"",AQ115/AR115))</x:f>
      </x:c>
      <x:c r="AT115" s="65" t="str">
        <x:f>IF(COUNT(AQ115,AP115)&lt;2,"",IF(AP115=0,"",AQ115/AP115))</x:f>
      </x:c>
      <x:c r="AU115" s="67" t="str">
        <x:f>IF(COUNT(AQ115,AR115)&lt;2,"",AQ115-AR115)</x:f>
      </x:c>
      <x:c r="AV115" s="67" t="str">
        <x:f>IF(COUNT(AQ115,AP115)&lt;2,"",AQ115-AP115)</x:f>
      </x:c>
      <x:c r="AW115" s="67" t="str">
        <x:f>IF(COUNT(AO115,AS115)&lt;2,"",IF(AS115=0,"",AO115/AS115))</x:f>
      </x:c>
      <x:c r="AX115" s="67" t="str">
        <x:f>IF(COUNT(AW115,AR115)&lt;2,"",AW115-AR115)</x:f>
      </x:c>
      <x:c r="AY115" s="67" t="str">
        <x:f>IF(COUNT(AO115,AW115)&lt;2,"",AO115-AW115)</x:f>
      </x:c>
      <x:c r="AZ115" s="55"/>
      <x:c r="BA115" s="55"/>
      <x:c r="BB115" s="55"/>
      <x:c r="BC115" s="55"/>
      <x:c r="BD115" s="55"/>
      <x:c r="BE115" s="56"/>
      <x:c r="BF115" s="56"/>
      <x:c r="BG115" s="55"/>
    </x:row>
    <x:row r="116" ht="28" customHeight="1">
      <x:c r="A116" s="55"/>
      <x:c r="B116" s="55"/>
      <x:c r="C116" s="55"/>
      <x:c r="D116" s="55"/>
      <x:c r="E116" s="56"/>
      <x:c r="F116" s="57"/>
      <x:c r="G116" s="59"/>
      <x:c r="H116" s="59"/>
      <x:c r="I116" s="59"/>
      <x:c r="J116" s="59"/>
      <x:c r="K116" s="59"/>
      <x:c r="L116" s="59"/>
      <x:c r="M116" s="59"/>
      <x:c r="N116" s="59"/>
      <x:c r="O116" s="56"/>
      <x:c r="P116" s="56"/>
      <x:c r="Q116" s="56"/>
      <x:c r="R116" s="56"/>
      <x:c r="S116" s="55"/>
      <x:c r="T116" s="55"/>
      <x:c r="U116" s="56"/>
      <x:c r="V116" s="56"/>
      <x:c r="W116" s="55"/>
      <x:c r="X116" s="60"/>
      <x:c r="Y116" s="55"/>
      <x:c r="Z116" s="55"/>
      <x:c r="AA116" s="59"/>
      <x:c r="AB116" s="55"/>
      <x:c r="AC116" s="55"/>
      <x:c r="AD116" s="59"/>
      <x:c r="AE116" s="55"/>
      <x:c r="AF116" s="55"/>
      <x:c r="AG116" s="59"/>
      <x:c r="AH116" s="55"/>
      <x:c r="AI116" s="55"/>
      <x:c r="AJ116" s="59"/>
      <x:c r="AK116" s="55"/>
      <x:c r="AL116" s="55"/>
      <x:c r="AM116" s="59"/>
      <x:c r="AN116" s="56"/>
      <x:c r="AO116" s="57"/>
      <x:c r="AP116" s="57"/>
      <x:c r="AQ116" s="57"/>
      <x:c r="AR116" s="57"/>
      <x:c r="AS116" s="65" t="str">
        <x:f>IF(COUNT(AQ116,AR116)&lt;2,"",IF(AR116=0,"",AQ116/AR116))</x:f>
      </x:c>
      <x:c r="AT116" s="65" t="str">
        <x:f>IF(COUNT(AQ116,AP116)&lt;2,"",IF(AP116=0,"",AQ116/AP116))</x:f>
      </x:c>
      <x:c r="AU116" s="67" t="str">
        <x:f>IF(COUNT(AQ116,AR116)&lt;2,"",AQ116-AR116)</x:f>
      </x:c>
      <x:c r="AV116" s="67" t="str">
        <x:f>IF(COUNT(AQ116,AP116)&lt;2,"",AQ116-AP116)</x:f>
      </x:c>
      <x:c r="AW116" s="67" t="str">
        <x:f>IF(COUNT(AO116,AS116)&lt;2,"",IF(AS116=0,"",AO116/AS116))</x:f>
      </x:c>
      <x:c r="AX116" s="67" t="str">
        <x:f>IF(COUNT(AW116,AR116)&lt;2,"",AW116-AR116)</x:f>
      </x:c>
      <x:c r="AY116" s="67" t="str">
        <x:f>IF(COUNT(AO116,AW116)&lt;2,"",AO116-AW116)</x:f>
      </x:c>
      <x:c r="AZ116" s="55"/>
      <x:c r="BA116" s="55"/>
      <x:c r="BB116" s="55"/>
      <x:c r="BC116" s="55"/>
      <x:c r="BD116" s="55"/>
      <x:c r="BE116" s="56"/>
      <x:c r="BF116" s="56"/>
      <x:c r="BG116" s="55"/>
    </x:row>
    <x:row r="117" ht="28" customHeight="1">
      <x:c r="A117" s="55"/>
      <x:c r="B117" s="55"/>
      <x:c r="C117" s="55"/>
      <x:c r="D117" s="55"/>
      <x:c r="E117" s="56"/>
      <x:c r="F117" s="57"/>
      <x:c r="G117" s="59"/>
      <x:c r="H117" s="59"/>
      <x:c r="I117" s="59"/>
      <x:c r="J117" s="59"/>
      <x:c r="K117" s="59"/>
      <x:c r="L117" s="59"/>
      <x:c r="M117" s="59"/>
      <x:c r="N117" s="59"/>
      <x:c r="O117" s="56"/>
      <x:c r="P117" s="56"/>
      <x:c r="Q117" s="56"/>
      <x:c r="R117" s="56"/>
      <x:c r="S117" s="55"/>
      <x:c r="T117" s="55"/>
      <x:c r="U117" s="56"/>
      <x:c r="V117" s="56"/>
      <x:c r="W117" s="55"/>
      <x:c r="X117" s="60"/>
      <x:c r="Y117" s="55"/>
      <x:c r="Z117" s="55"/>
      <x:c r="AA117" s="59"/>
      <x:c r="AB117" s="55"/>
      <x:c r="AC117" s="55"/>
      <x:c r="AD117" s="59"/>
      <x:c r="AE117" s="55"/>
      <x:c r="AF117" s="55"/>
      <x:c r="AG117" s="59"/>
      <x:c r="AH117" s="55"/>
      <x:c r="AI117" s="55"/>
      <x:c r="AJ117" s="59"/>
      <x:c r="AK117" s="55"/>
      <x:c r="AL117" s="55"/>
      <x:c r="AM117" s="59"/>
      <x:c r="AN117" s="56"/>
      <x:c r="AO117" s="57"/>
      <x:c r="AP117" s="57"/>
      <x:c r="AQ117" s="57"/>
      <x:c r="AR117" s="57"/>
      <x:c r="AS117" s="65" t="str">
        <x:f>IF(COUNT(AQ117,AR117)&lt;2,"",IF(AR117=0,"",AQ117/AR117))</x:f>
      </x:c>
      <x:c r="AT117" s="65" t="str">
        <x:f>IF(COUNT(AQ117,AP117)&lt;2,"",IF(AP117=0,"",AQ117/AP117))</x:f>
      </x:c>
      <x:c r="AU117" s="67" t="str">
        <x:f>IF(COUNT(AQ117,AR117)&lt;2,"",AQ117-AR117)</x:f>
      </x:c>
      <x:c r="AV117" s="67" t="str">
        <x:f>IF(COUNT(AQ117,AP117)&lt;2,"",AQ117-AP117)</x:f>
      </x:c>
      <x:c r="AW117" s="67" t="str">
        <x:f>IF(COUNT(AO117,AS117)&lt;2,"",IF(AS117=0,"",AO117/AS117))</x:f>
      </x:c>
      <x:c r="AX117" s="67" t="str">
        <x:f>IF(COUNT(AW117,AR117)&lt;2,"",AW117-AR117)</x:f>
      </x:c>
      <x:c r="AY117" s="67" t="str">
        <x:f>IF(COUNT(AO117,AW117)&lt;2,"",AO117-AW117)</x:f>
      </x:c>
      <x:c r="AZ117" s="55"/>
      <x:c r="BA117" s="55"/>
      <x:c r="BB117" s="55"/>
      <x:c r="BC117" s="55"/>
      <x:c r="BD117" s="55"/>
      <x:c r="BE117" s="56"/>
      <x:c r="BF117" s="56"/>
      <x:c r="BG117" s="55"/>
    </x:row>
    <x:row r="118" ht="28" customHeight="1">
      <x:c r="A118" s="55"/>
      <x:c r="B118" s="55"/>
      <x:c r="C118" s="55"/>
      <x:c r="D118" s="55"/>
      <x:c r="E118" s="56"/>
      <x:c r="F118" s="57"/>
      <x:c r="G118" s="59"/>
      <x:c r="H118" s="59"/>
      <x:c r="I118" s="59"/>
      <x:c r="J118" s="59"/>
      <x:c r="K118" s="59"/>
      <x:c r="L118" s="59"/>
      <x:c r="M118" s="59"/>
      <x:c r="N118" s="59"/>
      <x:c r="O118" s="56"/>
      <x:c r="P118" s="56"/>
      <x:c r="Q118" s="56"/>
      <x:c r="R118" s="56"/>
      <x:c r="S118" s="55"/>
      <x:c r="T118" s="55"/>
      <x:c r="U118" s="56"/>
      <x:c r="V118" s="56"/>
      <x:c r="W118" s="55"/>
      <x:c r="X118" s="60"/>
      <x:c r="Y118" s="55"/>
      <x:c r="Z118" s="55"/>
      <x:c r="AA118" s="59"/>
      <x:c r="AB118" s="55"/>
      <x:c r="AC118" s="55"/>
      <x:c r="AD118" s="59"/>
      <x:c r="AE118" s="55"/>
      <x:c r="AF118" s="55"/>
      <x:c r="AG118" s="59"/>
      <x:c r="AH118" s="55"/>
      <x:c r="AI118" s="55"/>
      <x:c r="AJ118" s="59"/>
      <x:c r="AK118" s="55"/>
      <x:c r="AL118" s="55"/>
      <x:c r="AM118" s="59"/>
      <x:c r="AN118" s="56"/>
      <x:c r="AO118" s="57"/>
      <x:c r="AP118" s="57"/>
      <x:c r="AQ118" s="57"/>
      <x:c r="AR118" s="57"/>
      <x:c r="AS118" s="65" t="str">
        <x:f>IF(COUNT(AQ118,AR118)&lt;2,"",IF(AR118=0,"",AQ118/AR118))</x:f>
      </x:c>
      <x:c r="AT118" s="65" t="str">
        <x:f>IF(COUNT(AQ118,AP118)&lt;2,"",IF(AP118=0,"",AQ118/AP118))</x:f>
      </x:c>
      <x:c r="AU118" s="67" t="str">
        <x:f>IF(COUNT(AQ118,AR118)&lt;2,"",AQ118-AR118)</x:f>
      </x:c>
      <x:c r="AV118" s="67" t="str">
        <x:f>IF(COUNT(AQ118,AP118)&lt;2,"",AQ118-AP118)</x:f>
      </x:c>
      <x:c r="AW118" s="67" t="str">
        <x:f>IF(COUNT(AO118,AS118)&lt;2,"",IF(AS118=0,"",AO118/AS118))</x:f>
      </x:c>
      <x:c r="AX118" s="67" t="str">
        <x:f>IF(COUNT(AW118,AR118)&lt;2,"",AW118-AR118)</x:f>
      </x:c>
      <x:c r="AY118" s="67" t="str">
        <x:f>IF(COUNT(AO118,AW118)&lt;2,"",AO118-AW118)</x:f>
      </x:c>
      <x:c r="AZ118" s="55"/>
      <x:c r="BA118" s="55"/>
      <x:c r="BB118" s="55"/>
      <x:c r="BC118" s="55"/>
      <x:c r="BD118" s="55"/>
      <x:c r="BE118" s="56"/>
      <x:c r="BF118" s="56"/>
      <x:c r="BG118" s="55"/>
    </x:row>
    <x:row r="119" ht="28" customHeight="1">
      <x:c r="A119" s="55"/>
      <x:c r="B119" s="55"/>
      <x:c r="C119" s="55"/>
      <x:c r="D119" s="55"/>
      <x:c r="E119" s="56"/>
      <x:c r="F119" s="57"/>
      <x:c r="G119" s="59"/>
      <x:c r="H119" s="59"/>
      <x:c r="I119" s="59"/>
      <x:c r="J119" s="59"/>
      <x:c r="K119" s="59"/>
      <x:c r="L119" s="59"/>
      <x:c r="M119" s="59"/>
      <x:c r="N119" s="59"/>
      <x:c r="O119" s="56"/>
      <x:c r="P119" s="56"/>
      <x:c r="Q119" s="56"/>
      <x:c r="R119" s="56"/>
      <x:c r="S119" s="55"/>
      <x:c r="T119" s="55"/>
      <x:c r="U119" s="56"/>
      <x:c r="V119" s="56"/>
      <x:c r="W119" s="55"/>
      <x:c r="X119" s="60"/>
      <x:c r="Y119" s="55"/>
      <x:c r="Z119" s="55"/>
      <x:c r="AA119" s="59"/>
      <x:c r="AB119" s="55"/>
      <x:c r="AC119" s="55"/>
      <x:c r="AD119" s="59"/>
      <x:c r="AE119" s="55"/>
      <x:c r="AF119" s="55"/>
      <x:c r="AG119" s="59"/>
      <x:c r="AH119" s="55"/>
      <x:c r="AI119" s="55"/>
      <x:c r="AJ119" s="59"/>
      <x:c r="AK119" s="55"/>
      <x:c r="AL119" s="55"/>
      <x:c r="AM119" s="59"/>
      <x:c r="AN119" s="56"/>
      <x:c r="AO119" s="57"/>
      <x:c r="AP119" s="57"/>
      <x:c r="AQ119" s="57"/>
      <x:c r="AR119" s="57"/>
      <x:c r="AS119" s="65" t="str">
        <x:f>IF(COUNT(AQ119,AR119)&lt;2,"",IF(AR119=0,"",AQ119/AR119))</x:f>
      </x:c>
      <x:c r="AT119" s="65" t="str">
        <x:f>IF(COUNT(AQ119,AP119)&lt;2,"",IF(AP119=0,"",AQ119/AP119))</x:f>
      </x:c>
      <x:c r="AU119" s="67" t="str">
        <x:f>IF(COUNT(AQ119,AR119)&lt;2,"",AQ119-AR119)</x:f>
      </x:c>
      <x:c r="AV119" s="67" t="str">
        <x:f>IF(COUNT(AQ119,AP119)&lt;2,"",AQ119-AP119)</x:f>
      </x:c>
      <x:c r="AW119" s="67" t="str">
        <x:f>IF(COUNT(AO119,AS119)&lt;2,"",IF(AS119=0,"",AO119/AS119))</x:f>
      </x:c>
      <x:c r="AX119" s="67" t="str">
        <x:f>IF(COUNT(AW119,AR119)&lt;2,"",AW119-AR119)</x:f>
      </x:c>
      <x:c r="AY119" s="67" t="str">
        <x:f>IF(COUNT(AO119,AW119)&lt;2,"",AO119-AW119)</x:f>
      </x:c>
      <x:c r="AZ119" s="55"/>
      <x:c r="BA119" s="55"/>
      <x:c r="BB119" s="55"/>
      <x:c r="BC119" s="55"/>
      <x:c r="BD119" s="55"/>
      <x:c r="BE119" s="56"/>
      <x:c r="BF119" s="56"/>
      <x:c r="BG119" s="55"/>
    </x:row>
    <x:row r="120" ht="28" customHeight="1">
      <x:c r="A120" s="55"/>
      <x:c r="B120" s="55"/>
      <x:c r="C120" s="55"/>
      <x:c r="D120" s="55"/>
      <x:c r="E120" s="56"/>
      <x:c r="F120" s="57"/>
      <x:c r="G120" s="59"/>
      <x:c r="H120" s="59"/>
      <x:c r="I120" s="59"/>
      <x:c r="J120" s="59"/>
      <x:c r="K120" s="59"/>
      <x:c r="L120" s="59"/>
      <x:c r="M120" s="59"/>
      <x:c r="N120" s="59"/>
      <x:c r="O120" s="56"/>
      <x:c r="P120" s="56"/>
      <x:c r="Q120" s="56"/>
      <x:c r="R120" s="56"/>
      <x:c r="S120" s="55"/>
      <x:c r="T120" s="55"/>
      <x:c r="U120" s="56"/>
      <x:c r="V120" s="56"/>
      <x:c r="W120" s="55"/>
      <x:c r="X120" s="60"/>
      <x:c r="Y120" s="55"/>
      <x:c r="Z120" s="55"/>
      <x:c r="AA120" s="59"/>
      <x:c r="AB120" s="55"/>
      <x:c r="AC120" s="55"/>
      <x:c r="AD120" s="59"/>
      <x:c r="AE120" s="55"/>
      <x:c r="AF120" s="55"/>
      <x:c r="AG120" s="59"/>
      <x:c r="AH120" s="55"/>
      <x:c r="AI120" s="55"/>
      <x:c r="AJ120" s="59"/>
      <x:c r="AK120" s="55"/>
      <x:c r="AL120" s="55"/>
      <x:c r="AM120" s="59"/>
      <x:c r="AN120" s="56"/>
      <x:c r="AO120" s="57"/>
      <x:c r="AP120" s="57"/>
      <x:c r="AQ120" s="57"/>
      <x:c r="AR120" s="57"/>
      <x:c r="AS120" s="65" t="str">
        <x:f>IF(COUNT(AQ120,AR120)&lt;2,"",IF(AR120=0,"",AQ120/AR120))</x:f>
      </x:c>
      <x:c r="AT120" s="65" t="str">
        <x:f>IF(COUNT(AQ120,AP120)&lt;2,"",IF(AP120=0,"",AQ120/AP120))</x:f>
      </x:c>
      <x:c r="AU120" s="67" t="str">
        <x:f>IF(COUNT(AQ120,AR120)&lt;2,"",AQ120-AR120)</x:f>
      </x:c>
      <x:c r="AV120" s="67" t="str">
        <x:f>IF(COUNT(AQ120,AP120)&lt;2,"",AQ120-AP120)</x:f>
      </x:c>
      <x:c r="AW120" s="67" t="str">
        <x:f>IF(COUNT(AO120,AS120)&lt;2,"",IF(AS120=0,"",AO120/AS120))</x:f>
      </x:c>
      <x:c r="AX120" s="67" t="str">
        <x:f>IF(COUNT(AW120,AR120)&lt;2,"",AW120-AR120)</x:f>
      </x:c>
      <x:c r="AY120" s="67" t="str">
        <x:f>IF(COUNT(AO120,AW120)&lt;2,"",AO120-AW120)</x:f>
      </x:c>
      <x:c r="AZ120" s="55"/>
      <x:c r="BA120" s="55"/>
      <x:c r="BB120" s="55"/>
      <x:c r="BC120" s="55"/>
      <x:c r="BD120" s="55"/>
      <x:c r="BE120" s="56"/>
      <x:c r="BF120" s="56"/>
      <x:c r="BG120" s="55"/>
    </x:row>
    <x:row r="121" ht="28" customHeight="1">
      <x:c r="A121" s="55"/>
      <x:c r="B121" s="55"/>
      <x:c r="C121" s="55"/>
      <x:c r="D121" s="55"/>
      <x:c r="E121" s="56"/>
      <x:c r="F121" s="57"/>
      <x:c r="G121" s="59"/>
      <x:c r="H121" s="59"/>
      <x:c r="I121" s="59"/>
      <x:c r="J121" s="59"/>
      <x:c r="K121" s="59"/>
      <x:c r="L121" s="59"/>
      <x:c r="M121" s="59"/>
      <x:c r="N121" s="59"/>
      <x:c r="O121" s="56"/>
      <x:c r="P121" s="56"/>
      <x:c r="Q121" s="56"/>
      <x:c r="R121" s="56"/>
      <x:c r="S121" s="55"/>
      <x:c r="T121" s="55"/>
      <x:c r="U121" s="56"/>
      <x:c r="V121" s="56"/>
      <x:c r="W121" s="55"/>
      <x:c r="X121" s="60"/>
      <x:c r="Y121" s="55"/>
      <x:c r="Z121" s="55"/>
      <x:c r="AA121" s="59"/>
      <x:c r="AB121" s="55"/>
      <x:c r="AC121" s="55"/>
      <x:c r="AD121" s="59"/>
      <x:c r="AE121" s="55"/>
      <x:c r="AF121" s="55"/>
      <x:c r="AG121" s="59"/>
      <x:c r="AH121" s="55"/>
      <x:c r="AI121" s="55"/>
      <x:c r="AJ121" s="59"/>
      <x:c r="AK121" s="55"/>
      <x:c r="AL121" s="55"/>
      <x:c r="AM121" s="59"/>
      <x:c r="AN121" s="56"/>
      <x:c r="AO121" s="57"/>
      <x:c r="AP121" s="57"/>
      <x:c r="AQ121" s="57"/>
      <x:c r="AR121" s="57"/>
      <x:c r="AS121" s="65" t="str">
        <x:f>IF(COUNT(AQ121,AR121)&lt;2,"",IF(AR121=0,"",AQ121/AR121))</x:f>
      </x:c>
      <x:c r="AT121" s="65" t="str">
        <x:f>IF(COUNT(AQ121,AP121)&lt;2,"",IF(AP121=0,"",AQ121/AP121))</x:f>
      </x:c>
      <x:c r="AU121" s="67" t="str">
        <x:f>IF(COUNT(AQ121,AR121)&lt;2,"",AQ121-AR121)</x:f>
      </x:c>
      <x:c r="AV121" s="67" t="str">
        <x:f>IF(COUNT(AQ121,AP121)&lt;2,"",AQ121-AP121)</x:f>
      </x:c>
      <x:c r="AW121" s="67" t="str">
        <x:f>IF(COUNT(AO121,AS121)&lt;2,"",IF(AS121=0,"",AO121/AS121))</x:f>
      </x:c>
      <x:c r="AX121" s="67" t="str">
        <x:f>IF(COUNT(AW121,AR121)&lt;2,"",AW121-AR121)</x:f>
      </x:c>
      <x:c r="AY121" s="67" t="str">
        <x:f>IF(COUNT(AO121,AW121)&lt;2,"",AO121-AW121)</x:f>
      </x:c>
      <x:c r="AZ121" s="55"/>
      <x:c r="BA121" s="55"/>
      <x:c r="BB121" s="55"/>
      <x:c r="BC121" s="55"/>
      <x:c r="BD121" s="55"/>
      <x:c r="BE121" s="56"/>
      <x:c r="BF121" s="56"/>
      <x:c r="BG121" s="55"/>
    </x:row>
    <x:row r="122" ht="28" customHeight="1">
      <x:c r="A122" s="55"/>
      <x:c r="B122" s="55"/>
      <x:c r="C122" s="55"/>
      <x:c r="D122" s="55"/>
      <x:c r="E122" s="56"/>
      <x:c r="F122" s="57"/>
      <x:c r="G122" s="59"/>
      <x:c r="H122" s="59"/>
      <x:c r="I122" s="59"/>
      <x:c r="J122" s="59"/>
      <x:c r="K122" s="59"/>
      <x:c r="L122" s="59"/>
      <x:c r="M122" s="59"/>
      <x:c r="N122" s="59"/>
      <x:c r="O122" s="56"/>
      <x:c r="P122" s="56"/>
      <x:c r="Q122" s="56"/>
      <x:c r="R122" s="56"/>
      <x:c r="S122" s="55"/>
      <x:c r="T122" s="55"/>
      <x:c r="U122" s="56"/>
      <x:c r="V122" s="56"/>
      <x:c r="W122" s="55"/>
      <x:c r="X122" s="60"/>
      <x:c r="Y122" s="55"/>
      <x:c r="Z122" s="55"/>
      <x:c r="AA122" s="59"/>
      <x:c r="AB122" s="55"/>
      <x:c r="AC122" s="55"/>
      <x:c r="AD122" s="59"/>
      <x:c r="AE122" s="55"/>
      <x:c r="AF122" s="55"/>
      <x:c r="AG122" s="59"/>
      <x:c r="AH122" s="55"/>
      <x:c r="AI122" s="55"/>
      <x:c r="AJ122" s="59"/>
      <x:c r="AK122" s="55"/>
      <x:c r="AL122" s="55"/>
      <x:c r="AM122" s="59"/>
      <x:c r="AN122" s="56"/>
      <x:c r="AO122" s="57"/>
      <x:c r="AP122" s="57"/>
      <x:c r="AQ122" s="57"/>
      <x:c r="AR122" s="57"/>
      <x:c r="AS122" s="65" t="str">
        <x:f>IF(COUNT(AQ122,AR122)&lt;2,"",IF(AR122=0,"",AQ122/AR122))</x:f>
      </x:c>
      <x:c r="AT122" s="65" t="str">
        <x:f>IF(COUNT(AQ122,AP122)&lt;2,"",IF(AP122=0,"",AQ122/AP122))</x:f>
      </x:c>
      <x:c r="AU122" s="67" t="str">
        <x:f>IF(COUNT(AQ122,AR122)&lt;2,"",AQ122-AR122)</x:f>
      </x:c>
      <x:c r="AV122" s="67" t="str">
        <x:f>IF(COUNT(AQ122,AP122)&lt;2,"",AQ122-AP122)</x:f>
      </x:c>
      <x:c r="AW122" s="67" t="str">
        <x:f>IF(COUNT(AO122,AS122)&lt;2,"",IF(AS122=0,"",AO122/AS122))</x:f>
      </x:c>
      <x:c r="AX122" s="67" t="str">
        <x:f>IF(COUNT(AW122,AR122)&lt;2,"",AW122-AR122)</x:f>
      </x:c>
      <x:c r="AY122" s="67" t="str">
        <x:f>IF(COUNT(AO122,AW122)&lt;2,"",AO122-AW122)</x:f>
      </x:c>
      <x:c r="AZ122" s="55"/>
      <x:c r="BA122" s="55"/>
      <x:c r="BB122" s="55"/>
      <x:c r="BC122" s="55"/>
      <x:c r="BD122" s="55"/>
      <x:c r="BE122" s="56"/>
      <x:c r="BF122" s="56"/>
      <x:c r="BG122" s="55"/>
    </x:row>
    <x:row r="123" ht="28" customHeight="1">
      <x:c r="A123" s="55"/>
      <x:c r="B123" s="55"/>
      <x:c r="C123" s="55"/>
      <x:c r="D123" s="55"/>
      <x:c r="E123" s="56"/>
      <x:c r="F123" s="57"/>
      <x:c r="G123" s="59"/>
      <x:c r="H123" s="59"/>
      <x:c r="I123" s="59"/>
      <x:c r="J123" s="59"/>
      <x:c r="K123" s="59"/>
      <x:c r="L123" s="59"/>
      <x:c r="M123" s="59"/>
      <x:c r="N123" s="59"/>
      <x:c r="O123" s="56"/>
      <x:c r="P123" s="56"/>
      <x:c r="Q123" s="56"/>
      <x:c r="R123" s="56"/>
      <x:c r="S123" s="55"/>
      <x:c r="T123" s="55"/>
      <x:c r="U123" s="56"/>
      <x:c r="V123" s="56"/>
      <x:c r="W123" s="55"/>
      <x:c r="X123" s="60"/>
      <x:c r="Y123" s="55"/>
      <x:c r="Z123" s="55"/>
      <x:c r="AA123" s="59"/>
      <x:c r="AB123" s="55"/>
      <x:c r="AC123" s="55"/>
      <x:c r="AD123" s="59"/>
      <x:c r="AE123" s="55"/>
      <x:c r="AF123" s="55"/>
      <x:c r="AG123" s="59"/>
      <x:c r="AH123" s="55"/>
      <x:c r="AI123" s="55"/>
      <x:c r="AJ123" s="59"/>
      <x:c r="AK123" s="55"/>
      <x:c r="AL123" s="55"/>
      <x:c r="AM123" s="59"/>
      <x:c r="AN123" s="56"/>
      <x:c r="AO123" s="57"/>
      <x:c r="AP123" s="57"/>
      <x:c r="AQ123" s="57"/>
      <x:c r="AR123" s="57"/>
      <x:c r="AS123" s="65" t="str">
        <x:f>IF(COUNT(AQ123,AR123)&lt;2,"",IF(AR123=0,"",AQ123/AR123))</x:f>
      </x:c>
      <x:c r="AT123" s="65" t="str">
        <x:f>IF(COUNT(AQ123,AP123)&lt;2,"",IF(AP123=0,"",AQ123/AP123))</x:f>
      </x:c>
      <x:c r="AU123" s="67" t="str">
        <x:f>IF(COUNT(AQ123,AR123)&lt;2,"",AQ123-AR123)</x:f>
      </x:c>
      <x:c r="AV123" s="67" t="str">
        <x:f>IF(COUNT(AQ123,AP123)&lt;2,"",AQ123-AP123)</x:f>
      </x:c>
      <x:c r="AW123" s="67" t="str">
        <x:f>IF(COUNT(AO123,AS123)&lt;2,"",IF(AS123=0,"",AO123/AS123))</x:f>
      </x:c>
      <x:c r="AX123" s="67" t="str">
        <x:f>IF(COUNT(AW123,AR123)&lt;2,"",AW123-AR123)</x:f>
      </x:c>
      <x:c r="AY123" s="67" t="str">
        <x:f>IF(COUNT(AO123,AW123)&lt;2,"",AO123-AW123)</x:f>
      </x:c>
      <x:c r="AZ123" s="55"/>
      <x:c r="BA123" s="55"/>
      <x:c r="BB123" s="55"/>
      <x:c r="BC123" s="55"/>
      <x:c r="BD123" s="55"/>
      <x:c r="BE123" s="56"/>
      <x:c r="BF123" s="56"/>
      <x:c r="BG123" s="55"/>
    </x:row>
    <x:row r="124" ht="28" customHeight="1">
      <x:c r="A124" s="55"/>
      <x:c r="B124" s="55"/>
      <x:c r="C124" s="55"/>
      <x:c r="D124" s="55"/>
      <x:c r="E124" s="56"/>
      <x:c r="F124" s="57"/>
      <x:c r="G124" s="59"/>
      <x:c r="H124" s="59"/>
      <x:c r="I124" s="59"/>
      <x:c r="J124" s="59"/>
      <x:c r="K124" s="59"/>
      <x:c r="L124" s="59"/>
      <x:c r="M124" s="59"/>
      <x:c r="N124" s="59"/>
      <x:c r="O124" s="56"/>
      <x:c r="P124" s="56"/>
      <x:c r="Q124" s="56"/>
      <x:c r="R124" s="56"/>
      <x:c r="S124" s="55"/>
      <x:c r="T124" s="55"/>
      <x:c r="U124" s="56"/>
      <x:c r="V124" s="56"/>
      <x:c r="W124" s="55"/>
      <x:c r="X124" s="60"/>
      <x:c r="Y124" s="55"/>
      <x:c r="Z124" s="55"/>
      <x:c r="AA124" s="59"/>
      <x:c r="AB124" s="55"/>
      <x:c r="AC124" s="55"/>
      <x:c r="AD124" s="59"/>
      <x:c r="AE124" s="55"/>
      <x:c r="AF124" s="55"/>
      <x:c r="AG124" s="59"/>
      <x:c r="AH124" s="55"/>
      <x:c r="AI124" s="55"/>
      <x:c r="AJ124" s="59"/>
      <x:c r="AK124" s="55"/>
      <x:c r="AL124" s="55"/>
      <x:c r="AM124" s="59"/>
      <x:c r="AN124" s="56"/>
      <x:c r="AO124" s="57"/>
      <x:c r="AP124" s="57"/>
      <x:c r="AQ124" s="57"/>
      <x:c r="AR124" s="57"/>
      <x:c r="AS124" s="65" t="str">
        <x:f>IF(COUNT(AQ124,AR124)&lt;2,"",IF(AR124=0,"",AQ124/AR124))</x:f>
      </x:c>
      <x:c r="AT124" s="65" t="str">
        <x:f>IF(COUNT(AQ124,AP124)&lt;2,"",IF(AP124=0,"",AQ124/AP124))</x:f>
      </x:c>
      <x:c r="AU124" s="67" t="str">
        <x:f>IF(COUNT(AQ124,AR124)&lt;2,"",AQ124-AR124)</x:f>
      </x:c>
      <x:c r="AV124" s="67" t="str">
        <x:f>IF(COUNT(AQ124,AP124)&lt;2,"",AQ124-AP124)</x:f>
      </x:c>
      <x:c r="AW124" s="67" t="str">
        <x:f>IF(COUNT(AO124,AS124)&lt;2,"",IF(AS124=0,"",AO124/AS124))</x:f>
      </x:c>
      <x:c r="AX124" s="67" t="str">
        <x:f>IF(COUNT(AW124,AR124)&lt;2,"",AW124-AR124)</x:f>
      </x:c>
      <x:c r="AY124" s="67" t="str">
        <x:f>IF(COUNT(AO124,AW124)&lt;2,"",AO124-AW124)</x:f>
      </x:c>
      <x:c r="AZ124" s="55"/>
      <x:c r="BA124" s="55"/>
      <x:c r="BB124" s="55"/>
      <x:c r="BC124" s="55"/>
      <x:c r="BD124" s="55"/>
      <x:c r="BE124" s="56"/>
      <x:c r="BF124" s="56"/>
      <x:c r="BG124" s="55"/>
    </x:row>
    <x:row r="125" ht="28" customHeight="1">
      <x:c r="A125" s="55"/>
      <x:c r="B125" s="55"/>
      <x:c r="C125" s="55"/>
      <x:c r="D125" s="55"/>
      <x:c r="E125" s="56"/>
      <x:c r="F125" s="57"/>
      <x:c r="G125" s="59"/>
      <x:c r="H125" s="59"/>
      <x:c r="I125" s="59"/>
      <x:c r="J125" s="59"/>
      <x:c r="K125" s="59"/>
      <x:c r="L125" s="59"/>
      <x:c r="M125" s="59"/>
      <x:c r="N125" s="59"/>
      <x:c r="O125" s="56"/>
      <x:c r="P125" s="56"/>
      <x:c r="Q125" s="56"/>
      <x:c r="R125" s="56"/>
      <x:c r="S125" s="55"/>
      <x:c r="T125" s="55"/>
      <x:c r="U125" s="56"/>
      <x:c r="V125" s="56"/>
      <x:c r="W125" s="55"/>
      <x:c r="X125" s="60"/>
      <x:c r="Y125" s="55"/>
      <x:c r="Z125" s="55"/>
      <x:c r="AA125" s="59"/>
      <x:c r="AB125" s="55"/>
      <x:c r="AC125" s="55"/>
      <x:c r="AD125" s="59"/>
      <x:c r="AE125" s="55"/>
      <x:c r="AF125" s="55"/>
      <x:c r="AG125" s="59"/>
      <x:c r="AH125" s="55"/>
      <x:c r="AI125" s="55"/>
      <x:c r="AJ125" s="59"/>
      <x:c r="AK125" s="55"/>
      <x:c r="AL125" s="55"/>
      <x:c r="AM125" s="59"/>
      <x:c r="AN125" s="56"/>
      <x:c r="AO125" s="57"/>
      <x:c r="AP125" s="57"/>
      <x:c r="AQ125" s="57"/>
      <x:c r="AR125" s="57"/>
      <x:c r="AS125" s="65" t="str">
        <x:f>IF(COUNT(AQ125,AR125)&lt;2,"",IF(AR125=0,"",AQ125/AR125))</x:f>
      </x:c>
      <x:c r="AT125" s="65" t="str">
        <x:f>IF(COUNT(AQ125,AP125)&lt;2,"",IF(AP125=0,"",AQ125/AP125))</x:f>
      </x:c>
      <x:c r="AU125" s="67" t="str">
        <x:f>IF(COUNT(AQ125,AR125)&lt;2,"",AQ125-AR125)</x:f>
      </x:c>
      <x:c r="AV125" s="67" t="str">
        <x:f>IF(COUNT(AQ125,AP125)&lt;2,"",AQ125-AP125)</x:f>
      </x:c>
      <x:c r="AW125" s="67" t="str">
        <x:f>IF(COUNT(AO125,AS125)&lt;2,"",IF(AS125=0,"",AO125/AS125))</x:f>
      </x:c>
      <x:c r="AX125" s="67" t="str">
        <x:f>IF(COUNT(AW125,AR125)&lt;2,"",AW125-AR125)</x:f>
      </x:c>
      <x:c r="AY125" s="67" t="str">
        <x:f>IF(COUNT(AO125,AW125)&lt;2,"",AO125-AW125)</x:f>
      </x:c>
      <x:c r="AZ125" s="55"/>
      <x:c r="BA125" s="55"/>
      <x:c r="BB125" s="55"/>
      <x:c r="BC125" s="55"/>
      <x:c r="BD125" s="55"/>
      <x:c r="BE125" s="56"/>
      <x:c r="BF125" s="56"/>
      <x:c r="BG125" s="55"/>
    </x:row>
    <x:row r="126" ht="28" customHeight="1">
      <x:c r="A126" s="55"/>
      <x:c r="B126" s="55"/>
      <x:c r="C126" s="55"/>
      <x:c r="D126" s="55"/>
      <x:c r="E126" s="56"/>
      <x:c r="F126" s="57"/>
      <x:c r="G126" s="59"/>
      <x:c r="H126" s="59"/>
      <x:c r="I126" s="59"/>
      <x:c r="J126" s="59"/>
      <x:c r="K126" s="59"/>
      <x:c r="L126" s="59"/>
      <x:c r="M126" s="59"/>
      <x:c r="N126" s="59"/>
      <x:c r="O126" s="56"/>
      <x:c r="P126" s="56"/>
      <x:c r="Q126" s="56"/>
      <x:c r="R126" s="56"/>
      <x:c r="S126" s="55"/>
      <x:c r="T126" s="55"/>
      <x:c r="U126" s="56"/>
      <x:c r="V126" s="56"/>
      <x:c r="W126" s="55"/>
      <x:c r="X126" s="60"/>
      <x:c r="Y126" s="55"/>
      <x:c r="Z126" s="55"/>
      <x:c r="AA126" s="59"/>
      <x:c r="AB126" s="55"/>
      <x:c r="AC126" s="55"/>
      <x:c r="AD126" s="59"/>
      <x:c r="AE126" s="55"/>
      <x:c r="AF126" s="55"/>
      <x:c r="AG126" s="59"/>
      <x:c r="AH126" s="55"/>
      <x:c r="AI126" s="55"/>
      <x:c r="AJ126" s="59"/>
      <x:c r="AK126" s="55"/>
      <x:c r="AL126" s="55"/>
      <x:c r="AM126" s="59"/>
      <x:c r="AN126" s="56"/>
      <x:c r="AO126" s="57"/>
      <x:c r="AP126" s="57"/>
      <x:c r="AQ126" s="57"/>
      <x:c r="AR126" s="57"/>
      <x:c r="AS126" s="65" t="str">
        <x:f>IF(COUNT(AQ126,AR126)&lt;2,"",IF(AR126=0,"",AQ126/AR126))</x:f>
      </x:c>
      <x:c r="AT126" s="65" t="str">
        <x:f>IF(COUNT(AQ126,AP126)&lt;2,"",IF(AP126=0,"",AQ126/AP126))</x:f>
      </x:c>
      <x:c r="AU126" s="67" t="str">
        <x:f>IF(COUNT(AQ126,AR126)&lt;2,"",AQ126-AR126)</x:f>
      </x:c>
      <x:c r="AV126" s="67" t="str">
        <x:f>IF(COUNT(AQ126,AP126)&lt;2,"",AQ126-AP126)</x:f>
      </x:c>
      <x:c r="AW126" s="67" t="str">
        <x:f>IF(COUNT(AO126,AS126)&lt;2,"",IF(AS126=0,"",AO126/AS126))</x:f>
      </x:c>
      <x:c r="AX126" s="67" t="str">
        <x:f>IF(COUNT(AW126,AR126)&lt;2,"",AW126-AR126)</x:f>
      </x:c>
      <x:c r="AY126" s="67" t="str">
        <x:f>IF(COUNT(AO126,AW126)&lt;2,"",AO126-AW126)</x:f>
      </x:c>
      <x:c r="AZ126" s="55"/>
      <x:c r="BA126" s="55"/>
      <x:c r="BB126" s="55"/>
      <x:c r="BC126" s="55"/>
      <x:c r="BD126" s="55"/>
      <x:c r="BE126" s="56"/>
      <x:c r="BF126" s="56"/>
      <x:c r="BG126" s="55"/>
    </x:row>
    <x:row r="127" ht="28" customHeight="1">
      <x:c r="A127" s="55"/>
      <x:c r="B127" s="55"/>
      <x:c r="C127" s="55"/>
      <x:c r="D127" s="55"/>
      <x:c r="E127" s="56"/>
      <x:c r="F127" s="57"/>
      <x:c r="G127" s="59"/>
      <x:c r="H127" s="59"/>
      <x:c r="I127" s="59"/>
      <x:c r="J127" s="59"/>
      <x:c r="K127" s="59"/>
      <x:c r="L127" s="59"/>
      <x:c r="M127" s="59"/>
      <x:c r="N127" s="59"/>
      <x:c r="O127" s="56"/>
      <x:c r="P127" s="56"/>
      <x:c r="Q127" s="56"/>
      <x:c r="R127" s="56"/>
      <x:c r="S127" s="55"/>
      <x:c r="T127" s="55"/>
      <x:c r="U127" s="56"/>
      <x:c r="V127" s="56"/>
      <x:c r="W127" s="55"/>
      <x:c r="X127" s="60"/>
      <x:c r="Y127" s="55"/>
      <x:c r="Z127" s="55"/>
      <x:c r="AA127" s="59"/>
      <x:c r="AB127" s="55"/>
      <x:c r="AC127" s="55"/>
      <x:c r="AD127" s="59"/>
      <x:c r="AE127" s="55"/>
      <x:c r="AF127" s="55"/>
      <x:c r="AG127" s="59"/>
      <x:c r="AH127" s="55"/>
      <x:c r="AI127" s="55"/>
      <x:c r="AJ127" s="59"/>
      <x:c r="AK127" s="55"/>
      <x:c r="AL127" s="55"/>
      <x:c r="AM127" s="59"/>
      <x:c r="AN127" s="56"/>
      <x:c r="AO127" s="57"/>
      <x:c r="AP127" s="57"/>
      <x:c r="AQ127" s="57"/>
      <x:c r="AR127" s="57"/>
      <x:c r="AS127" s="65" t="str">
        <x:f>IF(COUNT(AQ127,AR127)&lt;2,"",IF(AR127=0,"",AQ127/AR127))</x:f>
      </x:c>
      <x:c r="AT127" s="65" t="str">
        <x:f>IF(COUNT(AQ127,AP127)&lt;2,"",IF(AP127=0,"",AQ127/AP127))</x:f>
      </x:c>
      <x:c r="AU127" s="67" t="str">
        <x:f>IF(COUNT(AQ127,AR127)&lt;2,"",AQ127-AR127)</x:f>
      </x:c>
      <x:c r="AV127" s="67" t="str">
        <x:f>IF(COUNT(AQ127,AP127)&lt;2,"",AQ127-AP127)</x:f>
      </x:c>
      <x:c r="AW127" s="67" t="str">
        <x:f>IF(COUNT(AO127,AS127)&lt;2,"",IF(AS127=0,"",AO127/AS127))</x:f>
      </x:c>
      <x:c r="AX127" s="67" t="str">
        <x:f>IF(COUNT(AW127,AR127)&lt;2,"",AW127-AR127)</x:f>
      </x:c>
      <x:c r="AY127" s="67" t="str">
        <x:f>IF(COUNT(AO127,AW127)&lt;2,"",AO127-AW127)</x:f>
      </x:c>
      <x:c r="AZ127" s="55"/>
      <x:c r="BA127" s="55"/>
      <x:c r="BB127" s="55"/>
      <x:c r="BC127" s="55"/>
      <x:c r="BD127" s="55"/>
      <x:c r="BE127" s="56"/>
      <x:c r="BF127" s="56"/>
      <x:c r="BG127" s="55"/>
    </x:row>
    <x:row r="128" ht="28" customHeight="1">
      <x:c r="A128" s="55"/>
      <x:c r="B128" s="55"/>
      <x:c r="C128" s="55"/>
      <x:c r="D128" s="55"/>
      <x:c r="E128" s="56"/>
      <x:c r="F128" s="57"/>
      <x:c r="G128" s="59"/>
      <x:c r="H128" s="59"/>
      <x:c r="I128" s="59"/>
      <x:c r="J128" s="59"/>
      <x:c r="K128" s="59"/>
      <x:c r="L128" s="59"/>
      <x:c r="M128" s="59"/>
      <x:c r="N128" s="59"/>
      <x:c r="O128" s="56"/>
      <x:c r="P128" s="56"/>
      <x:c r="Q128" s="56"/>
      <x:c r="R128" s="56"/>
      <x:c r="S128" s="55"/>
      <x:c r="T128" s="55"/>
      <x:c r="U128" s="56"/>
      <x:c r="V128" s="56"/>
      <x:c r="W128" s="55"/>
      <x:c r="X128" s="60"/>
      <x:c r="Y128" s="55"/>
      <x:c r="Z128" s="55"/>
      <x:c r="AA128" s="59"/>
      <x:c r="AB128" s="55"/>
      <x:c r="AC128" s="55"/>
      <x:c r="AD128" s="59"/>
      <x:c r="AE128" s="55"/>
      <x:c r="AF128" s="55"/>
      <x:c r="AG128" s="59"/>
      <x:c r="AH128" s="55"/>
      <x:c r="AI128" s="55"/>
      <x:c r="AJ128" s="59"/>
      <x:c r="AK128" s="55"/>
      <x:c r="AL128" s="55"/>
      <x:c r="AM128" s="59"/>
      <x:c r="AN128" s="56"/>
      <x:c r="AO128" s="57"/>
      <x:c r="AP128" s="57"/>
      <x:c r="AQ128" s="57"/>
      <x:c r="AR128" s="57"/>
      <x:c r="AS128" s="65" t="str">
        <x:f>IF(COUNT(AQ128,AR128)&lt;2,"",IF(AR128=0,"",AQ128/AR128))</x:f>
      </x:c>
      <x:c r="AT128" s="65" t="str">
        <x:f>IF(COUNT(AQ128,AP128)&lt;2,"",IF(AP128=0,"",AQ128/AP128))</x:f>
      </x:c>
      <x:c r="AU128" s="67" t="str">
        <x:f>IF(COUNT(AQ128,AR128)&lt;2,"",AQ128-AR128)</x:f>
      </x:c>
      <x:c r="AV128" s="67" t="str">
        <x:f>IF(COUNT(AQ128,AP128)&lt;2,"",AQ128-AP128)</x:f>
      </x:c>
      <x:c r="AW128" s="67" t="str">
        <x:f>IF(COUNT(AO128,AS128)&lt;2,"",IF(AS128=0,"",AO128/AS128))</x:f>
      </x:c>
      <x:c r="AX128" s="67" t="str">
        <x:f>IF(COUNT(AW128,AR128)&lt;2,"",AW128-AR128)</x:f>
      </x:c>
      <x:c r="AY128" s="67" t="str">
        <x:f>IF(COUNT(AO128,AW128)&lt;2,"",AO128-AW128)</x:f>
      </x:c>
      <x:c r="AZ128" s="55"/>
      <x:c r="BA128" s="55"/>
      <x:c r="BB128" s="55"/>
      <x:c r="BC128" s="55"/>
      <x:c r="BD128" s="55"/>
      <x:c r="BE128" s="56"/>
      <x:c r="BF128" s="56"/>
      <x:c r="BG128" s="55"/>
    </x:row>
    <x:row r="129" ht="28" customHeight="1">
      <x:c r="A129" s="55"/>
      <x:c r="B129" s="55"/>
      <x:c r="C129" s="55"/>
      <x:c r="D129" s="55"/>
      <x:c r="E129" s="56"/>
      <x:c r="F129" s="57"/>
      <x:c r="G129" s="59"/>
      <x:c r="H129" s="59"/>
      <x:c r="I129" s="59"/>
      <x:c r="J129" s="59"/>
      <x:c r="K129" s="59"/>
      <x:c r="L129" s="59"/>
      <x:c r="M129" s="59"/>
      <x:c r="N129" s="59"/>
      <x:c r="O129" s="56"/>
      <x:c r="P129" s="56"/>
      <x:c r="Q129" s="56"/>
      <x:c r="R129" s="56"/>
      <x:c r="S129" s="55"/>
      <x:c r="T129" s="55"/>
      <x:c r="U129" s="56"/>
      <x:c r="V129" s="56"/>
      <x:c r="W129" s="55"/>
      <x:c r="X129" s="60"/>
      <x:c r="Y129" s="55"/>
      <x:c r="Z129" s="55"/>
      <x:c r="AA129" s="59"/>
      <x:c r="AB129" s="55"/>
      <x:c r="AC129" s="55"/>
      <x:c r="AD129" s="59"/>
      <x:c r="AE129" s="55"/>
      <x:c r="AF129" s="55"/>
      <x:c r="AG129" s="59"/>
      <x:c r="AH129" s="55"/>
      <x:c r="AI129" s="55"/>
      <x:c r="AJ129" s="59"/>
      <x:c r="AK129" s="55"/>
      <x:c r="AL129" s="55"/>
      <x:c r="AM129" s="59"/>
      <x:c r="AN129" s="56"/>
      <x:c r="AO129" s="57"/>
      <x:c r="AP129" s="57"/>
      <x:c r="AQ129" s="57"/>
      <x:c r="AR129" s="57"/>
      <x:c r="AS129" s="65" t="str">
        <x:f>IF(COUNT(AQ129,AR129)&lt;2,"",IF(AR129=0,"",AQ129/AR129))</x:f>
      </x:c>
      <x:c r="AT129" s="65" t="str">
        <x:f>IF(COUNT(AQ129,AP129)&lt;2,"",IF(AP129=0,"",AQ129/AP129))</x:f>
      </x:c>
      <x:c r="AU129" s="67" t="str">
        <x:f>IF(COUNT(AQ129,AR129)&lt;2,"",AQ129-AR129)</x:f>
      </x:c>
      <x:c r="AV129" s="67" t="str">
        <x:f>IF(COUNT(AQ129,AP129)&lt;2,"",AQ129-AP129)</x:f>
      </x:c>
      <x:c r="AW129" s="67" t="str">
        <x:f>IF(COUNT(AO129,AS129)&lt;2,"",IF(AS129=0,"",AO129/AS129))</x:f>
      </x:c>
      <x:c r="AX129" s="67" t="str">
        <x:f>IF(COUNT(AW129,AR129)&lt;2,"",AW129-AR129)</x:f>
      </x:c>
      <x:c r="AY129" s="67" t="str">
        <x:f>IF(COUNT(AO129,AW129)&lt;2,"",AO129-AW129)</x:f>
      </x:c>
      <x:c r="AZ129" s="55"/>
      <x:c r="BA129" s="55"/>
      <x:c r="BB129" s="55"/>
      <x:c r="BC129" s="55"/>
      <x:c r="BD129" s="55"/>
      <x:c r="BE129" s="56"/>
      <x:c r="BF129" s="56"/>
      <x:c r="BG129" s="55"/>
    </x:row>
    <x:row r="130" ht="28" customHeight="1">
      <x:c r="A130" s="55"/>
      <x:c r="B130" s="55"/>
      <x:c r="C130" s="55"/>
      <x:c r="D130" s="55"/>
      <x:c r="E130" s="56"/>
      <x:c r="F130" s="57"/>
      <x:c r="G130" s="59"/>
      <x:c r="H130" s="59"/>
      <x:c r="I130" s="59"/>
      <x:c r="J130" s="59"/>
      <x:c r="K130" s="59"/>
      <x:c r="L130" s="59"/>
      <x:c r="M130" s="59"/>
      <x:c r="N130" s="59"/>
      <x:c r="O130" s="56"/>
      <x:c r="P130" s="56"/>
      <x:c r="Q130" s="56"/>
      <x:c r="R130" s="56"/>
      <x:c r="S130" s="55"/>
      <x:c r="T130" s="55"/>
      <x:c r="U130" s="56"/>
      <x:c r="V130" s="56"/>
      <x:c r="W130" s="55"/>
      <x:c r="X130" s="60"/>
      <x:c r="Y130" s="55"/>
      <x:c r="Z130" s="55"/>
      <x:c r="AA130" s="59"/>
      <x:c r="AB130" s="55"/>
      <x:c r="AC130" s="55"/>
      <x:c r="AD130" s="59"/>
      <x:c r="AE130" s="55"/>
      <x:c r="AF130" s="55"/>
      <x:c r="AG130" s="59"/>
      <x:c r="AH130" s="55"/>
      <x:c r="AI130" s="55"/>
      <x:c r="AJ130" s="59"/>
      <x:c r="AK130" s="55"/>
      <x:c r="AL130" s="55"/>
      <x:c r="AM130" s="59"/>
      <x:c r="AN130" s="56"/>
      <x:c r="AO130" s="57"/>
      <x:c r="AP130" s="57"/>
      <x:c r="AQ130" s="57"/>
      <x:c r="AR130" s="57"/>
      <x:c r="AS130" s="65" t="str">
        <x:f>IF(COUNT(AQ130,AR130)&lt;2,"",IF(AR130=0,"",AQ130/AR130))</x:f>
      </x:c>
      <x:c r="AT130" s="65" t="str">
        <x:f>IF(COUNT(AQ130,AP130)&lt;2,"",IF(AP130=0,"",AQ130/AP130))</x:f>
      </x:c>
      <x:c r="AU130" s="67" t="str">
        <x:f>IF(COUNT(AQ130,AR130)&lt;2,"",AQ130-AR130)</x:f>
      </x:c>
      <x:c r="AV130" s="67" t="str">
        <x:f>IF(COUNT(AQ130,AP130)&lt;2,"",AQ130-AP130)</x:f>
      </x:c>
      <x:c r="AW130" s="67" t="str">
        <x:f>IF(COUNT(AO130,AS130)&lt;2,"",IF(AS130=0,"",AO130/AS130))</x:f>
      </x:c>
      <x:c r="AX130" s="67" t="str">
        <x:f>IF(COUNT(AW130,AR130)&lt;2,"",AW130-AR130)</x:f>
      </x:c>
      <x:c r="AY130" s="67" t="str">
        <x:f>IF(COUNT(AO130,AW130)&lt;2,"",AO130-AW130)</x:f>
      </x:c>
      <x:c r="AZ130" s="55"/>
      <x:c r="BA130" s="55"/>
      <x:c r="BB130" s="55"/>
      <x:c r="BC130" s="55"/>
      <x:c r="BD130" s="55"/>
      <x:c r="BE130" s="56"/>
      <x:c r="BF130" s="56"/>
      <x:c r="BG130" s="55"/>
    </x:row>
    <x:row r="131" ht="28" customHeight="1">
      <x:c r="A131" s="55"/>
      <x:c r="B131" s="55"/>
      <x:c r="C131" s="55"/>
      <x:c r="D131" s="55"/>
      <x:c r="E131" s="56"/>
      <x:c r="F131" s="57"/>
      <x:c r="G131" s="59"/>
      <x:c r="H131" s="59"/>
      <x:c r="I131" s="59"/>
      <x:c r="J131" s="59"/>
      <x:c r="K131" s="59"/>
      <x:c r="L131" s="59"/>
      <x:c r="M131" s="59"/>
      <x:c r="N131" s="59"/>
      <x:c r="O131" s="56"/>
      <x:c r="P131" s="56"/>
      <x:c r="Q131" s="56"/>
      <x:c r="R131" s="56"/>
      <x:c r="S131" s="55"/>
      <x:c r="T131" s="55"/>
      <x:c r="U131" s="56"/>
      <x:c r="V131" s="56"/>
      <x:c r="W131" s="55"/>
      <x:c r="X131" s="60"/>
      <x:c r="Y131" s="55"/>
      <x:c r="Z131" s="55"/>
      <x:c r="AA131" s="59"/>
      <x:c r="AB131" s="55"/>
      <x:c r="AC131" s="55"/>
      <x:c r="AD131" s="59"/>
      <x:c r="AE131" s="55"/>
      <x:c r="AF131" s="55"/>
      <x:c r="AG131" s="59"/>
      <x:c r="AH131" s="55"/>
      <x:c r="AI131" s="55"/>
      <x:c r="AJ131" s="59"/>
      <x:c r="AK131" s="55"/>
      <x:c r="AL131" s="55"/>
      <x:c r="AM131" s="59"/>
      <x:c r="AN131" s="56"/>
      <x:c r="AO131" s="57"/>
      <x:c r="AP131" s="57"/>
      <x:c r="AQ131" s="57"/>
      <x:c r="AR131" s="57"/>
      <x:c r="AS131" s="65" t="str">
        <x:f>IF(COUNT(AQ131,AR131)&lt;2,"",IF(AR131=0,"",AQ131/AR131))</x:f>
      </x:c>
      <x:c r="AT131" s="65" t="str">
        <x:f>IF(COUNT(AQ131,AP131)&lt;2,"",IF(AP131=0,"",AQ131/AP131))</x:f>
      </x:c>
      <x:c r="AU131" s="67" t="str">
        <x:f>IF(COUNT(AQ131,AR131)&lt;2,"",AQ131-AR131)</x:f>
      </x:c>
      <x:c r="AV131" s="67" t="str">
        <x:f>IF(COUNT(AQ131,AP131)&lt;2,"",AQ131-AP131)</x:f>
      </x:c>
      <x:c r="AW131" s="67" t="str">
        <x:f>IF(COUNT(AO131,AS131)&lt;2,"",IF(AS131=0,"",AO131/AS131))</x:f>
      </x:c>
      <x:c r="AX131" s="67" t="str">
        <x:f>IF(COUNT(AW131,AR131)&lt;2,"",AW131-AR131)</x:f>
      </x:c>
      <x:c r="AY131" s="67" t="str">
        <x:f>IF(COUNT(AO131,AW131)&lt;2,"",AO131-AW131)</x:f>
      </x:c>
      <x:c r="AZ131" s="55"/>
      <x:c r="BA131" s="55"/>
      <x:c r="BB131" s="55"/>
      <x:c r="BC131" s="55"/>
      <x:c r="BD131" s="55"/>
      <x:c r="BE131" s="56"/>
      <x:c r="BF131" s="56"/>
      <x:c r="BG131" s="55"/>
    </x:row>
    <x:row r="132" ht="28" customHeight="1">
      <x:c r="A132" s="55"/>
      <x:c r="B132" s="55"/>
      <x:c r="C132" s="55"/>
      <x:c r="D132" s="55"/>
      <x:c r="E132" s="56"/>
      <x:c r="F132" s="57"/>
      <x:c r="G132" s="59"/>
      <x:c r="H132" s="59"/>
      <x:c r="I132" s="59"/>
      <x:c r="J132" s="59"/>
      <x:c r="K132" s="59"/>
      <x:c r="L132" s="59"/>
      <x:c r="M132" s="59"/>
      <x:c r="N132" s="59"/>
      <x:c r="O132" s="56"/>
      <x:c r="P132" s="56"/>
      <x:c r="Q132" s="56"/>
      <x:c r="R132" s="56"/>
      <x:c r="S132" s="55"/>
      <x:c r="T132" s="55"/>
      <x:c r="U132" s="56"/>
      <x:c r="V132" s="56"/>
      <x:c r="W132" s="55"/>
      <x:c r="X132" s="60"/>
      <x:c r="Y132" s="55"/>
      <x:c r="Z132" s="55"/>
      <x:c r="AA132" s="59"/>
      <x:c r="AB132" s="55"/>
      <x:c r="AC132" s="55"/>
      <x:c r="AD132" s="59"/>
      <x:c r="AE132" s="55"/>
      <x:c r="AF132" s="55"/>
      <x:c r="AG132" s="59"/>
      <x:c r="AH132" s="55"/>
      <x:c r="AI132" s="55"/>
      <x:c r="AJ132" s="59"/>
      <x:c r="AK132" s="55"/>
      <x:c r="AL132" s="55"/>
      <x:c r="AM132" s="59"/>
      <x:c r="AN132" s="56"/>
      <x:c r="AO132" s="57"/>
      <x:c r="AP132" s="57"/>
      <x:c r="AQ132" s="57"/>
      <x:c r="AR132" s="57"/>
      <x:c r="AS132" s="65" t="str">
        <x:f>IF(COUNT(AQ132,AR132)&lt;2,"",IF(AR132=0,"",AQ132/AR132))</x:f>
      </x:c>
      <x:c r="AT132" s="65" t="str">
        <x:f>IF(COUNT(AQ132,AP132)&lt;2,"",IF(AP132=0,"",AQ132/AP132))</x:f>
      </x:c>
      <x:c r="AU132" s="67" t="str">
        <x:f>IF(COUNT(AQ132,AR132)&lt;2,"",AQ132-AR132)</x:f>
      </x:c>
      <x:c r="AV132" s="67" t="str">
        <x:f>IF(COUNT(AQ132,AP132)&lt;2,"",AQ132-AP132)</x:f>
      </x:c>
      <x:c r="AW132" s="67" t="str">
        <x:f>IF(COUNT(AO132,AS132)&lt;2,"",IF(AS132=0,"",AO132/AS132))</x:f>
      </x:c>
      <x:c r="AX132" s="67" t="str">
        <x:f>IF(COUNT(AW132,AR132)&lt;2,"",AW132-AR132)</x:f>
      </x:c>
      <x:c r="AY132" s="67" t="str">
        <x:f>IF(COUNT(AO132,AW132)&lt;2,"",AO132-AW132)</x:f>
      </x:c>
      <x:c r="AZ132" s="55"/>
      <x:c r="BA132" s="55"/>
      <x:c r="BB132" s="55"/>
      <x:c r="BC132" s="55"/>
      <x:c r="BD132" s="55"/>
      <x:c r="BE132" s="56"/>
      <x:c r="BF132" s="56"/>
      <x:c r="BG132" s="55"/>
    </x:row>
    <x:row r="133" ht="28" customHeight="1">
      <x:c r="A133" s="55"/>
      <x:c r="B133" s="55"/>
      <x:c r="C133" s="55"/>
      <x:c r="D133" s="55"/>
      <x:c r="E133" s="56"/>
      <x:c r="F133" s="57"/>
      <x:c r="G133" s="59"/>
      <x:c r="H133" s="59"/>
      <x:c r="I133" s="59"/>
      <x:c r="J133" s="59"/>
      <x:c r="K133" s="59"/>
      <x:c r="L133" s="59"/>
      <x:c r="M133" s="59"/>
      <x:c r="N133" s="59"/>
      <x:c r="O133" s="56"/>
      <x:c r="P133" s="56"/>
      <x:c r="Q133" s="56"/>
      <x:c r="R133" s="56"/>
      <x:c r="S133" s="55"/>
      <x:c r="T133" s="55"/>
      <x:c r="U133" s="56"/>
      <x:c r="V133" s="56"/>
      <x:c r="W133" s="55"/>
      <x:c r="X133" s="60"/>
      <x:c r="Y133" s="55"/>
      <x:c r="Z133" s="55"/>
      <x:c r="AA133" s="59"/>
      <x:c r="AB133" s="55"/>
      <x:c r="AC133" s="55"/>
      <x:c r="AD133" s="59"/>
      <x:c r="AE133" s="55"/>
      <x:c r="AF133" s="55"/>
      <x:c r="AG133" s="59"/>
      <x:c r="AH133" s="55"/>
      <x:c r="AI133" s="55"/>
      <x:c r="AJ133" s="59"/>
      <x:c r="AK133" s="55"/>
      <x:c r="AL133" s="55"/>
      <x:c r="AM133" s="59"/>
      <x:c r="AN133" s="56"/>
      <x:c r="AO133" s="57"/>
      <x:c r="AP133" s="57"/>
      <x:c r="AQ133" s="57"/>
      <x:c r="AR133" s="57"/>
      <x:c r="AS133" s="65" t="str">
        <x:f>IF(COUNT(AQ133,AR133)&lt;2,"",IF(AR133=0,"",AQ133/AR133))</x:f>
      </x:c>
      <x:c r="AT133" s="65" t="str">
        <x:f>IF(COUNT(AQ133,AP133)&lt;2,"",IF(AP133=0,"",AQ133/AP133))</x:f>
      </x:c>
      <x:c r="AU133" s="67" t="str">
        <x:f>IF(COUNT(AQ133,AR133)&lt;2,"",AQ133-AR133)</x:f>
      </x:c>
      <x:c r="AV133" s="67" t="str">
        <x:f>IF(COUNT(AQ133,AP133)&lt;2,"",AQ133-AP133)</x:f>
      </x:c>
      <x:c r="AW133" s="67" t="str">
        <x:f>IF(COUNT(AO133,AS133)&lt;2,"",IF(AS133=0,"",AO133/AS133))</x:f>
      </x:c>
      <x:c r="AX133" s="67" t="str">
        <x:f>IF(COUNT(AW133,AR133)&lt;2,"",AW133-AR133)</x:f>
      </x:c>
      <x:c r="AY133" s="67" t="str">
        <x:f>IF(COUNT(AO133,AW133)&lt;2,"",AO133-AW133)</x:f>
      </x:c>
      <x:c r="AZ133" s="55"/>
      <x:c r="BA133" s="55"/>
      <x:c r="BB133" s="55"/>
      <x:c r="BC133" s="55"/>
      <x:c r="BD133" s="55"/>
      <x:c r="BE133" s="56"/>
      <x:c r="BF133" s="56"/>
      <x:c r="BG133" s="55"/>
    </x:row>
    <x:row r="134" ht="28" customHeight="1">
      <x:c r="A134" s="55"/>
      <x:c r="B134" s="55"/>
      <x:c r="C134" s="55"/>
      <x:c r="D134" s="55"/>
      <x:c r="E134" s="56"/>
      <x:c r="F134" s="57"/>
      <x:c r="G134" s="59"/>
      <x:c r="H134" s="59"/>
      <x:c r="I134" s="59"/>
      <x:c r="J134" s="59"/>
      <x:c r="K134" s="59"/>
      <x:c r="L134" s="59"/>
      <x:c r="M134" s="59"/>
      <x:c r="N134" s="59"/>
      <x:c r="O134" s="56"/>
      <x:c r="P134" s="56"/>
      <x:c r="Q134" s="56"/>
      <x:c r="R134" s="56"/>
      <x:c r="S134" s="55"/>
      <x:c r="T134" s="55"/>
      <x:c r="U134" s="56"/>
      <x:c r="V134" s="56"/>
      <x:c r="W134" s="55"/>
      <x:c r="X134" s="60"/>
      <x:c r="Y134" s="55"/>
      <x:c r="Z134" s="55"/>
      <x:c r="AA134" s="59"/>
      <x:c r="AB134" s="55"/>
      <x:c r="AC134" s="55"/>
      <x:c r="AD134" s="59"/>
      <x:c r="AE134" s="55"/>
      <x:c r="AF134" s="55"/>
      <x:c r="AG134" s="59"/>
      <x:c r="AH134" s="55"/>
      <x:c r="AI134" s="55"/>
      <x:c r="AJ134" s="59"/>
      <x:c r="AK134" s="55"/>
      <x:c r="AL134" s="55"/>
      <x:c r="AM134" s="59"/>
      <x:c r="AN134" s="56"/>
      <x:c r="AO134" s="57"/>
      <x:c r="AP134" s="57"/>
      <x:c r="AQ134" s="57"/>
      <x:c r="AR134" s="57"/>
      <x:c r="AS134" s="65" t="str">
        <x:f>IF(COUNT(AQ134,AR134)&lt;2,"",IF(AR134=0,"",AQ134/AR134))</x:f>
      </x:c>
      <x:c r="AT134" s="65" t="str">
        <x:f>IF(COUNT(AQ134,AP134)&lt;2,"",IF(AP134=0,"",AQ134/AP134))</x:f>
      </x:c>
      <x:c r="AU134" s="67" t="str">
        <x:f>IF(COUNT(AQ134,AR134)&lt;2,"",AQ134-AR134)</x:f>
      </x:c>
      <x:c r="AV134" s="67" t="str">
        <x:f>IF(COUNT(AQ134,AP134)&lt;2,"",AQ134-AP134)</x:f>
      </x:c>
      <x:c r="AW134" s="67" t="str">
        <x:f>IF(COUNT(AO134,AS134)&lt;2,"",IF(AS134=0,"",AO134/AS134))</x:f>
      </x:c>
      <x:c r="AX134" s="67" t="str">
        <x:f>IF(COUNT(AW134,AR134)&lt;2,"",AW134-AR134)</x:f>
      </x:c>
      <x:c r="AY134" s="67" t="str">
        <x:f>IF(COUNT(AO134,AW134)&lt;2,"",AO134-AW134)</x:f>
      </x:c>
      <x:c r="AZ134" s="55"/>
      <x:c r="BA134" s="55"/>
      <x:c r="BB134" s="55"/>
      <x:c r="BC134" s="55"/>
      <x:c r="BD134" s="55"/>
      <x:c r="BE134" s="56"/>
      <x:c r="BF134" s="56"/>
      <x:c r="BG134" s="55"/>
    </x:row>
    <x:row r="135" ht="28" customHeight="1">
      <x:c r="A135" s="55"/>
      <x:c r="B135" s="55"/>
      <x:c r="C135" s="55"/>
      <x:c r="D135" s="55"/>
      <x:c r="E135" s="56"/>
      <x:c r="F135" s="57"/>
      <x:c r="G135" s="59"/>
      <x:c r="H135" s="59"/>
      <x:c r="I135" s="59"/>
      <x:c r="J135" s="59"/>
      <x:c r="K135" s="59"/>
      <x:c r="L135" s="59"/>
      <x:c r="M135" s="59"/>
      <x:c r="N135" s="59"/>
      <x:c r="O135" s="56"/>
      <x:c r="P135" s="56"/>
      <x:c r="Q135" s="56"/>
      <x:c r="R135" s="56"/>
      <x:c r="S135" s="55"/>
      <x:c r="T135" s="55"/>
      <x:c r="U135" s="56"/>
      <x:c r="V135" s="56"/>
      <x:c r="W135" s="55"/>
      <x:c r="X135" s="60"/>
      <x:c r="Y135" s="55"/>
      <x:c r="Z135" s="55"/>
      <x:c r="AA135" s="59"/>
      <x:c r="AB135" s="55"/>
      <x:c r="AC135" s="55"/>
      <x:c r="AD135" s="59"/>
      <x:c r="AE135" s="55"/>
      <x:c r="AF135" s="55"/>
      <x:c r="AG135" s="59"/>
      <x:c r="AH135" s="55"/>
      <x:c r="AI135" s="55"/>
      <x:c r="AJ135" s="59"/>
      <x:c r="AK135" s="55"/>
      <x:c r="AL135" s="55"/>
      <x:c r="AM135" s="59"/>
      <x:c r="AN135" s="56"/>
      <x:c r="AO135" s="57"/>
      <x:c r="AP135" s="57"/>
      <x:c r="AQ135" s="57"/>
      <x:c r="AR135" s="57"/>
      <x:c r="AS135" s="65" t="str">
        <x:f>IF(COUNT(AQ135,AR135)&lt;2,"",IF(AR135=0,"",AQ135/AR135))</x:f>
      </x:c>
      <x:c r="AT135" s="65" t="str">
        <x:f>IF(COUNT(AQ135,AP135)&lt;2,"",IF(AP135=0,"",AQ135/AP135))</x:f>
      </x:c>
      <x:c r="AU135" s="67" t="str">
        <x:f>IF(COUNT(AQ135,AR135)&lt;2,"",AQ135-AR135)</x:f>
      </x:c>
      <x:c r="AV135" s="67" t="str">
        <x:f>IF(COUNT(AQ135,AP135)&lt;2,"",AQ135-AP135)</x:f>
      </x:c>
      <x:c r="AW135" s="67" t="str">
        <x:f>IF(COUNT(AO135,AS135)&lt;2,"",IF(AS135=0,"",AO135/AS135))</x:f>
      </x:c>
      <x:c r="AX135" s="67" t="str">
        <x:f>IF(COUNT(AW135,AR135)&lt;2,"",AW135-AR135)</x:f>
      </x:c>
      <x:c r="AY135" s="67" t="str">
        <x:f>IF(COUNT(AO135,AW135)&lt;2,"",AO135-AW135)</x:f>
      </x:c>
      <x:c r="AZ135" s="55"/>
      <x:c r="BA135" s="55"/>
      <x:c r="BB135" s="55"/>
      <x:c r="BC135" s="55"/>
      <x:c r="BD135" s="55"/>
      <x:c r="BE135" s="56"/>
      <x:c r="BF135" s="56"/>
      <x:c r="BG135" s="55"/>
    </x:row>
    <x:row r="136" ht="28" customHeight="1">
      <x:c r="A136" s="55"/>
      <x:c r="B136" s="55"/>
      <x:c r="C136" s="55"/>
      <x:c r="D136" s="55"/>
      <x:c r="E136" s="56"/>
      <x:c r="F136" s="57"/>
      <x:c r="G136" s="59"/>
      <x:c r="H136" s="59"/>
      <x:c r="I136" s="59"/>
      <x:c r="J136" s="59"/>
      <x:c r="K136" s="59"/>
      <x:c r="L136" s="59"/>
      <x:c r="M136" s="59"/>
      <x:c r="N136" s="59"/>
      <x:c r="O136" s="56"/>
      <x:c r="P136" s="56"/>
      <x:c r="Q136" s="56"/>
      <x:c r="R136" s="56"/>
      <x:c r="S136" s="55"/>
      <x:c r="T136" s="55"/>
      <x:c r="U136" s="56"/>
      <x:c r="V136" s="56"/>
      <x:c r="W136" s="55"/>
      <x:c r="X136" s="60"/>
      <x:c r="Y136" s="55"/>
      <x:c r="Z136" s="55"/>
      <x:c r="AA136" s="59"/>
      <x:c r="AB136" s="55"/>
      <x:c r="AC136" s="55"/>
      <x:c r="AD136" s="59"/>
      <x:c r="AE136" s="55"/>
      <x:c r="AF136" s="55"/>
      <x:c r="AG136" s="59"/>
      <x:c r="AH136" s="55"/>
      <x:c r="AI136" s="55"/>
      <x:c r="AJ136" s="59"/>
      <x:c r="AK136" s="55"/>
      <x:c r="AL136" s="55"/>
      <x:c r="AM136" s="59"/>
      <x:c r="AN136" s="56"/>
      <x:c r="AO136" s="57"/>
      <x:c r="AP136" s="57"/>
      <x:c r="AQ136" s="57"/>
      <x:c r="AR136" s="57"/>
      <x:c r="AS136" s="65" t="str">
        <x:f>IF(COUNT(AQ136,AR136)&lt;2,"",IF(AR136=0,"",AQ136/AR136))</x:f>
      </x:c>
      <x:c r="AT136" s="65" t="str">
        <x:f>IF(COUNT(AQ136,AP136)&lt;2,"",IF(AP136=0,"",AQ136/AP136))</x:f>
      </x:c>
      <x:c r="AU136" s="67" t="str">
        <x:f>IF(COUNT(AQ136,AR136)&lt;2,"",AQ136-AR136)</x:f>
      </x:c>
      <x:c r="AV136" s="67" t="str">
        <x:f>IF(COUNT(AQ136,AP136)&lt;2,"",AQ136-AP136)</x:f>
      </x:c>
      <x:c r="AW136" s="67" t="str">
        <x:f>IF(COUNT(AO136,AS136)&lt;2,"",IF(AS136=0,"",AO136/AS136))</x:f>
      </x:c>
      <x:c r="AX136" s="67" t="str">
        <x:f>IF(COUNT(AW136,AR136)&lt;2,"",AW136-AR136)</x:f>
      </x:c>
      <x:c r="AY136" s="67" t="str">
        <x:f>IF(COUNT(AO136,AW136)&lt;2,"",AO136-AW136)</x:f>
      </x:c>
      <x:c r="AZ136" s="55"/>
      <x:c r="BA136" s="55"/>
      <x:c r="BB136" s="55"/>
      <x:c r="BC136" s="55"/>
      <x:c r="BD136" s="55"/>
      <x:c r="BE136" s="56"/>
      <x:c r="BF136" s="56"/>
      <x:c r="BG136" s="55"/>
    </x:row>
    <x:row r="137" ht="28" customHeight="1">
      <x:c r="A137" s="55"/>
      <x:c r="B137" s="55"/>
      <x:c r="C137" s="55"/>
      <x:c r="D137" s="55"/>
      <x:c r="E137" s="56"/>
      <x:c r="F137" s="57"/>
      <x:c r="G137" s="59"/>
      <x:c r="H137" s="59"/>
      <x:c r="I137" s="59"/>
      <x:c r="J137" s="59"/>
      <x:c r="K137" s="59"/>
      <x:c r="L137" s="59"/>
      <x:c r="M137" s="59"/>
      <x:c r="N137" s="59"/>
      <x:c r="O137" s="56"/>
      <x:c r="P137" s="56"/>
      <x:c r="Q137" s="56"/>
      <x:c r="R137" s="56"/>
      <x:c r="S137" s="55"/>
      <x:c r="T137" s="55"/>
      <x:c r="U137" s="56"/>
      <x:c r="V137" s="56"/>
      <x:c r="W137" s="55"/>
      <x:c r="X137" s="60"/>
      <x:c r="Y137" s="55"/>
      <x:c r="Z137" s="55"/>
      <x:c r="AA137" s="59"/>
      <x:c r="AB137" s="55"/>
      <x:c r="AC137" s="55"/>
      <x:c r="AD137" s="59"/>
      <x:c r="AE137" s="55"/>
      <x:c r="AF137" s="55"/>
      <x:c r="AG137" s="59"/>
      <x:c r="AH137" s="55"/>
      <x:c r="AI137" s="55"/>
      <x:c r="AJ137" s="59"/>
      <x:c r="AK137" s="55"/>
      <x:c r="AL137" s="55"/>
      <x:c r="AM137" s="59"/>
      <x:c r="AN137" s="56"/>
      <x:c r="AO137" s="57"/>
      <x:c r="AP137" s="57"/>
      <x:c r="AQ137" s="57"/>
      <x:c r="AR137" s="57"/>
      <x:c r="AS137" s="65" t="str">
        <x:f>IF(COUNT(AQ137,AR137)&lt;2,"",IF(AR137=0,"",AQ137/AR137))</x:f>
      </x:c>
      <x:c r="AT137" s="65" t="str">
        <x:f>IF(COUNT(AQ137,AP137)&lt;2,"",IF(AP137=0,"",AQ137/AP137))</x:f>
      </x:c>
      <x:c r="AU137" s="67" t="str">
        <x:f>IF(COUNT(AQ137,AR137)&lt;2,"",AQ137-AR137)</x:f>
      </x:c>
      <x:c r="AV137" s="67" t="str">
        <x:f>IF(COUNT(AQ137,AP137)&lt;2,"",AQ137-AP137)</x:f>
      </x:c>
      <x:c r="AW137" s="67" t="str">
        <x:f>IF(COUNT(AO137,AS137)&lt;2,"",IF(AS137=0,"",AO137/AS137))</x:f>
      </x:c>
      <x:c r="AX137" s="67" t="str">
        <x:f>IF(COUNT(AW137,AR137)&lt;2,"",AW137-AR137)</x:f>
      </x:c>
      <x:c r="AY137" s="67" t="str">
        <x:f>IF(COUNT(AO137,AW137)&lt;2,"",AO137-AW137)</x:f>
      </x:c>
      <x:c r="AZ137" s="55"/>
      <x:c r="BA137" s="55"/>
      <x:c r="BB137" s="55"/>
      <x:c r="BC137" s="55"/>
      <x:c r="BD137" s="55"/>
      <x:c r="BE137" s="56"/>
      <x:c r="BF137" s="56"/>
      <x:c r="BG137" s="55"/>
    </x:row>
    <x:row r="138" ht="28" customHeight="1">
      <x:c r="A138" s="55"/>
      <x:c r="B138" s="55"/>
      <x:c r="C138" s="55"/>
      <x:c r="D138" s="55"/>
      <x:c r="E138" s="56"/>
      <x:c r="F138" s="57"/>
      <x:c r="G138" s="59"/>
      <x:c r="H138" s="59"/>
      <x:c r="I138" s="59"/>
      <x:c r="J138" s="59"/>
      <x:c r="K138" s="59"/>
      <x:c r="L138" s="59"/>
      <x:c r="M138" s="59"/>
      <x:c r="N138" s="59"/>
      <x:c r="O138" s="56"/>
      <x:c r="P138" s="56"/>
      <x:c r="Q138" s="56"/>
      <x:c r="R138" s="56"/>
      <x:c r="S138" s="55"/>
      <x:c r="T138" s="55"/>
      <x:c r="U138" s="56"/>
      <x:c r="V138" s="56"/>
      <x:c r="W138" s="55"/>
      <x:c r="X138" s="60"/>
      <x:c r="Y138" s="55"/>
      <x:c r="Z138" s="55"/>
      <x:c r="AA138" s="59"/>
      <x:c r="AB138" s="55"/>
      <x:c r="AC138" s="55"/>
      <x:c r="AD138" s="59"/>
      <x:c r="AE138" s="55"/>
      <x:c r="AF138" s="55"/>
      <x:c r="AG138" s="59"/>
      <x:c r="AH138" s="55"/>
      <x:c r="AI138" s="55"/>
      <x:c r="AJ138" s="59"/>
      <x:c r="AK138" s="55"/>
      <x:c r="AL138" s="55"/>
      <x:c r="AM138" s="59"/>
      <x:c r="AN138" s="56"/>
      <x:c r="AO138" s="57"/>
      <x:c r="AP138" s="57"/>
      <x:c r="AQ138" s="57"/>
      <x:c r="AR138" s="57"/>
      <x:c r="AS138" s="65" t="str">
        <x:f>IF(COUNT(AQ138,AR138)&lt;2,"",IF(AR138=0,"",AQ138/AR138))</x:f>
      </x:c>
      <x:c r="AT138" s="65" t="str">
        <x:f>IF(COUNT(AQ138,AP138)&lt;2,"",IF(AP138=0,"",AQ138/AP138))</x:f>
      </x:c>
      <x:c r="AU138" s="67" t="str">
        <x:f>IF(COUNT(AQ138,AR138)&lt;2,"",AQ138-AR138)</x:f>
      </x:c>
      <x:c r="AV138" s="67" t="str">
        <x:f>IF(COUNT(AQ138,AP138)&lt;2,"",AQ138-AP138)</x:f>
      </x:c>
      <x:c r="AW138" s="67" t="str">
        <x:f>IF(COUNT(AO138,AS138)&lt;2,"",IF(AS138=0,"",AO138/AS138))</x:f>
      </x:c>
      <x:c r="AX138" s="67" t="str">
        <x:f>IF(COUNT(AW138,AR138)&lt;2,"",AW138-AR138)</x:f>
      </x:c>
      <x:c r="AY138" s="67" t="str">
        <x:f>IF(COUNT(AO138,AW138)&lt;2,"",AO138-AW138)</x:f>
      </x:c>
      <x:c r="AZ138" s="55"/>
      <x:c r="BA138" s="55"/>
      <x:c r="BB138" s="55"/>
      <x:c r="BC138" s="55"/>
      <x:c r="BD138" s="55"/>
      <x:c r="BE138" s="56"/>
      <x:c r="BF138" s="56"/>
      <x:c r="BG138" s="55"/>
    </x:row>
    <x:row r="139" ht="28" customHeight="1">
      <x:c r="A139" s="55"/>
      <x:c r="B139" s="55"/>
      <x:c r="C139" s="55"/>
      <x:c r="D139" s="55"/>
      <x:c r="E139" s="56"/>
      <x:c r="F139" s="57"/>
      <x:c r="G139" s="59"/>
      <x:c r="H139" s="59"/>
      <x:c r="I139" s="59"/>
      <x:c r="J139" s="59"/>
      <x:c r="K139" s="59"/>
      <x:c r="L139" s="59"/>
      <x:c r="M139" s="59"/>
      <x:c r="N139" s="59"/>
      <x:c r="O139" s="56"/>
      <x:c r="P139" s="56"/>
      <x:c r="Q139" s="56"/>
      <x:c r="R139" s="56"/>
      <x:c r="S139" s="55"/>
      <x:c r="T139" s="55"/>
      <x:c r="U139" s="56"/>
      <x:c r="V139" s="56"/>
      <x:c r="W139" s="55"/>
      <x:c r="X139" s="60"/>
      <x:c r="Y139" s="55"/>
      <x:c r="Z139" s="55"/>
      <x:c r="AA139" s="59"/>
      <x:c r="AB139" s="55"/>
      <x:c r="AC139" s="55"/>
      <x:c r="AD139" s="59"/>
      <x:c r="AE139" s="55"/>
      <x:c r="AF139" s="55"/>
      <x:c r="AG139" s="59"/>
      <x:c r="AH139" s="55"/>
      <x:c r="AI139" s="55"/>
      <x:c r="AJ139" s="59"/>
      <x:c r="AK139" s="55"/>
      <x:c r="AL139" s="55"/>
      <x:c r="AM139" s="59"/>
      <x:c r="AN139" s="56"/>
      <x:c r="AO139" s="57"/>
      <x:c r="AP139" s="57"/>
      <x:c r="AQ139" s="57"/>
      <x:c r="AR139" s="57"/>
      <x:c r="AS139" s="65" t="str">
        <x:f>IF(COUNT(AQ139,AR139)&lt;2,"",IF(AR139=0,"",AQ139/AR139))</x:f>
      </x:c>
      <x:c r="AT139" s="65" t="str">
        <x:f>IF(COUNT(AQ139,AP139)&lt;2,"",IF(AP139=0,"",AQ139/AP139))</x:f>
      </x:c>
      <x:c r="AU139" s="67" t="str">
        <x:f>IF(COUNT(AQ139,AR139)&lt;2,"",AQ139-AR139)</x:f>
      </x:c>
      <x:c r="AV139" s="67" t="str">
        <x:f>IF(COUNT(AQ139,AP139)&lt;2,"",AQ139-AP139)</x:f>
      </x:c>
      <x:c r="AW139" s="67" t="str">
        <x:f>IF(COUNT(AO139,AS139)&lt;2,"",IF(AS139=0,"",AO139/AS139))</x:f>
      </x:c>
      <x:c r="AX139" s="67" t="str">
        <x:f>IF(COUNT(AW139,AR139)&lt;2,"",AW139-AR139)</x:f>
      </x:c>
      <x:c r="AY139" s="67" t="str">
        <x:f>IF(COUNT(AO139,AW139)&lt;2,"",AO139-AW139)</x:f>
      </x:c>
      <x:c r="AZ139" s="55"/>
      <x:c r="BA139" s="55"/>
      <x:c r="BB139" s="55"/>
      <x:c r="BC139" s="55"/>
      <x:c r="BD139" s="55"/>
      <x:c r="BE139" s="56"/>
      <x:c r="BF139" s="56"/>
      <x:c r="BG139" s="55"/>
    </x:row>
    <x:row r="140" ht="28" customHeight="1">
      <x:c r="A140" s="55"/>
      <x:c r="B140" s="55"/>
      <x:c r="C140" s="55"/>
      <x:c r="D140" s="55"/>
      <x:c r="E140" s="56"/>
      <x:c r="F140" s="57"/>
      <x:c r="G140" s="59"/>
      <x:c r="H140" s="59"/>
      <x:c r="I140" s="59"/>
      <x:c r="J140" s="59"/>
      <x:c r="K140" s="59"/>
      <x:c r="L140" s="59"/>
      <x:c r="M140" s="59"/>
      <x:c r="N140" s="59"/>
      <x:c r="O140" s="56"/>
      <x:c r="P140" s="56"/>
      <x:c r="Q140" s="56"/>
      <x:c r="R140" s="56"/>
      <x:c r="S140" s="55"/>
      <x:c r="T140" s="55"/>
      <x:c r="U140" s="56"/>
      <x:c r="V140" s="56"/>
      <x:c r="W140" s="55"/>
      <x:c r="X140" s="60"/>
      <x:c r="Y140" s="55"/>
      <x:c r="Z140" s="55"/>
      <x:c r="AA140" s="59"/>
      <x:c r="AB140" s="55"/>
      <x:c r="AC140" s="55"/>
      <x:c r="AD140" s="59"/>
      <x:c r="AE140" s="55"/>
      <x:c r="AF140" s="55"/>
      <x:c r="AG140" s="59"/>
      <x:c r="AH140" s="55"/>
      <x:c r="AI140" s="55"/>
      <x:c r="AJ140" s="59"/>
      <x:c r="AK140" s="55"/>
      <x:c r="AL140" s="55"/>
      <x:c r="AM140" s="59"/>
      <x:c r="AN140" s="56"/>
      <x:c r="AO140" s="57"/>
      <x:c r="AP140" s="57"/>
      <x:c r="AQ140" s="57"/>
      <x:c r="AR140" s="57"/>
      <x:c r="AS140" s="65" t="str">
        <x:f>IF(COUNT(AQ140,AR140)&lt;2,"",IF(AR140=0,"",AQ140/AR140))</x:f>
      </x:c>
      <x:c r="AT140" s="65" t="str">
        <x:f>IF(COUNT(AQ140,AP140)&lt;2,"",IF(AP140=0,"",AQ140/AP140))</x:f>
      </x:c>
      <x:c r="AU140" s="67" t="str">
        <x:f>IF(COUNT(AQ140,AR140)&lt;2,"",AQ140-AR140)</x:f>
      </x:c>
      <x:c r="AV140" s="67" t="str">
        <x:f>IF(COUNT(AQ140,AP140)&lt;2,"",AQ140-AP140)</x:f>
      </x:c>
      <x:c r="AW140" s="67" t="str">
        <x:f>IF(COUNT(AO140,AS140)&lt;2,"",IF(AS140=0,"",AO140/AS140))</x:f>
      </x:c>
      <x:c r="AX140" s="67" t="str">
        <x:f>IF(COUNT(AW140,AR140)&lt;2,"",AW140-AR140)</x:f>
      </x:c>
      <x:c r="AY140" s="67" t="str">
        <x:f>IF(COUNT(AO140,AW140)&lt;2,"",AO140-AW140)</x:f>
      </x:c>
      <x:c r="AZ140" s="55"/>
      <x:c r="BA140" s="55"/>
      <x:c r="BB140" s="55"/>
      <x:c r="BC140" s="55"/>
      <x:c r="BD140" s="55"/>
      <x:c r="BE140" s="56"/>
      <x:c r="BF140" s="56"/>
      <x:c r="BG140" s="55"/>
    </x:row>
    <x:row r="141" ht="28" customHeight="1">
      <x:c r="A141" s="55"/>
      <x:c r="B141" s="55"/>
      <x:c r="C141" s="55"/>
      <x:c r="D141" s="55"/>
      <x:c r="E141" s="56"/>
      <x:c r="F141" s="57"/>
      <x:c r="G141" s="59"/>
      <x:c r="H141" s="59"/>
      <x:c r="I141" s="59"/>
      <x:c r="J141" s="59"/>
      <x:c r="K141" s="59"/>
      <x:c r="L141" s="59"/>
      <x:c r="M141" s="59"/>
      <x:c r="N141" s="59"/>
      <x:c r="O141" s="56"/>
      <x:c r="P141" s="56"/>
      <x:c r="Q141" s="56"/>
      <x:c r="R141" s="56"/>
      <x:c r="S141" s="55"/>
      <x:c r="T141" s="55"/>
      <x:c r="U141" s="56"/>
      <x:c r="V141" s="56"/>
      <x:c r="W141" s="55"/>
      <x:c r="X141" s="60"/>
      <x:c r="Y141" s="55"/>
      <x:c r="Z141" s="55"/>
      <x:c r="AA141" s="59"/>
      <x:c r="AB141" s="55"/>
      <x:c r="AC141" s="55"/>
      <x:c r="AD141" s="59"/>
      <x:c r="AE141" s="55"/>
      <x:c r="AF141" s="55"/>
      <x:c r="AG141" s="59"/>
      <x:c r="AH141" s="55"/>
      <x:c r="AI141" s="55"/>
      <x:c r="AJ141" s="59"/>
      <x:c r="AK141" s="55"/>
      <x:c r="AL141" s="55"/>
      <x:c r="AM141" s="59"/>
      <x:c r="AN141" s="56"/>
      <x:c r="AO141" s="57"/>
      <x:c r="AP141" s="57"/>
      <x:c r="AQ141" s="57"/>
      <x:c r="AR141" s="57"/>
      <x:c r="AS141" s="65" t="str">
        <x:f>IF(COUNT(AQ141,AR141)&lt;2,"",IF(AR141=0,"",AQ141/AR141))</x:f>
      </x:c>
      <x:c r="AT141" s="65" t="str">
        <x:f>IF(COUNT(AQ141,AP141)&lt;2,"",IF(AP141=0,"",AQ141/AP141))</x:f>
      </x:c>
      <x:c r="AU141" s="67" t="str">
        <x:f>IF(COUNT(AQ141,AR141)&lt;2,"",AQ141-AR141)</x:f>
      </x:c>
      <x:c r="AV141" s="67" t="str">
        <x:f>IF(COUNT(AQ141,AP141)&lt;2,"",AQ141-AP141)</x:f>
      </x:c>
      <x:c r="AW141" s="67" t="str">
        <x:f>IF(COUNT(AO141,AS141)&lt;2,"",IF(AS141=0,"",AO141/AS141))</x:f>
      </x:c>
      <x:c r="AX141" s="67" t="str">
        <x:f>IF(COUNT(AW141,AR141)&lt;2,"",AW141-AR141)</x:f>
      </x:c>
      <x:c r="AY141" s="67" t="str">
        <x:f>IF(COUNT(AO141,AW141)&lt;2,"",AO141-AW141)</x:f>
      </x:c>
      <x:c r="AZ141" s="55"/>
      <x:c r="BA141" s="55"/>
      <x:c r="BB141" s="55"/>
      <x:c r="BC141" s="55"/>
      <x:c r="BD141" s="55"/>
      <x:c r="BE141" s="56"/>
      <x:c r="BF141" s="56"/>
      <x:c r="BG141" s="55"/>
    </x:row>
    <x:row r="142" ht="28" customHeight="1">
      <x:c r="A142" s="55"/>
      <x:c r="B142" s="55"/>
      <x:c r="C142" s="55"/>
      <x:c r="D142" s="55"/>
      <x:c r="E142" s="56"/>
      <x:c r="F142" s="57"/>
      <x:c r="G142" s="59"/>
      <x:c r="H142" s="59"/>
      <x:c r="I142" s="59"/>
      <x:c r="J142" s="59"/>
      <x:c r="K142" s="59"/>
      <x:c r="L142" s="59"/>
      <x:c r="M142" s="59"/>
      <x:c r="N142" s="59"/>
      <x:c r="O142" s="56"/>
      <x:c r="P142" s="56"/>
      <x:c r="Q142" s="56"/>
      <x:c r="R142" s="56"/>
      <x:c r="S142" s="55"/>
      <x:c r="T142" s="55"/>
      <x:c r="U142" s="56"/>
      <x:c r="V142" s="56"/>
      <x:c r="W142" s="55"/>
      <x:c r="X142" s="60"/>
      <x:c r="Y142" s="55"/>
      <x:c r="Z142" s="55"/>
      <x:c r="AA142" s="59"/>
      <x:c r="AB142" s="55"/>
      <x:c r="AC142" s="55"/>
      <x:c r="AD142" s="59"/>
      <x:c r="AE142" s="55"/>
      <x:c r="AF142" s="55"/>
      <x:c r="AG142" s="59"/>
      <x:c r="AH142" s="55"/>
      <x:c r="AI142" s="55"/>
      <x:c r="AJ142" s="59"/>
      <x:c r="AK142" s="55"/>
      <x:c r="AL142" s="55"/>
      <x:c r="AM142" s="59"/>
      <x:c r="AN142" s="56"/>
      <x:c r="AO142" s="57"/>
      <x:c r="AP142" s="57"/>
      <x:c r="AQ142" s="57"/>
      <x:c r="AR142" s="57"/>
      <x:c r="AS142" s="65" t="str">
        <x:f>IF(COUNT(AQ142,AR142)&lt;2,"",IF(AR142=0,"",AQ142/AR142))</x:f>
      </x:c>
      <x:c r="AT142" s="65" t="str">
        <x:f>IF(COUNT(AQ142,AP142)&lt;2,"",IF(AP142=0,"",AQ142/AP142))</x:f>
      </x:c>
      <x:c r="AU142" s="67" t="str">
        <x:f>IF(COUNT(AQ142,AR142)&lt;2,"",AQ142-AR142)</x:f>
      </x:c>
      <x:c r="AV142" s="67" t="str">
        <x:f>IF(COUNT(AQ142,AP142)&lt;2,"",AQ142-AP142)</x:f>
      </x:c>
      <x:c r="AW142" s="67" t="str">
        <x:f>IF(COUNT(AO142,AS142)&lt;2,"",IF(AS142=0,"",AO142/AS142))</x:f>
      </x:c>
      <x:c r="AX142" s="67" t="str">
        <x:f>IF(COUNT(AW142,AR142)&lt;2,"",AW142-AR142)</x:f>
      </x:c>
      <x:c r="AY142" s="67" t="str">
        <x:f>IF(COUNT(AO142,AW142)&lt;2,"",AO142-AW142)</x:f>
      </x:c>
      <x:c r="AZ142" s="55"/>
      <x:c r="BA142" s="55"/>
      <x:c r="BB142" s="55"/>
      <x:c r="BC142" s="55"/>
      <x:c r="BD142" s="55"/>
      <x:c r="BE142" s="56"/>
      <x:c r="BF142" s="56"/>
      <x:c r="BG142" s="55"/>
    </x:row>
    <x:row r="143" ht="28" customHeight="1">
      <x:c r="A143" s="55"/>
      <x:c r="B143" s="55"/>
      <x:c r="C143" s="55"/>
      <x:c r="D143" s="55"/>
      <x:c r="E143" s="56"/>
      <x:c r="F143" s="57"/>
      <x:c r="G143" s="59"/>
      <x:c r="H143" s="59"/>
      <x:c r="I143" s="59"/>
      <x:c r="J143" s="59"/>
      <x:c r="K143" s="59"/>
      <x:c r="L143" s="59"/>
      <x:c r="M143" s="59"/>
      <x:c r="N143" s="59"/>
      <x:c r="O143" s="56"/>
      <x:c r="P143" s="56"/>
      <x:c r="Q143" s="56"/>
      <x:c r="R143" s="56"/>
      <x:c r="S143" s="55"/>
      <x:c r="T143" s="55"/>
      <x:c r="U143" s="56"/>
      <x:c r="V143" s="56"/>
      <x:c r="W143" s="55"/>
      <x:c r="X143" s="60"/>
      <x:c r="Y143" s="55"/>
      <x:c r="Z143" s="55"/>
      <x:c r="AA143" s="59"/>
      <x:c r="AB143" s="55"/>
      <x:c r="AC143" s="55"/>
      <x:c r="AD143" s="59"/>
      <x:c r="AE143" s="55"/>
      <x:c r="AF143" s="55"/>
      <x:c r="AG143" s="59"/>
      <x:c r="AH143" s="55"/>
      <x:c r="AI143" s="55"/>
      <x:c r="AJ143" s="59"/>
      <x:c r="AK143" s="55"/>
      <x:c r="AL143" s="55"/>
      <x:c r="AM143" s="59"/>
      <x:c r="AN143" s="56"/>
      <x:c r="AO143" s="57"/>
      <x:c r="AP143" s="57"/>
      <x:c r="AQ143" s="57"/>
      <x:c r="AR143" s="57"/>
      <x:c r="AS143" s="65" t="str">
        <x:f>IF(COUNT(AQ143,AR143)&lt;2,"",IF(AR143=0,"",AQ143/AR143))</x:f>
      </x:c>
      <x:c r="AT143" s="65" t="str">
        <x:f>IF(COUNT(AQ143,AP143)&lt;2,"",IF(AP143=0,"",AQ143/AP143))</x:f>
      </x:c>
      <x:c r="AU143" s="67" t="str">
        <x:f>IF(COUNT(AQ143,AR143)&lt;2,"",AQ143-AR143)</x:f>
      </x:c>
      <x:c r="AV143" s="67" t="str">
        <x:f>IF(COUNT(AQ143,AP143)&lt;2,"",AQ143-AP143)</x:f>
      </x:c>
      <x:c r="AW143" s="67" t="str">
        <x:f>IF(COUNT(AO143,AS143)&lt;2,"",IF(AS143=0,"",AO143/AS143))</x:f>
      </x:c>
      <x:c r="AX143" s="67" t="str">
        <x:f>IF(COUNT(AW143,AR143)&lt;2,"",AW143-AR143)</x:f>
      </x:c>
      <x:c r="AY143" s="67" t="str">
        <x:f>IF(COUNT(AO143,AW143)&lt;2,"",AO143-AW143)</x:f>
      </x:c>
      <x:c r="AZ143" s="55"/>
      <x:c r="BA143" s="55"/>
      <x:c r="BB143" s="55"/>
      <x:c r="BC143" s="55"/>
      <x:c r="BD143" s="55"/>
      <x:c r="BE143" s="56"/>
      <x:c r="BF143" s="56"/>
      <x:c r="BG143" s="55"/>
    </x:row>
    <x:row r="144" ht="28" customHeight="1">
      <x:c r="A144" s="55"/>
      <x:c r="B144" s="55"/>
      <x:c r="C144" s="55"/>
      <x:c r="D144" s="55"/>
      <x:c r="E144" s="56"/>
      <x:c r="F144" s="57"/>
      <x:c r="G144" s="59"/>
      <x:c r="H144" s="59"/>
      <x:c r="I144" s="59"/>
      <x:c r="J144" s="59"/>
      <x:c r="K144" s="59"/>
      <x:c r="L144" s="59"/>
      <x:c r="M144" s="59"/>
      <x:c r="N144" s="59"/>
      <x:c r="O144" s="56"/>
      <x:c r="P144" s="56"/>
      <x:c r="Q144" s="56"/>
      <x:c r="R144" s="56"/>
      <x:c r="S144" s="55"/>
      <x:c r="T144" s="55"/>
      <x:c r="U144" s="56"/>
      <x:c r="V144" s="56"/>
      <x:c r="W144" s="55"/>
      <x:c r="X144" s="60"/>
      <x:c r="Y144" s="55"/>
      <x:c r="Z144" s="55"/>
      <x:c r="AA144" s="59"/>
      <x:c r="AB144" s="55"/>
      <x:c r="AC144" s="55"/>
      <x:c r="AD144" s="59"/>
      <x:c r="AE144" s="55"/>
      <x:c r="AF144" s="55"/>
      <x:c r="AG144" s="59"/>
      <x:c r="AH144" s="55"/>
      <x:c r="AI144" s="55"/>
      <x:c r="AJ144" s="59"/>
      <x:c r="AK144" s="55"/>
      <x:c r="AL144" s="55"/>
      <x:c r="AM144" s="59"/>
      <x:c r="AN144" s="56"/>
      <x:c r="AO144" s="57"/>
      <x:c r="AP144" s="57"/>
      <x:c r="AQ144" s="57"/>
      <x:c r="AR144" s="57"/>
      <x:c r="AS144" s="65" t="str">
        <x:f>IF(COUNT(AQ144,AR144)&lt;2,"",IF(AR144=0,"",AQ144/AR144))</x:f>
      </x:c>
      <x:c r="AT144" s="65" t="str">
        <x:f>IF(COUNT(AQ144,AP144)&lt;2,"",IF(AP144=0,"",AQ144/AP144))</x:f>
      </x:c>
      <x:c r="AU144" s="67" t="str">
        <x:f>IF(COUNT(AQ144,AR144)&lt;2,"",AQ144-AR144)</x:f>
      </x:c>
      <x:c r="AV144" s="67" t="str">
        <x:f>IF(COUNT(AQ144,AP144)&lt;2,"",AQ144-AP144)</x:f>
      </x:c>
      <x:c r="AW144" s="67" t="str">
        <x:f>IF(COUNT(AO144,AS144)&lt;2,"",IF(AS144=0,"",AO144/AS144))</x:f>
      </x:c>
      <x:c r="AX144" s="67" t="str">
        <x:f>IF(COUNT(AW144,AR144)&lt;2,"",AW144-AR144)</x:f>
      </x:c>
      <x:c r="AY144" s="67" t="str">
        <x:f>IF(COUNT(AO144,AW144)&lt;2,"",AO144-AW144)</x:f>
      </x:c>
      <x:c r="AZ144" s="55"/>
      <x:c r="BA144" s="55"/>
      <x:c r="BB144" s="55"/>
      <x:c r="BC144" s="55"/>
      <x:c r="BD144" s="55"/>
      <x:c r="BE144" s="56"/>
      <x:c r="BF144" s="56"/>
      <x:c r="BG144" s="55"/>
    </x:row>
    <x:row r="145" ht="28" customHeight="1">
      <x:c r="A145" s="55"/>
      <x:c r="B145" s="55"/>
      <x:c r="C145" s="55"/>
      <x:c r="D145" s="55"/>
      <x:c r="E145" s="56"/>
      <x:c r="F145" s="57"/>
      <x:c r="G145" s="59"/>
      <x:c r="H145" s="59"/>
      <x:c r="I145" s="59"/>
      <x:c r="J145" s="59"/>
      <x:c r="K145" s="59"/>
      <x:c r="L145" s="59"/>
      <x:c r="M145" s="59"/>
      <x:c r="N145" s="59"/>
      <x:c r="O145" s="56"/>
      <x:c r="P145" s="56"/>
      <x:c r="Q145" s="56"/>
      <x:c r="R145" s="56"/>
      <x:c r="S145" s="55"/>
      <x:c r="T145" s="55"/>
      <x:c r="U145" s="56"/>
      <x:c r="V145" s="56"/>
      <x:c r="W145" s="55"/>
      <x:c r="X145" s="60"/>
      <x:c r="Y145" s="55"/>
      <x:c r="Z145" s="55"/>
      <x:c r="AA145" s="59"/>
      <x:c r="AB145" s="55"/>
      <x:c r="AC145" s="55"/>
      <x:c r="AD145" s="59"/>
      <x:c r="AE145" s="55"/>
      <x:c r="AF145" s="55"/>
      <x:c r="AG145" s="59"/>
      <x:c r="AH145" s="55"/>
      <x:c r="AI145" s="55"/>
      <x:c r="AJ145" s="59"/>
      <x:c r="AK145" s="55"/>
      <x:c r="AL145" s="55"/>
      <x:c r="AM145" s="59"/>
      <x:c r="AN145" s="56"/>
      <x:c r="AO145" s="57"/>
      <x:c r="AP145" s="57"/>
      <x:c r="AQ145" s="57"/>
      <x:c r="AR145" s="57"/>
      <x:c r="AS145" s="65" t="str">
        <x:f>IF(COUNT(AQ145,AR145)&lt;2,"",IF(AR145=0,"",AQ145/AR145))</x:f>
      </x:c>
      <x:c r="AT145" s="65" t="str">
        <x:f>IF(COUNT(AQ145,AP145)&lt;2,"",IF(AP145=0,"",AQ145/AP145))</x:f>
      </x:c>
      <x:c r="AU145" s="67" t="str">
        <x:f>IF(COUNT(AQ145,AR145)&lt;2,"",AQ145-AR145)</x:f>
      </x:c>
      <x:c r="AV145" s="67" t="str">
        <x:f>IF(COUNT(AQ145,AP145)&lt;2,"",AQ145-AP145)</x:f>
      </x:c>
      <x:c r="AW145" s="67" t="str">
        <x:f>IF(COUNT(AO145,AS145)&lt;2,"",IF(AS145=0,"",AO145/AS145))</x:f>
      </x:c>
      <x:c r="AX145" s="67" t="str">
        <x:f>IF(COUNT(AW145,AR145)&lt;2,"",AW145-AR145)</x:f>
      </x:c>
      <x:c r="AY145" s="67" t="str">
        <x:f>IF(COUNT(AO145,AW145)&lt;2,"",AO145-AW145)</x:f>
      </x:c>
      <x:c r="AZ145" s="55"/>
      <x:c r="BA145" s="55"/>
      <x:c r="BB145" s="55"/>
      <x:c r="BC145" s="55"/>
      <x:c r="BD145" s="55"/>
      <x:c r="BE145" s="56"/>
      <x:c r="BF145" s="56"/>
      <x:c r="BG145" s="55"/>
    </x:row>
    <x:row r="146" ht="28" customHeight="1">
      <x:c r="A146" s="55"/>
      <x:c r="B146" s="55"/>
      <x:c r="C146" s="55"/>
      <x:c r="D146" s="55"/>
      <x:c r="E146" s="56"/>
      <x:c r="F146" s="57"/>
      <x:c r="G146" s="59"/>
      <x:c r="H146" s="59"/>
      <x:c r="I146" s="59"/>
      <x:c r="J146" s="59"/>
      <x:c r="K146" s="59"/>
      <x:c r="L146" s="59"/>
      <x:c r="M146" s="59"/>
      <x:c r="N146" s="59"/>
      <x:c r="O146" s="56"/>
      <x:c r="P146" s="56"/>
      <x:c r="Q146" s="56"/>
      <x:c r="R146" s="56"/>
      <x:c r="S146" s="55"/>
      <x:c r="T146" s="55"/>
      <x:c r="U146" s="56"/>
      <x:c r="V146" s="56"/>
      <x:c r="W146" s="55"/>
      <x:c r="X146" s="60"/>
      <x:c r="Y146" s="55"/>
      <x:c r="Z146" s="55"/>
      <x:c r="AA146" s="59"/>
      <x:c r="AB146" s="55"/>
      <x:c r="AC146" s="55"/>
      <x:c r="AD146" s="59"/>
      <x:c r="AE146" s="55"/>
      <x:c r="AF146" s="55"/>
      <x:c r="AG146" s="59"/>
      <x:c r="AH146" s="55"/>
      <x:c r="AI146" s="55"/>
      <x:c r="AJ146" s="59"/>
      <x:c r="AK146" s="55"/>
      <x:c r="AL146" s="55"/>
      <x:c r="AM146" s="59"/>
      <x:c r="AN146" s="56"/>
      <x:c r="AO146" s="57"/>
      <x:c r="AP146" s="57"/>
      <x:c r="AQ146" s="57"/>
      <x:c r="AR146" s="57"/>
      <x:c r="AS146" s="65" t="str">
        <x:f>IF(COUNT(AQ146,AR146)&lt;2,"",IF(AR146=0,"",AQ146/AR146))</x:f>
      </x:c>
      <x:c r="AT146" s="65" t="str">
        <x:f>IF(COUNT(AQ146,AP146)&lt;2,"",IF(AP146=0,"",AQ146/AP146))</x:f>
      </x:c>
      <x:c r="AU146" s="67" t="str">
        <x:f>IF(COUNT(AQ146,AR146)&lt;2,"",AQ146-AR146)</x:f>
      </x:c>
      <x:c r="AV146" s="67" t="str">
        <x:f>IF(COUNT(AQ146,AP146)&lt;2,"",AQ146-AP146)</x:f>
      </x:c>
      <x:c r="AW146" s="67" t="str">
        <x:f>IF(COUNT(AO146,AS146)&lt;2,"",IF(AS146=0,"",AO146/AS146))</x:f>
      </x:c>
      <x:c r="AX146" s="67" t="str">
        <x:f>IF(COUNT(AW146,AR146)&lt;2,"",AW146-AR146)</x:f>
      </x:c>
      <x:c r="AY146" s="67" t="str">
        <x:f>IF(COUNT(AO146,AW146)&lt;2,"",AO146-AW146)</x:f>
      </x:c>
      <x:c r="AZ146" s="55"/>
      <x:c r="BA146" s="55"/>
      <x:c r="BB146" s="55"/>
      <x:c r="BC146" s="55"/>
      <x:c r="BD146" s="55"/>
      <x:c r="BE146" s="56"/>
      <x:c r="BF146" s="56"/>
      <x:c r="BG146" s="55"/>
    </x:row>
    <x:row r="147" ht="28" customHeight="1">
      <x:c r="A147" s="55"/>
      <x:c r="B147" s="55"/>
      <x:c r="C147" s="55"/>
      <x:c r="D147" s="55"/>
      <x:c r="E147" s="56"/>
      <x:c r="F147" s="57"/>
      <x:c r="G147" s="59"/>
      <x:c r="H147" s="59"/>
      <x:c r="I147" s="59"/>
      <x:c r="J147" s="59"/>
      <x:c r="K147" s="59"/>
      <x:c r="L147" s="59"/>
      <x:c r="M147" s="59"/>
      <x:c r="N147" s="59"/>
      <x:c r="O147" s="56"/>
      <x:c r="P147" s="56"/>
      <x:c r="Q147" s="56"/>
      <x:c r="R147" s="56"/>
      <x:c r="S147" s="55"/>
      <x:c r="T147" s="55"/>
      <x:c r="U147" s="56"/>
      <x:c r="V147" s="56"/>
      <x:c r="W147" s="55"/>
      <x:c r="X147" s="60"/>
      <x:c r="Y147" s="55"/>
      <x:c r="Z147" s="55"/>
      <x:c r="AA147" s="59"/>
      <x:c r="AB147" s="55"/>
      <x:c r="AC147" s="55"/>
      <x:c r="AD147" s="59"/>
      <x:c r="AE147" s="55"/>
      <x:c r="AF147" s="55"/>
      <x:c r="AG147" s="59"/>
      <x:c r="AH147" s="55"/>
      <x:c r="AI147" s="55"/>
      <x:c r="AJ147" s="59"/>
      <x:c r="AK147" s="55"/>
      <x:c r="AL147" s="55"/>
      <x:c r="AM147" s="59"/>
      <x:c r="AN147" s="56"/>
      <x:c r="AO147" s="57"/>
      <x:c r="AP147" s="57"/>
      <x:c r="AQ147" s="57"/>
      <x:c r="AR147" s="57"/>
      <x:c r="AS147" s="65" t="str">
        <x:f>IF(COUNT(AQ147,AR147)&lt;2,"",IF(AR147=0,"",AQ147/AR147))</x:f>
      </x:c>
      <x:c r="AT147" s="65" t="str">
        <x:f>IF(COUNT(AQ147,AP147)&lt;2,"",IF(AP147=0,"",AQ147/AP147))</x:f>
      </x:c>
      <x:c r="AU147" s="67" t="str">
        <x:f>IF(COUNT(AQ147,AR147)&lt;2,"",AQ147-AR147)</x:f>
      </x:c>
      <x:c r="AV147" s="67" t="str">
        <x:f>IF(COUNT(AQ147,AP147)&lt;2,"",AQ147-AP147)</x:f>
      </x:c>
      <x:c r="AW147" s="67" t="str">
        <x:f>IF(COUNT(AO147,AS147)&lt;2,"",IF(AS147=0,"",AO147/AS147))</x:f>
      </x:c>
      <x:c r="AX147" s="67" t="str">
        <x:f>IF(COUNT(AW147,AR147)&lt;2,"",AW147-AR147)</x:f>
      </x:c>
      <x:c r="AY147" s="67" t="str">
        <x:f>IF(COUNT(AO147,AW147)&lt;2,"",AO147-AW147)</x:f>
      </x:c>
      <x:c r="AZ147" s="55"/>
      <x:c r="BA147" s="55"/>
      <x:c r="BB147" s="55"/>
      <x:c r="BC147" s="55"/>
      <x:c r="BD147" s="55"/>
      <x:c r="BE147" s="56"/>
      <x:c r="BF147" s="56"/>
      <x:c r="BG147" s="55"/>
    </x:row>
    <x:row r="148" ht="28" customHeight="1">
      <x:c r="A148" s="55"/>
      <x:c r="B148" s="55"/>
      <x:c r="C148" s="55"/>
      <x:c r="D148" s="55"/>
      <x:c r="E148" s="56"/>
      <x:c r="F148" s="57"/>
      <x:c r="G148" s="59"/>
      <x:c r="H148" s="59"/>
      <x:c r="I148" s="59"/>
      <x:c r="J148" s="59"/>
      <x:c r="K148" s="59"/>
      <x:c r="L148" s="59"/>
      <x:c r="M148" s="59"/>
      <x:c r="N148" s="59"/>
      <x:c r="O148" s="56"/>
      <x:c r="P148" s="56"/>
      <x:c r="Q148" s="56"/>
      <x:c r="R148" s="56"/>
      <x:c r="S148" s="55"/>
      <x:c r="T148" s="55"/>
      <x:c r="U148" s="56"/>
      <x:c r="V148" s="56"/>
      <x:c r="W148" s="55"/>
      <x:c r="X148" s="60"/>
      <x:c r="Y148" s="55"/>
      <x:c r="Z148" s="55"/>
      <x:c r="AA148" s="59"/>
      <x:c r="AB148" s="55"/>
      <x:c r="AC148" s="55"/>
      <x:c r="AD148" s="59"/>
      <x:c r="AE148" s="55"/>
      <x:c r="AF148" s="55"/>
      <x:c r="AG148" s="59"/>
      <x:c r="AH148" s="55"/>
      <x:c r="AI148" s="55"/>
      <x:c r="AJ148" s="59"/>
      <x:c r="AK148" s="55"/>
      <x:c r="AL148" s="55"/>
      <x:c r="AM148" s="59"/>
      <x:c r="AN148" s="56"/>
      <x:c r="AO148" s="57"/>
      <x:c r="AP148" s="57"/>
      <x:c r="AQ148" s="57"/>
      <x:c r="AR148" s="57"/>
      <x:c r="AS148" s="65" t="str">
        <x:f>IF(COUNT(AQ148,AR148)&lt;2,"",IF(AR148=0,"",AQ148/AR148))</x:f>
      </x:c>
      <x:c r="AT148" s="65" t="str">
        <x:f>IF(COUNT(AQ148,AP148)&lt;2,"",IF(AP148=0,"",AQ148/AP148))</x:f>
      </x:c>
      <x:c r="AU148" s="67" t="str">
        <x:f>IF(COUNT(AQ148,AR148)&lt;2,"",AQ148-AR148)</x:f>
      </x:c>
      <x:c r="AV148" s="67" t="str">
        <x:f>IF(COUNT(AQ148,AP148)&lt;2,"",AQ148-AP148)</x:f>
      </x:c>
      <x:c r="AW148" s="67" t="str">
        <x:f>IF(COUNT(AO148,AS148)&lt;2,"",IF(AS148=0,"",AO148/AS148))</x:f>
      </x:c>
      <x:c r="AX148" s="67" t="str">
        <x:f>IF(COUNT(AW148,AR148)&lt;2,"",AW148-AR148)</x:f>
      </x:c>
      <x:c r="AY148" s="67" t="str">
        <x:f>IF(COUNT(AO148,AW148)&lt;2,"",AO148-AW148)</x:f>
      </x:c>
      <x:c r="AZ148" s="55"/>
      <x:c r="BA148" s="55"/>
      <x:c r="BB148" s="55"/>
      <x:c r="BC148" s="55"/>
      <x:c r="BD148" s="55"/>
      <x:c r="BE148" s="56"/>
      <x:c r="BF148" s="56"/>
      <x:c r="BG148" s="55"/>
    </x:row>
    <x:row r="149" ht="28" customHeight="1">
      <x:c r="A149" s="55"/>
      <x:c r="B149" s="55"/>
      <x:c r="C149" s="55"/>
      <x:c r="D149" s="55"/>
      <x:c r="E149" s="56"/>
      <x:c r="F149" s="57"/>
      <x:c r="G149" s="59"/>
      <x:c r="H149" s="59"/>
      <x:c r="I149" s="59"/>
      <x:c r="J149" s="59"/>
      <x:c r="K149" s="59"/>
      <x:c r="L149" s="59"/>
      <x:c r="M149" s="59"/>
      <x:c r="N149" s="59"/>
      <x:c r="O149" s="56"/>
      <x:c r="P149" s="56"/>
      <x:c r="Q149" s="56"/>
      <x:c r="R149" s="56"/>
      <x:c r="S149" s="55"/>
      <x:c r="T149" s="55"/>
      <x:c r="U149" s="56"/>
      <x:c r="V149" s="56"/>
      <x:c r="W149" s="55"/>
      <x:c r="X149" s="60"/>
      <x:c r="Y149" s="55"/>
      <x:c r="Z149" s="55"/>
      <x:c r="AA149" s="59"/>
      <x:c r="AB149" s="55"/>
      <x:c r="AC149" s="55"/>
      <x:c r="AD149" s="59"/>
      <x:c r="AE149" s="55"/>
      <x:c r="AF149" s="55"/>
      <x:c r="AG149" s="59"/>
      <x:c r="AH149" s="55"/>
      <x:c r="AI149" s="55"/>
      <x:c r="AJ149" s="59"/>
      <x:c r="AK149" s="55"/>
      <x:c r="AL149" s="55"/>
      <x:c r="AM149" s="59"/>
      <x:c r="AN149" s="56"/>
      <x:c r="AO149" s="57"/>
      <x:c r="AP149" s="57"/>
      <x:c r="AQ149" s="57"/>
      <x:c r="AR149" s="57"/>
      <x:c r="AS149" s="65" t="str">
        <x:f>IF(COUNT(AQ149,AR149)&lt;2,"",IF(AR149=0,"",AQ149/AR149))</x:f>
      </x:c>
      <x:c r="AT149" s="65" t="str">
        <x:f>IF(COUNT(AQ149,AP149)&lt;2,"",IF(AP149=0,"",AQ149/AP149))</x:f>
      </x:c>
      <x:c r="AU149" s="67" t="str">
        <x:f>IF(COUNT(AQ149,AR149)&lt;2,"",AQ149-AR149)</x:f>
      </x:c>
      <x:c r="AV149" s="67" t="str">
        <x:f>IF(COUNT(AQ149,AP149)&lt;2,"",AQ149-AP149)</x:f>
      </x:c>
      <x:c r="AW149" s="67" t="str">
        <x:f>IF(COUNT(AO149,AS149)&lt;2,"",IF(AS149=0,"",AO149/AS149))</x:f>
      </x:c>
      <x:c r="AX149" s="67" t="str">
        <x:f>IF(COUNT(AW149,AR149)&lt;2,"",AW149-AR149)</x:f>
      </x:c>
      <x:c r="AY149" s="67" t="str">
        <x:f>IF(COUNT(AO149,AW149)&lt;2,"",AO149-AW149)</x:f>
      </x:c>
      <x:c r="AZ149" s="55"/>
      <x:c r="BA149" s="55"/>
      <x:c r="BB149" s="55"/>
      <x:c r="BC149" s="55"/>
      <x:c r="BD149" s="55"/>
      <x:c r="BE149" s="56"/>
      <x:c r="BF149" s="56"/>
      <x:c r="BG149" s="55"/>
    </x:row>
    <x:row r="150" ht="28" customHeight="1">
      <x:c r="A150" s="55"/>
      <x:c r="B150" s="55"/>
      <x:c r="C150" s="55"/>
      <x:c r="D150" s="55"/>
      <x:c r="E150" s="56"/>
      <x:c r="F150" s="57"/>
      <x:c r="G150" s="59"/>
      <x:c r="H150" s="59"/>
      <x:c r="I150" s="59"/>
      <x:c r="J150" s="59"/>
      <x:c r="K150" s="59"/>
      <x:c r="L150" s="59"/>
      <x:c r="M150" s="59"/>
      <x:c r="N150" s="59"/>
      <x:c r="O150" s="56"/>
      <x:c r="P150" s="56"/>
      <x:c r="Q150" s="56"/>
      <x:c r="R150" s="56"/>
      <x:c r="S150" s="55"/>
      <x:c r="T150" s="55"/>
      <x:c r="U150" s="56"/>
      <x:c r="V150" s="56"/>
      <x:c r="W150" s="55"/>
      <x:c r="X150" s="60"/>
      <x:c r="Y150" s="55"/>
      <x:c r="Z150" s="55"/>
      <x:c r="AA150" s="59"/>
      <x:c r="AB150" s="55"/>
      <x:c r="AC150" s="55"/>
      <x:c r="AD150" s="59"/>
      <x:c r="AE150" s="55"/>
      <x:c r="AF150" s="55"/>
      <x:c r="AG150" s="59"/>
      <x:c r="AH150" s="55"/>
      <x:c r="AI150" s="55"/>
      <x:c r="AJ150" s="59"/>
      <x:c r="AK150" s="55"/>
      <x:c r="AL150" s="55"/>
      <x:c r="AM150" s="59"/>
      <x:c r="AN150" s="56"/>
      <x:c r="AO150" s="57"/>
      <x:c r="AP150" s="57"/>
      <x:c r="AQ150" s="57"/>
      <x:c r="AR150" s="57"/>
      <x:c r="AS150" s="65" t="str">
        <x:f>IF(COUNT(AQ150,AR150)&lt;2,"",IF(AR150=0,"",AQ150/AR150))</x:f>
      </x:c>
      <x:c r="AT150" s="65" t="str">
        <x:f>IF(COUNT(AQ150,AP150)&lt;2,"",IF(AP150=0,"",AQ150/AP150))</x:f>
      </x:c>
      <x:c r="AU150" s="67" t="str">
        <x:f>IF(COUNT(AQ150,AR150)&lt;2,"",AQ150-AR150)</x:f>
      </x:c>
      <x:c r="AV150" s="67" t="str">
        <x:f>IF(COUNT(AQ150,AP150)&lt;2,"",AQ150-AP150)</x:f>
      </x:c>
      <x:c r="AW150" s="67" t="str">
        <x:f>IF(COUNT(AO150,AS150)&lt;2,"",IF(AS150=0,"",AO150/AS150))</x:f>
      </x:c>
      <x:c r="AX150" s="67" t="str">
        <x:f>IF(COUNT(AW150,AR150)&lt;2,"",AW150-AR150)</x:f>
      </x:c>
      <x:c r="AY150" s="67" t="str">
        <x:f>IF(COUNT(AO150,AW150)&lt;2,"",AO150-AW150)</x:f>
      </x:c>
      <x:c r="AZ150" s="55"/>
      <x:c r="BA150" s="55"/>
      <x:c r="BB150" s="55"/>
      <x:c r="BC150" s="55"/>
      <x:c r="BD150" s="55"/>
      <x:c r="BE150" s="56"/>
      <x:c r="BF150" s="56"/>
      <x:c r="BG150" s="55"/>
    </x:row>
    <x:row r="151" ht="28" customHeight="1">
      <x:c r="A151" s="55"/>
      <x:c r="B151" s="55"/>
      <x:c r="C151" s="55"/>
      <x:c r="D151" s="55"/>
      <x:c r="E151" s="56"/>
      <x:c r="F151" s="57"/>
      <x:c r="G151" s="59"/>
      <x:c r="H151" s="59"/>
      <x:c r="I151" s="59"/>
      <x:c r="J151" s="59"/>
      <x:c r="K151" s="59"/>
      <x:c r="L151" s="59"/>
      <x:c r="M151" s="59"/>
      <x:c r="N151" s="59"/>
      <x:c r="O151" s="56"/>
      <x:c r="P151" s="56"/>
      <x:c r="Q151" s="56"/>
      <x:c r="R151" s="56"/>
      <x:c r="S151" s="55"/>
      <x:c r="T151" s="55"/>
      <x:c r="U151" s="56"/>
      <x:c r="V151" s="56"/>
      <x:c r="W151" s="55"/>
      <x:c r="X151" s="60"/>
      <x:c r="Y151" s="55"/>
      <x:c r="Z151" s="55"/>
      <x:c r="AA151" s="59"/>
      <x:c r="AB151" s="55"/>
      <x:c r="AC151" s="55"/>
      <x:c r="AD151" s="59"/>
      <x:c r="AE151" s="55"/>
      <x:c r="AF151" s="55"/>
      <x:c r="AG151" s="59"/>
      <x:c r="AH151" s="55"/>
      <x:c r="AI151" s="55"/>
      <x:c r="AJ151" s="59"/>
      <x:c r="AK151" s="55"/>
      <x:c r="AL151" s="55"/>
      <x:c r="AM151" s="59"/>
      <x:c r="AN151" s="56"/>
      <x:c r="AO151" s="57"/>
      <x:c r="AP151" s="57"/>
      <x:c r="AQ151" s="57"/>
      <x:c r="AR151" s="57"/>
      <x:c r="AS151" s="65" t="str">
        <x:f>IF(COUNT(AQ151,AR151)&lt;2,"",IF(AR151=0,"",AQ151/AR151))</x:f>
      </x:c>
      <x:c r="AT151" s="65" t="str">
        <x:f>IF(COUNT(AQ151,AP151)&lt;2,"",IF(AP151=0,"",AQ151/AP151))</x:f>
      </x:c>
      <x:c r="AU151" s="67" t="str">
        <x:f>IF(COUNT(AQ151,AR151)&lt;2,"",AQ151-AR151)</x:f>
      </x:c>
      <x:c r="AV151" s="67" t="str">
        <x:f>IF(COUNT(AQ151,AP151)&lt;2,"",AQ151-AP151)</x:f>
      </x:c>
      <x:c r="AW151" s="67" t="str">
        <x:f>IF(COUNT(AO151,AS151)&lt;2,"",IF(AS151=0,"",AO151/AS151))</x:f>
      </x:c>
      <x:c r="AX151" s="67" t="str">
        <x:f>IF(COUNT(AW151,AR151)&lt;2,"",AW151-AR151)</x:f>
      </x:c>
      <x:c r="AY151" s="67" t="str">
        <x:f>IF(COUNT(AO151,AW151)&lt;2,"",AO151-AW151)</x:f>
      </x:c>
      <x:c r="AZ151" s="55"/>
      <x:c r="BA151" s="55"/>
      <x:c r="BB151" s="55"/>
      <x:c r="BC151" s="55"/>
      <x:c r="BD151" s="55"/>
      <x:c r="BE151" s="56"/>
      <x:c r="BF151" s="56"/>
      <x:c r="BG151" s="55"/>
    </x:row>
    <x:row r="152" ht="28" customHeight="1">
      <x:c r="A152" s="55"/>
      <x:c r="B152" s="55"/>
      <x:c r="C152" s="55"/>
      <x:c r="D152" s="55"/>
      <x:c r="E152" s="56"/>
      <x:c r="F152" s="57"/>
      <x:c r="G152" s="59"/>
      <x:c r="H152" s="59"/>
      <x:c r="I152" s="59"/>
      <x:c r="J152" s="59"/>
      <x:c r="K152" s="59"/>
      <x:c r="L152" s="59"/>
      <x:c r="M152" s="59"/>
      <x:c r="N152" s="59"/>
      <x:c r="O152" s="56"/>
      <x:c r="P152" s="56"/>
      <x:c r="Q152" s="56"/>
      <x:c r="R152" s="56"/>
      <x:c r="S152" s="55"/>
      <x:c r="T152" s="55"/>
      <x:c r="U152" s="56"/>
      <x:c r="V152" s="56"/>
      <x:c r="W152" s="55"/>
      <x:c r="X152" s="60"/>
      <x:c r="Y152" s="55"/>
      <x:c r="Z152" s="55"/>
      <x:c r="AA152" s="59"/>
      <x:c r="AB152" s="55"/>
      <x:c r="AC152" s="55"/>
      <x:c r="AD152" s="59"/>
      <x:c r="AE152" s="55"/>
      <x:c r="AF152" s="55"/>
      <x:c r="AG152" s="59"/>
      <x:c r="AH152" s="55"/>
      <x:c r="AI152" s="55"/>
      <x:c r="AJ152" s="59"/>
      <x:c r="AK152" s="55"/>
      <x:c r="AL152" s="55"/>
      <x:c r="AM152" s="59"/>
      <x:c r="AN152" s="56"/>
      <x:c r="AO152" s="57"/>
      <x:c r="AP152" s="57"/>
      <x:c r="AQ152" s="57"/>
      <x:c r="AR152" s="57"/>
      <x:c r="AS152" s="65" t="str">
        <x:f>IF(COUNT(AQ152,AR152)&lt;2,"",IF(AR152=0,"",AQ152/AR152))</x:f>
      </x:c>
      <x:c r="AT152" s="65" t="str">
        <x:f>IF(COUNT(AQ152,AP152)&lt;2,"",IF(AP152=0,"",AQ152/AP152))</x:f>
      </x:c>
      <x:c r="AU152" s="67" t="str">
        <x:f>IF(COUNT(AQ152,AR152)&lt;2,"",AQ152-AR152)</x:f>
      </x:c>
      <x:c r="AV152" s="67" t="str">
        <x:f>IF(COUNT(AQ152,AP152)&lt;2,"",AQ152-AP152)</x:f>
      </x:c>
      <x:c r="AW152" s="67" t="str">
        <x:f>IF(COUNT(AO152,AS152)&lt;2,"",IF(AS152=0,"",AO152/AS152))</x:f>
      </x:c>
      <x:c r="AX152" s="67" t="str">
        <x:f>IF(COUNT(AW152,AR152)&lt;2,"",AW152-AR152)</x:f>
      </x:c>
      <x:c r="AY152" s="67" t="str">
        <x:f>IF(COUNT(AO152,AW152)&lt;2,"",AO152-AW152)</x:f>
      </x:c>
      <x:c r="AZ152" s="55"/>
      <x:c r="BA152" s="55"/>
      <x:c r="BB152" s="55"/>
      <x:c r="BC152" s="55"/>
      <x:c r="BD152" s="55"/>
      <x:c r="BE152" s="56"/>
      <x:c r="BF152" s="56"/>
      <x:c r="BG152" s="55"/>
    </x:row>
    <x:row r="153" ht="28" customHeight="1">
      <x:c r="A153" s="55"/>
      <x:c r="B153" s="55"/>
      <x:c r="C153" s="55"/>
      <x:c r="D153" s="55"/>
      <x:c r="E153" s="56"/>
      <x:c r="F153" s="57"/>
      <x:c r="G153" s="59"/>
      <x:c r="H153" s="59"/>
      <x:c r="I153" s="59"/>
      <x:c r="J153" s="59"/>
      <x:c r="K153" s="59"/>
      <x:c r="L153" s="59"/>
      <x:c r="M153" s="59"/>
      <x:c r="N153" s="59"/>
      <x:c r="O153" s="56"/>
      <x:c r="P153" s="56"/>
      <x:c r="Q153" s="56"/>
      <x:c r="R153" s="56"/>
      <x:c r="S153" s="55"/>
      <x:c r="T153" s="55"/>
      <x:c r="U153" s="56"/>
      <x:c r="V153" s="56"/>
      <x:c r="W153" s="55"/>
      <x:c r="X153" s="60"/>
      <x:c r="Y153" s="55"/>
      <x:c r="Z153" s="55"/>
      <x:c r="AA153" s="59"/>
      <x:c r="AB153" s="55"/>
      <x:c r="AC153" s="55"/>
      <x:c r="AD153" s="59"/>
      <x:c r="AE153" s="55"/>
      <x:c r="AF153" s="55"/>
      <x:c r="AG153" s="59"/>
      <x:c r="AH153" s="55"/>
      <x:c r="AI153" s="55"/>
      <x:c r="AJ153" s="59"/>
      <x:c r="AK153" s="55"/>
      <x:c r="AL153" s="55"/>
      <x:c r="AM153" s="59"/>
      <x:c r="AN153" s="56"/>
      <x:c r="AO153" s="57"/>
      <x:c r="AP153" s="57"/>
      <x:c r="AQ153" s="57"/>
      <x:c r="AR153" s="57"/>
      <x:c r="AS153" s="65" t="str">
        <x:f>IF(COUNT(AQ153,AR153)&lt;2,"",IF(AR153=0,"",AQ153/AR153))</x:f>
      </x:c>
      <x:c r="AT153" s="65" t="str">
        <x:f>IF(COUNT(AQ153,AP153)&lt;2,"",IF(AP153=0,"",AQ153/AP153))</x:f>
      </x:c>
      <x:c r="AU153" s="67" t="str">
        <x:f>IF(COUNT(AQ153,AR153)&lt;2,"",AQ153-AR153)</x:f>
      </x:c>
      <x:c r="AV153" s="67" t="str">
        <x:f>IF(COUNT(AQ153,AP153)&lt;2,"",AQ153-AP153)</x:f>
      </x:c>
      <x:c r="AW153" s="67" t="str">
        <x:f>IF(COUNT(AO153,AS153)&lt;2,"",IF(AS153=0,"",AO153/AS153))</x:f>
      </x:c>
      <x:c r="AX153" s="67" t="str">
        <x:f>IF(COUNT(AW153,AR153)&lt;2,"",AW153-AR153)</x:f>
      </x:c>
      <x:c r="AY153" s="67" t="str">
        <x:f>IF(COUNT(AO153,AW153)&lt;2,"",AO153-AW153)</x:f>
      </x:c>
      <x:c r="AZ153" s="55"/>
      <x:c r="BA153" s="55"/>
      <x:c r="BB153" s="55"/>
      <x:c r="BC153" s="55"/>
      <x:c r="BD153" s="55"/>
      <x:c r="BE153" s="56"/>
      <x:c r="BF153" s="56"/>
      <x:c r="BG153" s="55"/>
    </x:row>
    <x:row r="154" ht="28" customHeight="1">
      <x:c r="A154" s="55"/>
      <x:c r="B154" s="55"/>
      <x:c r="C154" s="55"/>
      <x:c r="D154" s="55"/>
      <x:c r="E154" s="56"/>
      <x:c r="F154" s="57"/>
      <x:c r="G154" s="59"/>
      <x:c r="H154" s="59"/>
      <x:c r="I154" s="59"/>
      <x:c r="J154" s="59"/>
      <x:c r="K154" s="59"/>
      <x:c r="L154" s="59"/>
      <x:c r="M154" s="59"/>
      <x:c r="N154" s="59"/>
      <x:c r="O154" s="56"/>
      <x:c r="P154" s="56"/>
      <x:c r="Q154" s="56"/>
      <x:c r="R154" s="56"/>
      <x:c r="S154" s="55"/>
      <x:c r="T154" s="55"/>
      <x:c r="U154" s="56"/>
      <x:c r="V154" s="56"/>
      <x:c r="W154" s="55"/>
      <x:c r="X154" s="60"/>
      <x:c r="Y154" s="55"/>
      <x:c r="Z154" s="55"/>
      <x:c r="AA154" s="59"/>
      <x:c r="AB154" s="55"/>
      <x:c r="AC154" s="55"/>
      <x:c r="AD154" s="59"/>
      <x:c r="AE154" s="55"/>
      <x:c r="AF154" s="55"/>
      <x:c r="AG154" s="59"/>
      <x:c r="AH154" s="55"/>
      <x:c r="AI154" s="55"/>
      <x:c r="AJ154" s="59"/>
      <x:c r="AK154" s="55"/>
      <x:c r="AL154" s="55"/>
      <x:c r="AM154" s="59"/>
      <x:c r="AN154" s="56"/>
      <x:c r="AO154" s="57"/>
      <x:c r="AP154" s="57"/>
      <x:c r="AQ154" s="57"/>
      <x:c r="AR154" s="57"/>
      <x:c r="AS154" s="65" t="str">
        <x:f>IF(COUNT(AQ154,AR154)&lt;2,"",IF(AR154=0,"",AQ154/AR154))</x:f>
      </x:c>
      <x:c r="AT154" s="65" t="str">
        <x:f>IF(COUNT(AQ154,AP154)&lt;2,"",IF(AP154=0,"",AQ154/AP154))</x:f>
      </x:c>
      <x:c r="AU154" s="67" t="str">
        <x:f>IF(COUNT(AQ154,AR154)&lt;2,"",AQ154-AR154)</x:f>
      </x:c>
      <x:c r="AV154" s="67" t="str">
        <x:f>IF(COUNT(AQ154,AP154)&lt;2,"",AQ154-AP154)</x:f>
      </x:c>
      <x:c r="AW154" s="67" t="str">
        <x:f>IF(COUNT(AO154,AS154)&lt;2,"",IF(AS154=0,"",AO154/AS154))</x:f>
      </x:c>
      <x:c r="AX154" s="67" t="str">
        <x:f>IF(COUNT(AW154,AR154)&lt;2,"",AW154-AR154)</x:f>
      </x:c>
      <x:c r="AY154" s="67" t="str">
        <x:f>IF(COUNT(AO154,AW154)&lt;2,"",AO154-AW154)</x:f>
      </x:c>
      <x:c r="AZ154" s="55"/>
      <x:c r="BA154" s="55"/>
      <x:c r="BB154" s="55"/>
      <x:c r="BC154" s="55"/>
      <x:c r="BD154" s="55"/>
      <x:c r="BE154" s="56"/>
      <x:c r="BF154" s="56"/>
      <x:c r="BG154" s="55"/>
    </x:row>
    <x:row r="155" ht="28" customHeight="1">
      <x:c r="A155" s="55"/>
      <x:c r="B155" s="55"/>
      <x:c r="C155" s="55"/>
      <x:c r="D155" s="55"/>
      <x:c r="E155" s="56"/>
      <x:c r="F155" s="57"/>
      <x:c r="G155" s="59"/>
      <x:c r="H155" s="59"/>
      <x:c r="I155" s="59"/>
      <x:c r="J155" s="59"/>
      <x:c r="K155" s="59"/>
      <x:c r="L155" s="59"/>
      <x:c r="M155" s="59"/>
      <x:c r="N155" s="59"/>
      <x:c r="O155" s="56"/>
      <x:c r="P155" s="56"/>
      <x:c r="Q155" s="56"/>
      <x:c r="R155" s="56"/>
      <x:c r="S155" s="55"/>
      <x:c r="T155" s="55"/>
      <x:c r="U155" s="56"/>
      <x:c r="V155" s="56"/>
      <x:c r="W155" s="55"/>
      <x:c r="X155" s="60"/>
      <x:c r="Y155" s="55"/>
      <x:c r="Z155" s="55"/>
      <x:c r="AA155" s="59"/>
      <x:c r="AB155" s="55"/>
      <x:c r="AC155" s="55"/>
      <x:c r="AD155" s="59"/>
      <x:c r="AE155" s="55"/>
      <x:c r="AF155" s="55"/>
      <x:c r="AG155" s="59"/>
      <x:c r="AH155" s="55"/>
      <x:c r="AI155" s="55"/>
      <x:c r="AJ155" s="59"/>
      <x:c r="AK155" s="55"/>
      <x:c r="AL155" s="55"/>
      <x:c r="AM155" s="59"/>
      <x:c r="AN155" s="56"/>
      <x:c r="AO155" s="57"/>
      <x:c r="AP155" s="57"/>
      <x:c r="AQ155" s="57"/>
      <x:c r="AR155" s="57"/>
      <x:c r="AS155" s="65" t="str">
        <x:f>IF(COUNT(AQ155,AR155)&lt;2,"",IF(AR155=0,"",AQ155/AR155))</x:f>
      </x:c>
      <x:c r="AT155" s="65" t="str">
        <x:f>IF(COUNT(AQ155,AP155)&lt;2,"",IF(AP155=0,"",AQ155/AP155))</x:f>
      </x:c>
      <x:c r="AU155" s="67" t="str">
        <x:f>IF(COUNT(AQ155,AR155)&lt;2,"",AQ155-AR155)</x:f>
      </x:c>
      <x:c r="AV155" s="67" t="str">
        <x:f>IF(COUNT(AQ155,AP155)&lt;2,"",AQ155-AP155)</x:f>
      </x:c>
      <x:c r="AW155" s="67" t="str">
        <x:f>IF(COUNT(AO155,AS155)&lt;2,"",IF(AS155=0,"",AO155/AS155))</x:f>
      </x:c>
      <x:c r="AX155" s="67" t="str">
        <x:f>IF(COUNT(AW155,AR155)&lt;2,"",AW155-AR155)</x:f>
      </x:c>
      <x:c r="AY155" s="67" t="str">
        <x:f>IF(COUNT(AO155,AW155)&lt;2,"",AO155-AW155)</x:f>
      </x:c>
      <x:c r="AZ155" s="55"/>
      <x:c r="BA155" s="55"/>
      <x:c r="BB155" s="55"/>
      <x:c r="BC155" s="55"/>
      <x:c r="BD155" s="55"/>
      <x:c r="BE155" s="56"/>
      <x:c r="BF155" s="56"/>
      <x:c r="BG155" s="55"/>
    </x:row>
    <x:row r="156" ht="28" customHeight="1">
      <x:c r="A156" s="55"/>
      <x:c r="B156" s="55"/>
      <x:c r="C156" s="55"/>
      <x:c r="D156" s="55"/>
      <x:c r="E156" s="56"/>
      <x:c r="F156" s="57"/>
      <x:c r="G156" s="59"/>
      <x:c r="H156" s="59"/>
      <x:c r="I156" s="59"/>
      <x:c r="J156" s="59"/>
      <x:c r="K156" s="59"/>
      <x:c r="L156" s="59"/>
      <x:c r="M156" s="59"/>
      <x:c r="N156" s="59"/>
      <x:c r="O156" s="56"/>
      <x:c r="P156" s="56"/>
      <x:c r="Q156" s="56"/>
      <x:c r="R156" s="56"/>
      <x:c r="S156" s="55"/>
      <x:c r="T156" s="55"/>
      <x:c r="U156" s="56"/>
      <x:c r="V156" s="56"/>
      <x:c r="W156" s="55"/>
      <x:c r="X156" s="60"/>
      <x:c r="Y156" s="55"/>
      <x:c r="Z156" s="55"/>
      <x:c r="AA156" s="59"/>
      <x:c r="AB156" s="55"/>
      <x:c r="AC156" s="55"/>
      <x:c r="AD156" s="59"/>
      <x:c r="AE156" s="55"/>
      <x:c r="AF156" s="55"/>
      <x:c r="AG156" s="59"/>
      <x:c r="AH156" s="55"/>
      <x:c r="AI156" s="55"/>
      <x:c r="AJ156" s="59"/>
      <x:c r="AK156" s="55"/>
      <x:c r="AL156" s="55"/>
      <x:c r="AM156" s="59"/>
      <x:c r="AN156" s="56"/>
      <x:c r="AO156" s="57"/>
      <x:c r="AP156" s="57"/>
      <x:c r="AQ156" s="57"/>
      <x:c r="AR156" s="57"/>
      <x:c r="AS156" s="65" t="str">
        <x:f>IF(COUNT(AQ156,AR156)&lt;2,"",IF(AR156=0,"",AQ156/AR156))</x:f>
      </x:c>
      <x:c r="AT156" s="65" t="str">
        <x:f>IF(COUNT(AQ156,AP156)&lt;2,"",IF(AP156=0,"",AQ156/AP156))</x:f>
      </x:c>
      <x:c r="AU156" s="67" t="str">
        <x:f>IF(COUNT(AQ156,AR156)&lt;2,"",AQ156-AR156)</x:f>
      </x:c>
      <x:c r="AV156" s="67" t="str">
        <x:f>IF(COUNT(AQ156,AP156)&lt;2,"",AQ156-AP156)</x:f>
      </x:c>
      <x:c r="AW156" s="67" t="str">
        <x:f>IF(COUNT(AO156,AS156)&lt;2,"",IF(AS156=0,"",AO156/AS156))</x:f>
      </x:c>
      <x:c r="AX156" s="67" t="str">
        <x:f>IF(COUNT(AW156,AR156)&lt;2,"",AW156-AR156)</x:f>
      </x:c>
      <x:c r="AY156" s="67" t="str">
        <x:f>IF(COUNT(AO156,AW156)&lt;2,"",AO156-AW156)</x:f>
      </x:c>
      <x:c r="AZ156" s="55"/>
      <x:c r="BA156" s="55"/>
      <x:c r="BB156" s="55"/>
      <x:c r="BC156" s="55"/>
      <x:c r="BD156" s="55"/>
      <x:c r="BE156" s="56"/>
      <x:c r="BF156" s="56"/>
      <x:c r="BG156" s="55"/>
    </x:row>
    <x:row r="157" ht="28" customHeight="1">
      <x:c r="A157" s="55"/>
      <x:c r="B157" s="55"/>
      <x:c r="C157" s="55"/>
      <x:c r="D157" s="55"/>
      <x:c r="E157" s="56"/>
      <x:c r="F157" s="57"/>
      <x:c r="G157" s="59"/>
      <x:c r="H157" s="59"/>
      <x:c r="I157" s="59"/>
      <x:c r="J157" s="59"/>
      <x:c r="K157" s="59"/>
      <x:c r="L157" s="59"/>
      <x:c r="M157" s="59"/>
      <x:c r="N157" s="59"/>
      <x:c r="O157" s="56"/>
      <x:c r="P157" s="56"/>
      <x:c r="Q157" s="56"/>
      <x:c r="R157" s="56"/>
      <x:c r="S157" s="55"/>
      <x:c r="T157" s="55"/>
      <x:c r="U157" s="56"/>
      <x:c r="V157" s="56"/>
      <x:c r="W157" s="55"/>
      <x:c r="X157" s="60"/>
      <x:c r="Y157" s="55"/>
      <x:c r="Z157" s="55"/>
      <x:c r="AA157" s="59"/>
      <x:c r="AB157" s="55"/>
      <x:c r="AC157" s="55"/>
      <x:c r="AD157" s="59"/>
      <x:c r="AE157" s="55"/>
      <x:c r="AF157" s="55"/>
      <x:c r="AG157" s="59"/>
      <x:c r="AH157" s="55"/>
      <x:c r="AI157" s="55"/>
      <x:c r="AJ157" s="59"/>
      <x:c r="AK157" s="55"/>
      <x:c r="AL157" s="55"/>
      <x:c r="AM157" s="59"/>
      <x:c r="AN157" s="56"/>
      <x:c r="AO157" s="57"/>
      <x:c r="AP157" s="57"/>
      <x:c r="AQ157" s="57"/>
      <x:c r="AR157" s="57"/>
      <x:c r="AS157" s="65" t="str">
        <x:f>IF(COUNT(AQ157,AR157)&lt;2,"",IF(AR157=0,"",AQ157/AR157))</x:f>
      </x:c>
      <x:c r="AT157" s="65" t="str">
        <x:f>IF(COUNT(AQ157,AP157)&lt;2,"",IF(AP157=0,"",AQ157/AP157))</x:f>
      </x:c>
      <x:c r="AU157" s="67" t="str">
        <x:f>IF(COUNT(AQ157,AR157)&lt;2,"",AQ157-AR157)</x:f>
      </x:c>
      <x:c r="AV157" s="67" t="str">
        <x:f>IF(COUNT(AQ157,AP157)&lt;2,"",AQ157-AP157)</x:f>
      </x:c>
      <x:c r="AW157" s="67" t="str">
        <x:f>IF(COUNT(AO157,AS157)&lt;2,"",IF(AS157=0,"",AO157/AS157))</x:f>
      </x:c>
      <x:c r="AX157" s="67" t="str">
        <x:f>IF(COUNT(AW157,AR157)&lt;2,"",AW157-AR157)</x:f>
      </x:c>
      <x:c r="AY157" s="67" t="str">
        <x:f>IF(COUNT(AO157,AW157)&lt;2,"",AO157-AW157)</x:f>
      </x:c>
      <x:c r="AZ157" s="55"/>
      <x:c r="BA157" s="55"/>
      <x:c r="BB157" s="55"/>
      <x:c r="BC157" s="55"/>
      <x:c r="BD157" s="55"/>
      <x:c r="BE157" s="56"/>
      <x:c r="BF157" s="56"/>
      <x:c r="BG157" s="55"/>
    </x:row>
    <x:row r="158" ht="28" customHeight="1">
      <x:c r="A158" s="55"/>
      <x:c r="B158" s="55"/>
      <x:c r="C158" s="55"/>
      <x:c r="D158" s="55"/>
      <x:c r="E158" s="56"/>
      <x:c r="F158" s="57"/>
      <x:c r="G158" s="59"/>
      <x:c r="H158" s="59"/>
      <x:c r="I158" s="59"/>
      <x:c r="J158" s="59"/>
      <x:c r="K158" s="59"/>
      <x:c r="L158" s="59"/>
      <x:c r="M158" s="59"/>
      <x:c r="N158" s="59"/>
      <x:c r="O158" s="56"/>
      <x:c r="P158" s="56"/>
      <x:c r="Q158" s="56"/>
      <x:c r="R158" s="56"/>
      <x:c r="S158" s="55"/>
      <x:c r="T158" s="55"/>
      <x:c r="U158" s="56"/>
      <x:c r="V158" s="56"/>
      <x:c r="W158" s="55"/>
      <x:c r="X158" s="60"/>
      <x:c r="Y158" s="55"/>
      <x:c r="Z158" s="55"/>
      <x:c r="AA158" s="59"/>
      <x:c r="AB158" s="55"/>
      <x:c r="AC158" s="55"/>
      <x:c r="AD158" s="59"/>
      <x:c r="AE158" s="55"/>
      <x:c r="AF158" s="55"/>
      <x:c r="AG158" s="59"/>
      <x:c r="AH158" s="55"/>
      <x:c r="AI158" s="55"/>
      <x:c r="AJ158" s="59"/>
      <x:c r="AK158" s="55"/>
      <x:c r="AL158" s="55"/>
      <x:c r="AM158" s="59"/>
      <x:c r="AN158" s="56"/>
      <x:c r="AO158" s="57"/>
      <x:c r="AP158" s="57"/>
      <x:c r="AQ158" s="57"/>
      <x:c r="AR158" s="57"/>
      <x:c r="AS158" s="65" t="str">
        <x:f>IF(COUNT(AQ158,AR158)&lt;2,"",IF(AR158=0,"",AQ158/AR158))</x:f>
      </x:c>
      <x:c r="AT158" s="65" t="str">
        <x:f>IF(COUNT(AQ158,AP158)&lt;2,"",IF(AP158=0,"",AQ158/AP158))</x:f>
      </x:c>
      <x:c r="AU158" s="67" t="str">
        <x:f>IF(COUNT(AQ158,AR158)&lt;2,"",AQ158-AR158)</x:f>
      </x:c>
      <x:c r="AV158" s="67" t="str">
        <x:f>IF(COUNT(AQ158,AP158)&lt;2,"",AQ158-AP158)</x:f>
      </x:c>
      <x:c r="AW158" s="67" t="str">
        <x:f>IF(COUNT(AO158,AS158)&lt;2,"",IF(AS158=0,"",AO158/AS158))</x:f>
      </x:c>
      <x:c r="AX158" s="67" t="str">
        <x:f>IF(COUNT(AW158,AR158)&lt;2,"",AW158-AR158)</x:f>
      </x:c>
      <x:c r="AY158" s="67" t="str">
        <x:f>IF(COUNT(AO158,AW158)&lt;2,"",AO158-AW158)</x:f>
      </x:c>
      <x:c r="AZ158" s="55"/>
      <x:c r="BA158" s="55"/>
      <x:c r="BB158" s="55"/>
      <x:c r="BC158" s="55"/>
      <x:c r="BD158" s="55"/>
      <x:c r="BE158" s="56"/>
      <x:c r="BF158" s="56"/>
      <x:c r="BG158" s="55"/>
    </x:row>
    <x:row r="159" ht="28" customHeight="1">
      <x:c r="A159" s="55"/>
      <x:c r="B159" s="55"/>
      <x:c r="C159" s="55"/>
      <x:c r="D159" s="55"/>
      <x:c r="E159" s="56"/>
      <x:c r="F159" s="57"/>
      <x:c r="G159" s="59"/>
      <x:c r="H159" s="59"/>
      <x:c r="I159" s="59"/>
      <x:c r="J159" s="59"/>
      <x:c r="K159" s="59"/>
      <x:c r="L159" s="59"/>
      <x:c r="M159" s="59"/>
      <x:c r="N159" s="59"/>
      <x:c r="O159" s="56"/>
      <x:c r="P159" s="56"/>
      <x:c r="Q159" s="56"/>
      <x:c r="R159" s="56"/>
      <x:c r="S159" s="55"/>
      <x:c r="T159" s="55"/>
      <x:c r="U159" s="56"/>
      <x:c r="V159" s="56"/>
      <x:c r="W159" s="55"/>
      <x:c r="X159" s="60"/>
      <x:c r="Y159" s="55"/>
      <x:c r="Z159" s="55"/>
      <x:c r="AA159" s="59"/>
      <x:c r="AB159" s="55"/>
      <x:c r="AC159" s="55"/>
      <x:c r="AD159" s="59"/>
      <x:c r="AE159" s="55"/>
      <x:c r="AF159" s="55"/>
      <x:c r="AG159" s="59"/>
      <x:c r="AH159" s="55"/>
      <x:c r="AI159" s="55"/>
      <x:c r="AJ159" s="59"/>
      <x:c r="AK159" s="55"/>
      <x:c r="AL159" s="55"/>
      <x:c r="AM159" s="59"/>
      <x:c r="AN159" s="56"/>
      <x:c r="AO159" s="57"/>
      <x:c r="AP159" s="57"/>
      <x:c r="AQ159" s="57"/>
      <x:c r="AR159" s="57"/>
      <x:c r="AS159" s="65" t="str">
        <x:f>IF(COUNT(AQ159,AR159)&lt;2,"",IF(AR159=0,"",AQ159/AR159))</x:f>
      </x:c>
      <x:c r="AT159" s="65" t="str">
        <x:f>IF(COUNT(AQ159,AP159)&lt;2,"",IF(AP159=0,"",AQ159/AP159))</x:f>
      </x:c>
      <x:c r="AU159" s="67" t="str">
        <x:f>IF(COUNT(AQ159,AR159)&lt;2,"",AQ159-AR159)</x:f>
      </x:c>
      <x:c r="AV159" s="67" t="str">
        <x:f>IF(COUNT(AQ159,AP159)&lt;2,"",AQ159-AP159)</x:f>
      </x:c>
      <x:c r="AW159" s="67" t="str">
        <x:f>IF(COUNT(AO159,AS159)&lt;2,"",IF(AS159=0,"",AO159/AS159))</x:f>
      </x:c>
      <x:c r="AX159" s="67" t="str">
        <x:f>IF(COUNT(AW159,AR159)&lt;2,"",AW159-AR159)</x:f>
      </x:c>
      <x:c r="AY159" s="67" t="str">
        <x:f>IF(COUNT(AO159,AW159)&lt;2,"",AO159-AW159)</x:f>
      </x:c>
      <x:c r="AZ159" s="55"/>
      <x:c r="BA159" s="55"/>
      <x:c r="BB159" s="55"/>
      <x:c r="BC159" s="55"/>
      <x:c r="BD159" s="55"/>
      <x:c r="BE159" s="56"/>
      <x:c r="BF159" s="56"/>
      <x:c r="BG159" s="55"/>
    </x:row>
    <x:row r="160" ht="28" customHeight="1">
      <x:c r="A160" s="55"/>
      <x:c r="B160" s="55"/>
      <x:c r="C160" s="55"/>
      <x:c r="D160" s="55"/>
      <x:c r="E160" s="56"/>
      <x:c r="F160" s="57"/>
      <x:c r="G160" s="59"/>
      <x:c r="H160" s="59"/>
      <x:c r="I160" s="59"/>
      <x:c r="J160" s="59"/>
      <x:c r="K160" s="59"/>
      <x:c r="L160" s="59"/>
      <x:c r="M160" s="59"/>
      <x:c r="N160" s="59"/>
      <x:c r="O160" s="56"/>
      <x:c r="P160" s="56"/>
      <x:c r="Q160" s="56"/>
      <x:c r="R160" s="56"/>
      <x:c r="S160" s="55"/>
      <x:c r="T160" s="55"/>
      <x:c r="U160" s="56"/>
      <x:c r="V160" s="56"/>
      <x:c r="W160" s="55"/>
      <x:c r="X160" s="60"/>
      <x:c r="Y160" s="55"/>
      <x:c r="Z160" s="55"/>
      <x:c r="AA160" s="59"/>
      <x:c r="AB160" s="55"/>
      <x:c r="AC160" s="55"/>
      <x:c r="AD160" s="59"/>
      <x:c r="AE160" s="55"/>
      <x:c r="AF160" s="55"/>
      <x:c r="AG160" s="59"/>
      <x:c r="AH160" s="55"/>
      <x:c r="AI160" s="55"/>
      <x:c r="AJ160" s="59"/>
      <x:c r="AK160" s="55"/>
      <x:c r="AL160" s="55"/>
      <x:c r="AM160" s="59"/>
      <x:c r="AN160" s="56"/>
      <x:c r="AO160" s="57"/>
      <x:c r="AP160" s="57"/>
      <x:c r="AQ160" s="57"/>
      <x:c r="AR160" s="57"/>
      <x:c r="AS160" s="65" t="str">
        <x:f>IF(COUNT(AQ160,AR160)&lt;2,"",IF(AR160=0,"",AQ160/AR160))</x:f>
      </x:c>
      <x:c r="AT160" s="65" t="str">
        <x:f>IF(COUNT(AQ160,AP160)&lt;2,"",IF(AP160=0,"",AQ160/AP160))</x:f>
      </x:c>
      <x:c r="AU160" s="67" t="str">
        <x:f>IF(COUNT(AQ160,AR160)&lt;2,"",AQ160-AR160)</x:f>
      </x:c>
      <x:c r="AV160" s="67" t="str">
        <x:f>IF(COUNT(AQ160,AP160)&lt;2,"",AQ160-AP160)</x:f>
      </x:c>
      <x:c r="AW160" s="67" t="str">
        <x:f>IF(COUNT(AO160,AS160)&lt;2,"",IF(AS160=0,"",AO160/AS160))</x:f>
      </x:c>
      <x:c r="AX160" s="67" t="str">
        <x:f>IF(COUNT(AW160,AR160)&lt;2,"",AW160-AR160)</x:f>
      </x:c>
      <x:c r="AY160" s="67" t="str">
        <x:f>IF(COUNT(AO160,AW160)&lt;2,"",AO160-AW160)</x:f>
      </x:c>
      <x:c r="AZ160" s="55"/>
      <x:c r="BA160" s="55"/>
      <x:c r="BB160" s="55"/>
      <x:c r="BC160" s="55"/>
      <x:c r="BD160" s="55"/>
      <x:c r="BE160" s="56"/>
      <x:c r="BF160" s="56"/>
      <x:c r="BG160" s="55"/>
    </x:row>
    <x:row r="161" ht="28" customHeight="1">
      <x:c r="A161" s="55"/>
      <x:c r="B161" s="55"/>
      <x:c r="C161" s="55"/>
      <x:c r="D161" s="55"/>
      <x:c r="E161" s="56"/>
      <x:c r="F161" s="57"/>
      <x:c r="G161" s="59"/>
      <x:c r="H161" s="59"/>
      <x:c r="I161" s="59"/>
      <x:c r="J161" s="59"/>
      <x:c r="K161" s="59"/>
      <x:c r="L161" s="59"/>
      <x:c r="M161" s="59"/>
      <x:c r="N161" s="59"/>
      <x:c r="O161" s="56"/>
      <x:c r="P161" s="56"/>
      <x:c r="Q161" s="56"/>
      <x:c r="R161" s="56"/>
      <x:c r="S161" s="55"/>
      <x:c r="T161" s="55"/>
      <x:c r="U161" s="56"/>
      <x:c r="V161" s="56"/>
      <x:c r="W161" s="55"/>
      <x:c r="X161" s="60"/>
      <x:c r="Y161" s="55"/>
      <x:c r="Z161" s="55"/>
      <x:c r="AA161" s="59"/>
      <x:c r="AB161" s="55"/>
      <x:c r="AC161" s="55"/>
      <x:c r="AD161" s="59"/>
      <x:c r="AE161" s="55"/>
      <x:c r="AF161" s="55"/>
      <x:c r="AG161" s="59"/>
      <x:c r="AH161" s="55"/>
      <x:c r="AI161" s="55"/>
      <x:c r="AJ161" s="59"/>
      <x:c r="AK161" s="55"/>
      <x:c r="AL161" s="55"/>
      <x:c r="AM161" s="59"/>
      <x:c r="AN161" s="56"/>
      <x:c r="AO161" s="57"/>
      <x:c r="AP161" s="57"/>
      <x:c r="AQ161" s="57"/>
      <x:c r="AR161" s="57"/>
      <x:c r="AS161" s="65" t="str">
        <x:f>IF(COUNT(AQ161,AR161)&lt;2,"",IF(AR161=0,"",AQ161/AR161))</x:f>
      </x:c>
      <x:c r="AT161" s="65" t="str">
        <x:f>IF(COUNT(AQ161,AP161)&lt;2,"",IF(AP161=0,"",AQ161/AP161))</x:f>
      </x:c>
      <x:c r="AU161" s="67" t="str">
        <x:f>IF(COUNT(AQ161,AR161)&lt;2,"",AQ161-AR161)</x:f>
      </x:c>
      <x:c r="AV161" s="67" t="str">
        <x:f>IF(COUNT(AQ161,AP161)&lt;2,"",AQ161-AP161)</x:f>
      </x:c>
      <x:c r="AW161" s="67" t="str">
        <x:f>IF(COUNT(AO161,AS161)&lt;2,"",IF(AS161=0,"",AO161/AS161))</x:f>
      </x:c>
      <x:c r="AX161" s="67" t="str">
        <x:f>IF(COUNT(AW161,AR161)&lt;2,"",AW161-AR161)</x:f>
      </x:c>
      <x:c r="AY161" s="67" t="str">
        <x:f>IF(COUNT(AO161,AW161)&lt;2,"",AO161-AW161)</x:f>
      </x:c>
      <x:c r="AZ161" s="55"/>
      <x:c r="BA161" s="55"/>
      <x:c r="BB161" s="55"/>
      <x:c r="BC161" s="55"/>
      <x:c r="BD161" s="55"/>
      <x:c r="BE161" s="56"/>
      <x:c r="BF161" s="56"/>
      <x:c r="BG161" s="55"/>
    </x:row>
    <x:row r="162" ht="28" customHeight="1">
      <x:c r="A162" s="55"/>
      <x:c r="B162" s="55"/>
      <x:c r="C162" s="55"/>
      <x:c r="D162" s="55"/>
      <x:c r="E162" s="56"/>
      <x:c r="F162" s="57"/>
      <x:c r="G162" s="59"/>
      <x:c r="H162" s="59"/>
      <x:c r="I162" s="59"/>
      <x:c r="J162" s="59"/>
      <x:c r="K162" s="59"/>
      <x:c r="L162" s="59"/>
      <x:c r="M162" s="59"/>
      <x:c r="N162" s="59"/>
      <x:c r="O162" s="56"/>
      <x:c r="P162" s="56"/>
      <x:c r="Q162" s="56"/>
      <x:c r="R162" s="56"/>
      <x:c r="S162" s="55"/>
      <x:c r="T162" s="55"/>
      <x:c r="U162" s="56"/>
      <x:c r="V162" s="56"/>
      <x:c r="W162" s="55"/>
      <x:c r="X162" s="60"/>
      <x:c r="Y162" s="55"/>
      <x:c r="Z162" s="55"/>
      <x:c r="AA162" s="59"/>
      <x:c r="AB162" s="55"/>
      <x:c r="AC162" s="55"/>
      <x:c r="AD162" s="59"/>
      <x:c r="AE162" s="55"/>
      <x:c r="AF162" s="55"/>
      <x:c r="AG162" s="59"/>
      <x:c r="AH162" s="55"/>
      <x:c r="AI162" s="55"/>
      <x:c r="AJ162" s="59"/>
      <x:c r="AK162" s="55"/>
      <x:c r="AL162" s="55"/>
      <x:c r="AM162" s="59"/>
      <x:c r="AN162" s="56"/>
      <x:c r="AO162" s="57"/>
      <x:c r="AP162" s="57"/>
      <x:c r="AQ162" s="57"/>
      <x:c r="AR162" s="57"/>
      <x:c r="AS162" s="65" t="str">
        <x:f>IF(COUNT(AQ162,AR162)&lt;2,"",IF(AR162=0,"",AQ162/AR162))</x:f>
      </x:c>
      <x:c r="AT162" s="65" t="str">
        <x:f>IF(COUNT(AQ162,AP162)&lt;2,"",IF(AP162=0,"",AQ162/AP162))</x:f>
      </x:c>
      <x:c r="AU162" s="67" t="str">
        <x:f>IF(COUNT(AQ162,AR162)&lt;2,"",AQ162-AR162)</x:f>
      </x:c>
      <x:c r="AV162" s="67" t="str">
        <x:f>IF(COUNT(AQ162,AP162)&lt;2,"",AQ162-AP162)</x:f>
      </x:c>
      <x:c r="AW162" s="67" t="str">
        <x:f>IF(COUNT(AO162,AS162)&lt;2,"",IF(AS162=0,"",AO162/AS162))</x:f>
      </x:c>
      <x:c r="AX162" s="67" t="str">
        <x:f>IF(COUNT(AW162,AR162)&lt;2,"",AW162-AR162)</x:f>
      </x:c>
      <x:c r="AY162" s="67" t="str">
        <x:f>IF(COUNT(AO162,AW162)&lt;2,"",AO162-AW162)</x:f>
      </x:c>
      <x:c r="AZ162" s="55"/>
      <x:c r="BA162" s="55"/>
      <x:c r="BB162" s="55"/>
      <x:c r="BC162" s="55"/>
      <x:c r="BD162" s="55"/>
      <x:c r="BE162" s="56"/>
      <x:c r="BF162" s="56"/>
      <x:c r="BG162" s="55"/>
    </x:row>
    <x:row r="163" ht="28" customHeight="1">
      <x:c r="A163" s="55"/>
      <x:c r="B163" s="55"/>
      <x:c r="C163" s="55"/>
      <x:c r="D163" s="55"/>
      <x:c r="E163" s="56"/>
      <x:c r="F163" s="57"/>
      <x:c r="G163" s="59"/>
      <x:c r="H163" s="59"/>
      <x:c r="I163" s="59"/>
      <x:c r="J163" s="59"/>
      <x:c r="K163" s="59"/>
      <x:c r="L163" s="59"/>
      <x:c r="M163" s="59"/>
      <x:c r="N163" s="59"/>
      <x:c r="O163" s="56"/>
      <x:c r="P163" s="56"/>
      <x:c r="Q163" s="56"/>
      <x:c r="R163" s="56"/>
      <x:c r="S163" s="55"/>
      <x:c r="T163" s="55"/>
      <x:c r="U163" s="56"/>
      <x:c r="V163" s="56"/>
      <x:c r="W163" s="55"/>
      <x:c r="X163" s="60"/>
      <x:c r="Y163" s="55"/>
      <x:c r="Z163" s="55"/>
      <x:c r="AA163" s="59"/>
      <x:c r="AB163" s="55"/>
      <x:c r="AC163" s="55"/>
      <x:c r="AD163" s="59"/>
      <x:c r="AE163" s="55"/>
      <x:c r="AF163" s="55"/>
      <x:c r="AG163" s="59"/>
      <x:c r="AH163" s="55"/>
      <x:c r="AI163" s="55"/>
      <x:c r="AJ163" s="59"/>
      <x:c r="AK163" s="55"/>
      <x:c r="AL163" s="55"/>
      <x:c r="AM163" s="59"/>
      <x:c r="AN163" s="56"/>
      <x:c r="AO163" s="57"/>
      <x:c r="AP163" s="57"/>
      <x:c r="AQ163" s="57"/>
      <x:c r="AR163" s="57"/>
      <x:c r="AS163" s="65" t="str">
        <x:f>IF(COUNT(AQ163,AR163)&lt;2,"",IF(AR163=0,"",AQ163/AR163))</x:f>
      </x:c>
      <x:c r="AT163" s="65" t="str">
        <x:f>IF(COUNT(AQ163,AP163)&lt;2,"",IF(AP163=0,"",AQ163/AP163))</x:f>
      </x:c>
      <x:c r="AU163" s="67" t="str">
        <x:f>IF(COUNT(AQ163,AR163)&lt;2,"",AQ163-AR163)</x:f>
      </x:c>
      <x:c r="AV163" s="67" t="str">
        <x:f>IF(COUNT(AQ163,AP163)&lt;2,"",AQ163-AP163)</x:f>
      </x:c>
      <x:c r="AW163" s="67" t="str">
        <x:f>IF(COUNT(AO163,AS163)&lt;2,"",IF(AS163=0,"",AO163/AS163))</x:f>
      </x:c>
      <x:c r="AX163" s="67" t="str">
        <x:f>IF(COUNT(AW163,AR163)&lt;2,"",AW163-AR163)</x:f>
      </x:c>
      <x:c r="AY163" s="67" t="str">
        <x:f>IF(COUNT(AO163,AW163)&lt;2,"",AO163-AW163)</x:f>
      </x:c>
      <x:c r="AZ163" s="55"/>
      <x:c r="BA163" s="55"/>
      <x:c r="BB163" s="55"/>
      <x:c r="BC163" s="55"/>
      <x:c r="BD163" s="55"/>
      <x:c r="BE163" s="56"/>
      <x:c r="BF163" s="56"/>
      <x:c r="BG163" s="55"/>
    </x:row>
    <x:row r="164" ht="28" customHeight="1">
      <x:c r="A164" s="55"/>
      <x:c r="B164" s="55"/>
      <x:c r="C164" s="55"/>
      <x:c r="D164" s="55"/>
      <x:c r="E164" s="56"/>
      <x:c r="F164" s="57"/>
      <x:c r="G164" s="59"/>
      <x:c r="H164" s="59"/>
      <x:c r="I164" s="59"/>
      <x:c r="J164" s="59"/>
      <x:c r="K164" s="59"/>
      <x:c r="L164" s="59"/>
      <x:c r="M164" s="59"/>
      <x:c r="N164" s="59"/>
      <x:c r="O164" s="56"/>
      <x:c r="P164" s="56"/>
      <x:c r="Q164" s="56"/>
      <x:c r="R164" s="56"/>
      <x:c r="S164" s="55"/>
      <x:c r="T164" s="55"/>
      <x:c r="U164" s="56"/>
      <x:c r="V164" s="56"/>
      <x:c r="W164" s="55"/>
      <x:c r="X164" s="60"/>
      <x:c r="Y164" s="55"/>
      <x:c r="Z164" s="55"/>
      <x:c r="AA164" s="59"/>
      <x:c r="AB164" s="55"/>
      <x:c r="AC164" s="55"/>
      <x:c r="AD164" s="59"/>
      <x:c r="AE164" s="55"/>
      <x:c r="AF164" s="55"/>
      <x:c r="AG164" s="59"/>
      <x:c r="AH164" s="55"/>
      <x:c r="AI164" s="55"/>
      <x:c r="AJ164" s="59"/>
      <x:c r="AK164" s="55"/>
      <x:c r="AL164" s="55"/>
      <x:c r="AM164" s="59"/>
      <x:c r="AN164" s="56"/>
      <x:c r="AO164" s="57"/>
      <x:c r="AP164" s="57"/>
      <x:c r="AQ164" s="57"/>
      <x:c r="AR164" s="57"/>
      <x:c r="AS164" s="65" t="str">
        <x:f>IF(COUNT(AQ164,AR164)&lt;2,"",IF(AR164=0,"",AQ164/AR164))</x:f>
      </x:c>
      <x:c r="AT164" s="65" t="str">
        <x:f>IF(COUNT(AQ164,AP164)&lt;2,"",IF(AP164=0,"",AQ164/AP164))</x:f>
      </x:c>
      <x:c r="AU164" s="67" t="str">
        <x:f>IF(COUNT(AQ164,AR164)&lt;2,"",AQ164-AR164)</x:f>
      </x:c>
      <x:c r="AV164" s="67" t="str">
        <x:f>IF(COUNT(AQ164,AP164)&lt;2,"",AQ164-AP164)</x:f>
      </x:c>
      <x:c r="AW164" s="67" t="str">
        <x:f>IF(COUNT(AO164,AS164)&lt;2,"",IF(AS164=0,"",AO164/AS164))</x:f>
      </x:c>
      <x:c r="AX164" s="67" t="str">
        <x:f>IF(COUNT(AW164,AR164)&lt;2,"",AW164-AR164)</x:f>
      </x:c>
      <x:c r="AY164" s="67" t="str">
        <x:f>IF(COUNT(AO164,AW164)&lt;2,"",AO164-AW164)</x:f>
      </x:c>
      <x:c r="AZ164" s="55"/>
      <x:c r="BA164" s="55"/>
      <x:c r="BB164" s="55"/>
      <x:c r="BC164" s="55"/>
      <x:c r="BD164" s="55"/>
      <x:c r="BE164" s="56"/>
      <x:c r="BF164" s="56"/>
      <x:c r="BG164" s="55"/>
    </x:row>
    <x:row r="165" ht="28" customHeight="1">
      <x:c r="A165" s="55"/>
      <x:c r="B165" s="55"/>
      <x:c r="C165" s="55"/>
      <x:c r="D165" s="55"/>
      <x:c r="E165" s="56"/>
      <x:c r="F165" s="57"/>
      <x:c r="G165" s="59"/>
      <x:c r="H165" s="59"/>
      <x:c r="I165" s="59"/>
      <x:c r="J165" s="59"/>
      <x:c r="K165" s="59"/>
      <x:c r="L165" s="59"/>
      <x:c r="M165" s="59"/>
      <x:c r="N165" s="59"/>
      <x:c r="O165" s="56"/>
      <x:c r="P165" s="56"/>
      <x:c r="Q165" s="56"/>
      <x:c r="R165" s="56"/>
      <x:c r="S165" s="55"/>
      <x:c r="T165" s="55"/>
      <x:c r="U165" s="56"/>
      <x:c r="V165" s="56"/>
      <x:c r="W165" s="55"/>
      <x:c r="X165" s="60"/>
      <x:c r="Y165" s="55"/>
      <x:c r="Z165" s="55"/>
      <x:c r="AA165" s="59"/>
      <x:c r="AB165" s="55"/>
      <x:c r="AC165" s="55"/>
      <x:c r="AD165" s="59"/>
      <x:c r="AE165" s="55"/>
      <x:c r="AF165" s="55"/>
      <x:c r="AG165" s="59"/>
      <x:c r="AH165" s="55"/>
      <x:c r="AI165" s="55"/>
      <x:c r="AJ165" s="59"/>
      <x:c r="AK165" s="55"/>
      <x:c r="AL165" s="55"/>
      <x:c r="AM165" s="59"/>
      <x:c r="AN165" s="56"/>
      <x:c r="AO165" s="57"/>
      <x:c r="AP165" s="57"/>
      <x:c r="AQ165" s="57"/>
      <x:c r="AR165" s="57"/>
      <x:c r="AS165" s="65" t="str">
        <x:f>IF(COUNT(AQ165,AR165)&lt;2,"",IF(AR165=0,"",AQ165/AR165))</x:f>
      </x:c>
      <x:c r="AT165" s="65" t="str">
        <x:f>IF(COUNT(AQ165,AP165)&lt;2,"",IF(AP165=0,"",AQ165/AP165))</x:f>
      </x:c>
      <x:c r="AU165" s="67" t="str">
        <x:f>IF(COUNT(AQ165,AR165)&lt;2,"",AQ165-AR165)</x:f>
      </x:c>
      <x:c r="AV165" s="67" t="str">
        <x:f>IF(COUNT(AQ165,AP165)&lt;2,"",AQ165-AP165)</x:f>
      </x:c>
      <x:c r="AW165" s="67" t="str">
        <x:f>IF(COUNT(AO165,AS165)&lt;2,"",IF(AS165=0,"",AO165/AS165))</x:f>
      </x:c>
      <x:c r="AX165" s="67" t="str">
        <x:f>IF(COUNT(AW165,AR165)&lt;2,"",AW165-AR165)</x:f>
      </x:c>
      <x:c r="AY165" s="67" t="str">
        <x:f>IF(COUNT(AO165,AW165)&lt;2,"",AO165-AW165)</x:f>
      </x:c>
      <x:c r="AZ165" s="55"/>
      <x:c r="BA165" s="55"/>
      <x:c r="BB165" s="55"/>
      <x:c r="BC165" s="55"/>
      <x:c r="BD165" s="55"/>
      <x:c r="BE165" s="56"/>
      <x:c r="BF165" s="56"/>
      <x:c r="BG165" s="55"/>
    </x:row>
    <x:row r="166" ht="28" customHeight="1">
      <x:c r="A166" s="55"/>
      <x:c r="B166" s="55"/>
      <x:c r="C166" s="55"/>
      <x:c r="D166" s="55"/>
      <x:c r="E166" s="56"/>
      <x:c r="F166" s="57"/>
      <x:c r="G166" s="59"/>
      <x:c r="H166" s="59"/>
      <x:c r="I166" s="59"/>
      <x:c r="J166" s="59"/>
      <x:c r="K166" s="59"/>
      <x:c r="L166" s="59"/>
      <x:c r="M166" s="59"/>
      <x:c r="N166" s="59"/>
      <x:c r="O166" s="56"/>
      <x:c r="P166" s="56"/>
      <x:c r="Q166" s="56"/>
      <x:c r="R166" s="56"/>
      <x:c r="S166" s="55"/>
      <x:c r="T166" s="55"/>
      <x:c r="U166" s="56"/>
      <x:c r="V166" s="56"/>
      <x:c r="W166" s="55"/>
      <x:c r="X166" s="60"/>
      <x:c r="Y166" s="55"/>
      <x:c r="Z166" s="55"/>
      <x:c r="AA166" s="59"/>
      <x:c r="AB166" s="55"/>
      <x:c r="AC166" s="55"/>
      <x:c r="AD166" s="59"/>
      <x:c r="AE166" s="55"/>
      <x:c r="AF166" s="55"/>
      <x:c r="AG166" s="59"/>
      <x:c r="AH166" s="55"/>
      <x:c r="AI166" s="55"/>
      <x:c r="AJ166" s="59"/>
      <x:c r="AK166" s="55"/>
      <x:c r="AL166" s="55"/>
      <x:c r="AM166" s="59"/>
      <x:c r="AN166" s="56"/>
      <x:c r="AO166" s="57"/>
      <x:c r="AP166" s="57"/>
      <x:c r="AQ166" s="57"/>
      <x:c r="AR166" s="57"/>
      <x:c r="AS166" s="65" t="str">
        <x:f>IF(COUNT(AQ166,AR166)&lt;2,"",IF(AR166=0,"",AQ166/AR166))</x:f>
      </x:c>
      <x:c r="AT166" s="65" t="str">
        <x:f>IF(COUNT(AQ166,AP166)&lt;2,"",IF(AP166=0,"",AQ166/AP166))</x:f>
      </x:c>
      <x:c r="AU166" s="67" t="str">
        <x:f>IF(COUNT(AQ166,AR166)&lt;2,"",AQ166-AR166)</x:f>
      </x:c>
      <x:c r="AV166" s="67" t="str">
        <x:f>IF(COUNT(AQ166,AP166)&lt;2,"",AQ166-AP166)</x:f>
      </x:c>
      <x:c r="AW166" s="67" t="str">
        <x:f>IF(COUNT(AO166,AS166)&lt;2,"",IF(AS166=0,"",AO166/AS166))</x:f>
      </x:c>
      <x:c r="AX166" s="67" t="str">
        <x:f>IF(COUNT(AW166,AR166)&lt;2,"",AW166-AR166)</x:f>
      </x:c>
      <x:c r="AY166" s="67" t="str">
        <x:f>IF(COUNT(AO166,AW166)&lt;2,"",AO166-AW166)</x:f>
      </x:c>
      <x:c r="AZ166" s="55"/>
      <x:c r="BA166" s="55"/>
      <x:c r="BB166" s="55"/>
      <x:c r="BC166" s="55"/>
      <x:c r="BD166" s="55"/>
      <x:c r="BE166" s="56"/>
      <x:c r="BF166" s="56"/>
      <x:c r="BG166" s="55"/>
    </x:row>
    <x:row r="167" ht="28" customHeight="1">
      <x:c r="A167" s="55"/>
      <x:c r="B167" s="55"/>
      <x:c r="C167" s="55"/>
      <x:c r="D167" s="55"/>
      <x:c r="E167" s="56"/>
      <x:c r="F167" s="57"/>
      <x:c r="G167" s="59"/>
      <x:c r="H167" s="59"/>
      <x:c r="I167" s="59"/>
      <x:c r="J167" s="59"/>
      <x:c r="K167" s="59"/>
      <x:c r="L167" s="59"/>
      <x:c r="M167" s="59"/>
      <x:c r="N167" s="59"/>
      <x:c r="O167" s="56"/>
      <x:c r="P167" s="56"/>
      <x:c r="Q167" s="56"/>
      <x:c r="R167" s="56"/>
      <x:c r="S167" s="55"/>
      <x:c r="T167" s="55"/>
      <x:c r="U167" s="56"/>
      <x:c r="V167" s="56"/>
      <x:c r="W167" s="55"/>
      <x:c r="X167" s="60"/>
      <x:c r="Y167" s="55"/>
      <x:c r="Z167" s="55"/>
      <x:c r="AA167" s="59"/>
      <x:c r="AB167" s="55"/>
      <x:c r="AC167" s="55"/>
      <x:c r="AD167" s="59"/>
      <x:c r="AE167" s="55"/>
      <x:c r="AF167" s="55"/>
      <x:c r="AG167" s="59"/>
      <x:c r="AH167" s="55"/>
      <x:c r="AI167" s="55"/>
      <x:c r="AJ167" s="59"/>
      <x:c r="AK167" s="55"/>
      <x:c r="AL167" s="55"/>
      <x:c r="AM167" s="59"/>
      <x:c r="AN167" s="56"/>
      <x:c r="AO167" s="57"/>
      <x:c r="AP167" s="57"/>
      <x:c r="AQ167" s="57"/>
      <x:c r="AR167" s="57"/>
      <x:c r="AS167" s="65" t="str">
        <x:f>IF(COUNT(AQ167,AR167)&lt;2,"",IF(AR167=0,"",AQ167/AR167))</x:f>
      </x:c>
      <x:c r="AT167" s="65" t="str">
        <x:f>IF(COUNT(AQ167,AP167)&lt;2,"",IF(AP167=0,"",AQ167/AP167))</x:f>
      </x:c>
      <x:c r="AU167" s="67" t="str">
        <x:f>IF(COUNT(AQ167,AR167)&lt;2,"",AQ167-AR167)</x:f>
      </x:c>
      <x:c r="AV167" s="67" t="str">
        <x:f>IF(COUNT(AQ167,AP167)&lt;2,"",AQ167-AP167)</x:f>
      </x:c>
      <x:c r="AW167" s="67" t="str">
        <x:f>IF(COUNT(AO167,AS167)&lt;2,"",IF(AS167=0,"",AO167/AS167))</x:f>
      </x:c>
      <x:c r="AX167" s="67" t="str">
        <x:f>IF(COUNT(AW167,AR167)&lt;2,"",AW167-AR167)</x:f>
      </x:c>
      <x:c r="AY167" s="67" t="str">
        <x:f>IF(COUNT(AO167,AW167)&lt;2,"",AO167-AW167)</x:f>
      </x:c>
      <x:c r="AZ167" s="55"/>
      <x:c r="BA167" s="55"/>
      <x:c r="BB167" s="55"/>
      <x:c r="BC167" s="55"/>
      <x:c r="BD167" s="55"/>
      <x:c r="BE167" s="56"/>
      <x:c r="BF167" s="56"/>
      <x:c r="BG167" s="55"/>
    </x:row>
    <x:row r="168" ht="28" customHeight="1">
      <x:c r="A168" s="55"/>
      <x:c r="B168" s="55"/>
      <x:c r="C168" s="55"/>
      <x:c r="D168" s="55"/>
      <x:c r="E168" s="56"/>
      <x:c r="F168" s="57"/>
      <x:c r="G168" s="59"/>
      <x:c r="H168" s="59"/>
      <x:c r="I168" s="59"/>
      <x:c r="J168" s="59"/>
      <x:c r="K168" s="59"/>
      <x:c r="L168" s="59"/>
      <x:c r="M168" s="59"/>
      <x:c r="N168" s="59"/>
      <x:c r="O168" s="56"/>
      <x:c r="P168" s="56"/>
      <x:c r="Q168" s="56"/>
      <x:c r="R168" s="56"/>
      <x:c r="S168" s="55"/>
      <x:c r="T168" s="55"/>
      <x:c r="U168" s="56"/>
      <x:c r="V168" s="56"/>
      <x:c r="W168" s="55"/>
      <x:c r="X168" s="60"/>
      <x:c r="Y168" s="55"/>
      <x:c r="Z168" s="55"/>
      <x:c r="AA168" s="59"/>
      <x:c r="AB168" s="55"/>
      <x:c r="AC168" s="55"/>
      <x:c r="AD168" s="59"/>
      <x:c r="AE168" s="55"/>
      <x:c r="AF168" s="55"/>
      <x:c r="AG168" s="59"/>
      <x:c r="AH168" s="55"/>
      <x:c r="AI168" s="55"/>
      <x:c r="AJ168" s="59"/>
      <x:c r="AK168" s="55"/>
      <x:c r="AL168" s="55"/>
      <x:c r="AM168" s="59"/>
      <x:c r="AN168" s="56"/>
      <x:c r="AO168" s="57"/>
      <x:c r="AP168" s="57"/>
      <x:c r="AQ168" s="57"/>
      <x:c r="AR168" s="57"/>
      <x:c r="AS168" s="65" t="str">
        <x:f>IF(COUNT(AQ168,AR168)&lt;2,"",IF(AR168=0,"",AQ168/AR168))</x:f>
      </x:c>
      <x:c r="AT168" s="65" t="str">
        <x:f>IF(COUNT(AQ168,AP168)&lt;2,"",IF(AP168=0,"",AQ168/AP168))</x:f>
      </x:c>
      <x:c r="AU168" s="67" t="str">
        <x:f>IF(COUNT(AQ168,AR168)&lt;2,"",AQ168-AR168)</x:f>
      </x:c>
      <x:c r="AV168" s="67" t="str">
        <x:f>IF(COUNT(AQ168,AP168)&lt;2,"",AQ168-AP168)</x:f>
      </x:c>
      <x:c r="AW168" s="67" t="str">
        <x:f>IF(COUNT(AO168,AS168)&lt;2,"",IF(AS168=0,"",AO168/AS168))</x:f>
      </x:c>
      <x:c r="AX168" s="67" t="str">
        <x:f>IF(COUNT(AW168,AR168)&lt;2,"",AW168-AR168)</x:f>
      </x:c>
      <x:c r="AY168" s="67" t="str">
        <x:f>IF(COUNT(AO168,AW168)&lt;2,"",AO168-AW168)</x:f>
      </x:c>
      <x:c r="AZ168" s="55"/>
      <x:c r="BA168" s="55"/>
      <x:c r="BB168" s="55"/>
      <x:c r="BC168" s="55"/>
      <x:c r="BD168" s="55"/>
      <x:c r="BE168" s="56"/>
      <x:c r="BF168" s="56"/>
      <x:c r="BG168" s="55"/>
    </x:row>
    <x:row r="169" ht="28" customHeight="1">
      <x:c r="A169" s="55"/>
      <x:c r="B169" s="55"/>
      <x:c r="C169" s="55"/>
      <x:c r="D169" s="55"/>
      <x:c r="E169" s="56"/>
      <x:c r="F169" s="57"/>
      <x:c r="G169" s="59"/>
      <x:c r="H169" s="59"/>
      <x:c r="I169" s="59"/>
      <x:c r="J169" s="59"/>
      <x:c r="K169" s="59"/>
      <x:c r="L169" s="59"/>
      <x:c r="M169" s="59"/>
      <x:c r="N169" s="59"/>
      <x:c r="O169" s="56"/>
      <x:c r="P169" s="56"/>
      <x:c r="Q169" s="56"/>
      <x:c r="R169" s="56"/>
      <x:c r="S169" s="55"/>
      <x:c r="T169" s="55"/>
      <x:c r="U169" s="56"/>
      <x:c r="V169" s="56"/>
      <x:c r="W169" s="55"/>
      <x:c r="X169" s="60"/>
      <x:c r="Y169" s="55"/>
      <x:c r="Z169" s="55"/>
      <x:c r="AA169" s="59"/>
      <x:c r="AB169" s="55"/>
      <x:c r="AC169" s="55"/>
      <x:c r="AD169" s="59"/>
      <x:c r="AE169" s="55"/>
      <x:c r="AF169" s="55"/>
      <x:c r="AG169" s="59"/>
      <x:c r="AH169" s="55"/>
      <x:c r="AI169" s="55"/>
      <x:c r="AJ169" s="59"/>
      <x:c r="AK169" s="55"/>
      <x:c r="AL169" s="55"/>
      <x:c r="AM169" s="59"/>
      <x:c r="AN169" s="56"/>
      <x:c r="AO169" s="57"/>
      <x:c r="AP169" s="57"/>
      <x:c r="AQ169" s="57"/>
      <x:c r="AR169" s="57"/>
      <x:c r="AS169" s="65" t="str">
        <x:f>IF(COUNT(AQ169,AR169)&lt;2,"",IF(AR169=0,"",AQ169/AR169))</x:f>
      </x:c>
      <x:c r="AT169" s="65" t="str">
        <x:f>IF(COUNT(AQ169,AP169)&lt;2,"",IF(AP169=0,"",AQ169/AP169))</x:f>
      </x:c>
      <x:c r="AU169" s="67" t="str">
        <x:f>IF(COUNT(AQ169,AR169)&lt;2,"",AQ169-AR169)</x:f>
      </x:c>
      <x:c r="AV169" s="67" t="str">
        <x:f>IF(COUNT(AQ169,AP169)&lt;2,"",AQ169-AP169)</x:f>
      </x:c>
      <x:c r="AW169" s="67" t="str">
        <x:f>IF(COUNT(AO169,AS169)&lt;2,"",IF(AS169=0,"",AO169/AS169))</x:f>
      </x:c>
      <x:c r="AX169" s="67" t="str">
        <x:f>IF(COUNT(AW169,AR169)&lt;2,"",AW169-AR169)</x:f>
      </x:c>
      <x:c r="AY169" s="67" t="str">
        <x:f>IF(COUNT(AO169,AW169)&lt;2,"",AO169-AW169)</x:f>
      </x:c>
      <x:c r="AZ169" s="55"/>
      <x:c r="BA169" s="55"/>
      <x:c r="BB169" s="55"/>
      <x:c r="BC169" s="55"/>
      <x:c r="BD169" s="55"/>
      <x:c r="BE169" s="56"/>
      <x:c r="BF169" s="56"/>
      <x:c r="BG169" s="55"/>
    </x:row>
    <x:row r="170" ht="28" customHeight="1">
      <x:c r="A170" s="55"/>
      <x:c r="B170" s="55"/>
      <x:c r="C170" s="55"/>
      <x:c r="D170" s="55"/>
      <x:c r="E170" s="56"/>
      <x:c r="F170" s="57"/>
      <x:c r="G170" s="59"/>
      <x:c r="H170" s="59"/>
      <x:c r="I170" s="59"/>
      <x:c r="J170" s="59"/>
      <x:c r="K170" s="59"/>
      <x:c r="L170" s="59"/>
      <x:c r="M170" s="59"/>
      <x:c r="N170" s="59"/>
      <x:c r="O170" s="56"/>
      <x:c r="P170" s="56"/>
      <x:c r="Q170" s="56"/>
      <x:c r="R170" s="56"/>
      <x:c r="S170" s="55"/>
      <x:c r="T170" s="55"/>
      <x:c r="U170" s="56"/>
      <x:c r="V170" s="56"/>
      <x:c r="W170" s="55"/>
      <x:c r="X170" s="60"/>
      <x:c r="Y170" s="55"/>
      <x:c r="Z170" s="55"/>
      <x:c r="AA170" s="59"/>
      <x:c r="AB170" s="55"/>
      <x:c r="AC170" s="55"/>
      <x:c r="AD170" s="59"/>
      <x:c r="AE170" s="55"/>
      <x:c r="AF170" s="55"/>
      <x:c r="AG170" s="59"/>
      <x:c r="AH170" s="55"/>
      <x:c r="AI170" s="55"/>
      <x:c r="AJ170" s="59"/>
      <x:c r="AK170" s="55"/>
      <x:c r="AL170" s="55"/>
      <x:c r="AM170" s="59"/>
      <x:c r="AN170" s="56"/>
      <x:c r="AO170" s="57"/>
      <x:c r="AP170" s="57"/>
      <x:c r="AQ170" s="57"/>
      <x:c r="AR170" s="57"/>
      <x:c r="AS170" s="65" t="str">
        <x:f>IF(COUNT(AQ170,AR170)&lt;2,"",IF(AR170=0,"",AQ170/AR170))</x:f>
      </x:c>
      <x:c r="AT170" s="65" t="str">
        <x:f>IF(COUNT(AQ170,AP170)&lt;2,"",IF(AP170=0,"",AQ170/AP170))</x:f>
      </x:c>
      <x:c r="AU170" s="67" t="str">
        <x:f>IF(COUNT(AQ170,AR170)&lt;2,"",AQ170-AR170)</x:f>
      </x:c>
      <x:c r="AV170" s="67" t="str">
        <x:f>IF(COUNT(AQ170,AP170)&lt;2,"",AQ170-AP170)</x:f>
      </x:c>
      <x:c r="AW170" s="67" t="str">
        <x:f>IF(COUNT(AO170,AS170)&lt;2,"",IF(AS170=0,"",AO170/AS170))</x:f>
      </x:c>
      <x:c r="AX170" s="67" t="str">
        <x:f>IF(COUNT(AW170,AR170)&lt;2,"",AW170-AR170)</x:f>
      </x:c>
      <x:c r="AY170" s="67" t="str">
        <x:f>IF(COUNT(AO170,AW170)&lt;2,"",AO170-AW170)</x:f>
      </x:c>
      <x:c r="AZ170" s="55"/>
      <x:c r="BA170" s="55"/>
      <x:c r="BB170" s="55"/>
      <x:c r="BC170" s="55"/>
      <x:c r="BD170" s="55"/>
      <x:c r="BE170" s="56"/>
      <x:c r="BF170" s="56"/>
      <x:c r="BG170" s="55"/>
    </x:row>
    <x:row r="171" ht="28" customHeight="1">
      <x:c r="A171" s="55"/>
      <x:c r="B171" s="55"/>
      <x:c r="C171" s="55"/>
      <x:c r="D171" s="55"/>
      <x:c r="E171" s="56"/>
      <x:c r="F171" s="57"/>
      <x:c r="G171" s="59"/>
      <x:c r="H171" s="59"/>
      <x:c r="I171" s="59"/>
      <x:c r="J171" s="59"/>
      <x:c r="K171" s="59"/>
      <x:c r="L171" s="59"/>
      <x:c r="M171" s="59"/>
      <x:c r="N171" s="59"/>
      <x:c r="O171" s="56"/>
      <x:c r="P171" s="56"/>
      <x:c r="Q171" s="56"/>
      <x:c r="R171" s="56"/>
      <x:c r="S171" s="55"/>
      <x:c r="T171" s="55"/>
      <x:c r="U171" s="56"/>
      <x:c r="V171" s="56"/>
      <x:c r="W171" s="55"/>
      <x:c r="X171" s="60"/>
      <x:c r="Y171" s="55"/>
      <x:c r="Z171" s="55"/>
      <x:c r="AA171" s="59"/>
      <x:c r="AB171" s="55"/>
      <x:c r="AC171" s="55"/>
      <x:c r="AD171" s="59"/>
      <x:c r="AE171" s="55"/>
      <x:c r="AF171" s="55"/>
      <x:c r="AG171" s="59"/>
      <x:c r="AH171" s="55"/>
      <x:c r="AI171" s="55"/>
      <x:c r="AJ171" s="59"/>
      <x:c r="AK171" s="55"/>
      <x:c r="AL171" s="55"/>
      <x:c r="AM171" s="59"/>
      <x:c r="AN171" s="56"/>
      <x:c r="AO171" s="57"/>
      <x:c r="AP171" s="57"/>
      <x:c r="AQ171" s="57"/>
      <x:c r="AR171" s="57"/>
      <x:c r="AS171" s="65" t="str">
        <x:f>IF(COUNT(AQ171,AR171)&lt;2,"",IF(AR171=0,"",AQ171/AR171))</x:f>
      </x:c>
      <x:c r="AT171" s="65" t="str">
        <x:f>IF(COUNT(AQ171,AP171)&lt;2,"",IF(AP171=0,"",AQ171/AP171))</x:f>
      </x:c>
      <x:c r="AU171" s="67" t="str">
        <x:f>IF(COUNT(AQ171,AR171)&lt;2,"",AQ171-AR171)</x:f>
      </x:c>
      <x:c r="AV171" s="67" t="str">
        <x:f>IF(COUNT(AQ171,AP171)&lt;2,"",AQ171-AP171)</x:f>
      </x:c>
      <x:c r="AW171" s="67" t="str">
        <x:f>IF(COUNT(AO171,AS171)&lt;2,"",IF(AS171=0,"",AO171/AS171))</x:f>
      </x:c>
      <x:c r="AX171" s="67" t="str">
        <x:f>IF(COUNT(AW171,AR171)&lt;2,"",AW171-AR171)</x:f>
      </x:c>
      <x:c r="AY171" s="67" t="str">
        <x:f>IF(COUNT(AO171,AW171)&lt;2,"",AO171-AW171)</x:f>
      </x:c>
      <x:c r="AZ171" s="55"/>
      <x:c r="BA171" s="55"/>
      <x:c r="BB171" s="55"/>
      <x:c r="BC171" s="55"/>
      <x:c r="BD171" s="55"/>
      <x:c r="BE171" s="56"/>
      <x:c r="BF171" s="56"/>
      <x:c r="BG171" s="55"/>
    </x:row>
    <x:row r="172" ht="28" customHeight="1">
      <x:c r="A172" s="55"/>
      <x:c r="B172" s="55"/>
      <x:c r="C172" s="55"/>
      <x:c r="D172" s="55"/>
      <x:c r="E172" s="56"/>
      <x:c r="F172" s="57"/>
      <x:c r="G172" s="59"/>
      <x:c r="H172" s="59"/>
      <x:c r="I172" s="59"/>
      <x:c r="J172" s="59"/>
      <x:c r="K172" s="59"/>
      <x:c r="L172" s="59"/>
      <x:c r="M172" s="59"/>
      <x:c r="N172" s="59"/>
      <x:c r="O172" s="56"/>
      <x:c r="P172" s="56"/>
      <x:c r="Q172" s="56"/>
      <x:c r="R172" s="56"/>
      <x:c r="S172" s="55"/>
      <x:c r="T172" s="55"/>
      <x:c r="U172" s="56"/>
      <x:c r="V172" s="56"/>
      <x:c r="W172" s="55"/>
      <x:c r="X172" s="60"/>
      <x:c r="Y172" s="55"/>
      <x:c r="Z172" s="55"/>
      <x:c r="AA172" s="59"/>
      <x:c r="AB172" s="55"/>
      <x:c r="AC172" s="55"/>
      <x:c r="AD172" s="59"/>
      <x:c r="AE172" s="55"/>
      <x:c r="AF172" s="55"/>
      <x:c r="AG172" s="59"/>
      <x:c r="AH172" s="55"/>
      <x:c r="AI172" s="55"/>
      <x:c r="AJ172" s="59"/>
      <x:c r="AK172" s="55"/>
      <x:c r="AL172" s="55"/>
      <x:c r="AM172" s="59"/>
      <x:c r="AN172" s="56"/>
      <x:c r="AO172" s="57"/>
      <x:c r="AP172" s="57"/>
      <x:c r="AQ172" s="57"/>
      <x:c r="AR172" s="57"/>
      <x:c r="AS172" s="65" t="str">
        <x:f>IF(COUNT(AQ172,AR172)&lt;2,"",IF(AR172=0,"",AQ172/AR172))</x:f>
      </x:c>
      <x:c r="AT172" s="65" t="str">
        <x:f>IF(COUNT(AQ172,AP172)&lt;2,"",IF(AP172=0,"",AQ172/AP172))</x:f>
      </x:c>
      <x:c r="AU172" s="67" t="str">
        <x:f>IF(COUNT(AQ172,AR172)&lt;2,"",AQ172-AR172)</x:f>
      </x:c>
      <x:c r="AV172" s="67" t="str">
        <x:f>IF(COUNT(AQ172,AP172)&lt;2,"",AQ172-AP172)</x:f>
      </x:c>
      <x:c r="AW172" s="67" t="str">
        <x:f>IF(COUNT(AO172,AS172)&lt;2,"",IF(AS172=0,"",AO172/AS172))</x:f>
      </x:c>
      <x:c r="AX172" s="67" t="str">
        <x:f>IF(COUNT(AW172,AR172)&lt;2,"",AW172-AR172)</x:f>
      </x:c>
      <x:c r="AY172" s="67" t="str">
        <x:f>IF(COUNT(AO172,AW172)&lt;2,"",AO172-AW172)</x:f>
      </x:c>
      <x:c r="AZ172" s="55"/>
      <x:c r="BA172" s="55"/>
      <x:c r="BB172" s="55"/>
      <x:c r="BC172" s="55"/>
      <x:c r="BD172" s="55"/>
      <x:c r="BE172" s="56"/>
      <x:c r="BF172" s="56"/>
      <x:c r="BG172" s="55"/>
    </x:row>
    <x:row r="173" ht="28" customHeight="1">
      <x:c r="A173" s="55"/>
      <x:c r="B173" s="55"/>
      <x:c r="C173" s="55"/>
      <x:c r="D173" s="55"/>
      <x:c r="E173" s="56"/>
      <x:c r="F173" s="57"/>
      <x:c r="G173" s="59"/>
      <x:c r="H173" s="59"/>
      <x:c r="I173" s="59"/>
      <x:c r="J173" s="59"/>
      <x:c r="K173" s="59"/>
      <x:c r="L173" s="59"/>
      <x:c r="M173" s="59"/>
      <x:c r="N173" s="59"/>
      <x:c r="O173" s="56"/>
      <x:c r="P173" s="56"/>
      <x:c r="Q173" s="56"/>
      <x:c r="R173" s="56"/>
      <x:c r="S173" s="55"/>
      <x:c r="T173" s="55"/>
      <x:c r="U173" s="56"/>
      <x:c r="V173" s="56"/>
      <x:c r="W173" s="55"/>
      <x:c r="X173" s="60"/>
      <x:c r="Y173" s="55"/>
      <x:c r="Z173" s="55"/>
      <x:c r="AA173" s="59"/>
      <x:c r="AB173" s="55"/>
      <x:c r="AC173" s="55"/>
      <x:c r="AD173" s="59"/>
      <x:c r="AE173" s="55"/>
      <x:c r="AF173" s="55"/>
      <x:c r="AG173" s="59"/>
      <x:c r="AH173" s="55"/>
      <x:c r="AI173" s="55"/>
      <x:c r="AJ173" s="59"/>
      <x:c r="AK173" s="55"/>
      <x:c r="AL173" s="55"/>
      <x:c r="AM173" s="59"/>
      <x:c r="AN173" s="56"/>
      <x:c r="AO173" s="57"/>
      <x:c r="AP173" s="57"/>
      <x:c r="AQ173" s="57"/>
      <x:c r="AR173" s="57"/>
      <x:c r="AS173" s="65" t="str">
        <x:f>IF(COUNT(AQ173,AR173)&lt;2,"",IF(AR173=0,"",AQ173/AR173))</x:f>
      </x:c>
      <x:c r="AT173" s="65" t="str">
        <x:f>IF(COUNT(AQ173,AP173)&lt;2,"",IF(AP173=0,"",AQ173/AP173))</x:f>
      </x:c>
      <x:c r="AU173" s="67" t="str">
        <x:f>IF(COUNT(AQ173,AR173)&lt;2,"",AQ173-AR173)</x:f>
      </x:c>
      <x:c r="AV173" s="67" t="str">
        <x:f>IF(COUNT(AQ173,AP173)&lt;2,"",AQ173-AP173)</x:f>
      </x:c>
      <x:c r="AW173" s="67" t="str">
        <x:f>IF(COUNT(AO173,AS173)&lt;2,"",IF(AS173=0,"",AO173/AS173))</x:f>
      </x:c>
      <x:c r="AX173" s="67" t="str">
        <x:f>IF(COUNT(AW173,AR173)&lt;2,"",AW173-AR173)</x:f>
      </x:c>
      <x:c r="AY173" s="67" t="str">
        <x:f>IF(COUNT(AO173,AW173)&lt;2,"",AO173-AW173)</x:f>
      </x:c>
      <x:c r="AZ173" s="55"/>
      <x:c r="BA173" s="55"/>
      <x:c r="BB173" s="55"/>
      <x:c r="BC173" s="55"/>
      <x:c r="BD173" s="55"/>
      <x:c r="BE173" s="56"/>
      <x:c r="BF173" s="56"/>
      <x:c r="BG173" s="55"/>
    </x:row>
    <x:row r="174" ht="28" customHeight="1">
      <x:c r="A174" s="55"/>
      <x:c r="B174" s="55"/>
      <x:c r="C174" s="55"/>
      <x:c r="D174" s="55"/>
      <x:c r="E174" s="56"/>
      <x:c r="F174" s="57"/>
      <x:c r="G174" s="59"/>
      <x:c r="H174" s="59"/>
      <x:c r="I174" s="59"/>
      <x:c r="J174" s="59"/>
      <x:c r="K174" s="59"/>
      <x:c r="L174" s="59"/>
      <x:c r="M174" s="59"/>
      <x:c r="N174" s="59"/>
      <x:c r="O174" s="56"/>
      <x:c r="P174" s="56"/>
      <x:c r="Q174" s="56"/>
      <x:c r="R174" s="56"/>
      <x:c r="S174" s="55"/>
      <x:c r="T174" s="55"/>
      <x:c r="U174" s="56"/>
      <x:c r="V174" s="56"/>
      <x:c r="W174" s="55"/>
      <x:c r="X174" s="60"/>
      <x:c r="Y174" s="55"/>
      <x:c r="Z174" s="55"/>
      <x:c r="AA174" s="59"/>
      <x:c r="AB174" s="55"/>
      <x:c r="AC174" s="55"/>
      <x:c r="AD174" s="59"/>
      <x:c r="AE174" s="55"/>
      <x:c r="AF174" s="55"/>
      <x:c r="AG174" s="59"/>
      <x:c r="AH174" s="55"/>
      <x:c r="AI174" s="55"/>
      <x:c r="AJ174" s="59"/>
      <x:c r="AK174" s="55"/>
      <x:c r="AL174" s="55"/>
      <x:c r="AM174" s="59"/>
      <x:c r="AN174" s="56"/>
      <x:c r="AO174" s="57"/>
      <x:c r="AP174" s="57"/>
      <x:c r="AQ174" s="57"/>
      <x:c r="AR174" s="57"/>
      <x:c r="AS174" s="65" t="str">
        <x:f>IF(COUNT(AQ174,AR174)&lt;2,"",IF(AR174=0,"",AQ174/AR174))</x:f>
      </x:c>
      <x:c r="AT174" s="65" t="str">
        <x:f>IF(COUNT(AQ174,AP174)&lt;2,"",IF(AP174=0,"",AQ174/AP174))</x:f>
      </x:c>
      <x:c r="AU174" s="67" t="str">
        <x:f>IF(COUNT(AQ174,AR174)&lt;2,"",AQ174-AR174)</x:f>
      </x:c>
      <x:c r="AV174" s="67" t="str">
        <x:f>IF(COUNT(AQ174,AP174)&lt;2,"",AQ174-AP174)</x:f>
      </x:c>
      <x:c r="AW174" s="67" t="str">
        <x:f>IF(COUNT(AO174,AS174)&lt;2,"",IF(AS174=0,"",AO174/AS174))</x:f>
      </x:c>
      <x:c r="AX174" s="67" t="str">
        <x:f>IF(COUNT(AW174,AR174)&lt;2,"",AW174-AR174)</x:f>
      </x:c>
      <x:c r="AY174" s="67" t="str">
        <x:f>IF(COUNT(AO174,AW174)&lt;2,"",AO174-AW174)</x:f>
      </x:c>
      <x:c r="AZ174" s="55"/>
      <x:c r="BA174" s="55"/>
      <x:c r="BB174" s="55"/>
      <x:c r="BC174" s="55"/>
      <x:c r="BD174" s="55"/>
      <x:c r="BE174" s="56"/>
      <x:c r="BF174" s="56"/>
      <x:c r="BG174" s="55"/>
    </x:row>
    <x:row r="175" ht="28" customHeight="1">
      <x:c r="A175" s="55"/>
      <x:c r="B175" s="55"/>
      <x:c r="C175" s="55"/>
      <x:c r="D175" s="55"/>
      <x:c r="E175" s="56"/>
      <x:c r="F175" s="57"/>
      <x:c r="G175" s="59"/>
      <x:c r="H175" s="59"/>
      <x:c r="I175" s="59"/>
      <x:c r="J175" s="59"/>
      <x:c r="K175" s="59"/>
      <x:c r="L175" s="59"/>
      <x:c r="M175" s="59"/>
      <x:c r="N175" s="59"/>
      <x:c r="O175" s="56"/>
      <x:c r="P175" s="56"/>
      <x:c r="Q175" s="56"/>
      <x:c r="R175" s="56"/>
      <x:c r="S175" s="55"/>
      <x:c r="T175" s="55"/>
      <x:c r="U175" s="56"/>
      <x:c r="V175" s="56"/>
      <x:c r="W175" s="55"/>
      <x:c r="X175" s="60"/>
      <x:c r="Y175" s="55"/>
      <x:c r="Z175" s="55"/>
      <x:c r="AA175" s="59"/>
      <x:c r="AB175" s="55"/>
      <x:c r="AC175" s="55"/>
      <x:c r="AD175" s="59"/>
      <x:c r="AE175" s="55"/>
      <x:c r="AF175" s="55"/>
      <x:c r="AG175" s="59"/>
      <x:c r="AH175" s="55"/>
      <x:c r="AI175" s="55"/>
      <x:c r="AJ175" s="59"/>
      <x:c r="AK175" s="55"/>
      <x:c r="AL175" s="55"/>
      <x:c r="AM175" s="59"/>
      <x:c r="AN175" s="56"/>
      <x:c r="AO175" s="57"/>
      <x:c r="AP175" s="57"/>
      <x:c r="AQ175" s="57"/>
      <x:c r="AR175" s="57"/>
      <x:c r="AS175" s="65" t="str">
        <x:f>IF(COUNT(AQ175,AR175)&lt;2,"",IF(AR175=0,"",AQ175/AR175))</x:f>
      </x:c>
      <x:c r="AT175" s="65" t="str">
        <x:f>IF(COUNT(AQ175,AP175)&lt;2,"",IF(AP175=0,"",AQ175/AP175))</x:f>
      </x:c>
      <x:c r="AU175" s="67" t="str">
        <x:f>IF(COUNT(AQ175,AR175)&lt;2,"",AQ175-AR175)</x:f>
      </x:c>
      <x:c r="AV175" s="67" t="str">
        <x:f>IF(COUNT(AQ175,AP175)&lt;2,"",AQ175-AP175)</x:f>
      </x:c>
      <x:c r="AW175" s="67" t="str">
        <x:f>IF(COUNT(AO175,AS175)&lt;2,"",IF(AS175=0,"",AO175/AS175))</x:f>
      </x:c>
      <x:c r="AX175" s="67" t="str">
        <x:f>IF(COUNT(AW175,AR175)&lt;2,"",AW175-AR175)</x:f>
      </x:c>
      <x:c r="AY175" s="67" t="str">
        <x:f>IF(COUNT(AO175,AW175)&lt;2,"",AO175-AW175)</x:f>
      </x:c>
      <x:c r="AZ175" s="55"/>
      <x:c r="BA175" s="55"/>
      <x:c r="BB175" s="55"/>
      <x:c r="BC175" s="55"/>
      <x:c r="BD175" s="55"/>
      <x:c r="BE175" s="56"/>
      <x:c r="BF175" s="56"/>
      <x:c r="BG175" s="55"/>
    </x:row>
    <x:row r="176" ht="28" customHeight="1">
      <x:c r="A176" s="55"/>
      <x:c r="B176" s="55"/>
      <x:c r="C176" s="55"/>
      <x:c r="D176" s="55"/>
      <x:c r="E176" s="56"/>
      <x:c r="F176" s="57"/>
      <x:c r="G176" s="59"/>
      <x:c r="H176" s="59"/>
      <x:c r="I176" s="59"/>
      <x:c r="J176" s="59"/>
      <x:c r="K176" s="59"/>
      <x:c r="L176" s="59"/>
      <x:c r="M176" s="59"/>
      <x:c r="N176" s="59"/>
      <x:c r="O176" s="56"/>
      <x:c r="P176" s="56"/>
      <x:c r="Q176" s="56"/>
      <x:c r="R176" s="56"/>
      <x:c r="S176" s="55"/>
      <x:c r="T176" s="55"/>
      <x:c r="U176" s="56"/>
      <x:c r="V176" s="56"/>
      <x:c r="W176" s="55"/>
      <x:c r="X176" s="60"/>
      <x:c r="Y176" s="55"/>
      <x:c r="Z176" s="55"/>
      <x:c r="AA176" s="59"/>
      <x:c r="AB176" s="55"/>
      <x:c r="AC176" s="55"/>
      <x:c r="AD176" s="59"/>
      <x:c r="AE176" s="55"/>
      <x:c r="AF176" s="55"/>
      <x:c r="AG176" s="59"/>
      <x:c r="AH176" s="55"/>
      <x:c r="AI176" s="55"/>
      <x:c r="AJ176" s="59"/>
      <x:c r="AK176" s="55"/>
      <x:c r="AL176" s="55"/>
      <x:c r="AM176" s="59"/>
      <x:c r="AN176" s="56"/>
      <x:c r="AO176" s="57"/>
      <x:c r="AP176" s="57"/>
      <x:c r="AQ176" s="57"/>
      <x:c r="AR176" s="57"/>
      <x:c r="AS176" s="65" t="str">
        <x:f>IF(COUNT(AQ176,AR176)&lt;2,"",IF(AR176=0,"",AQ176/AR176))</x:f>
      </x:c>
      <x:c r="AT176" s="65" t="str">
        <x:f>IF(COUNT(AQ176,AP176)&lt;2,"",IF(AP176=0,"",AQ176/AP176))</x:f>
      </x:c>
      <x:c r="AU176" s="67" t="str">
        <x:f>IF(COUNT(AQ176,AR176)&lt;2,"",AQ176-AR176)</x:f>
      </x:c>
      <x:c r="AV176" s="67" t="str">
        <x:f>IF(COUNT(AQ176,AP176)&lt;2,"",AQ176-AP176)</x:f>
      </x:c>
      <x:c r="AW176" s="67" t="str">
        <x:f>IF(COUNT(AO176,AS176)&lt;2,"",IF(AS176=0,"",AO176/AS176))</x:f>
      </x:c>
      <x:c r="AX176" s="67" t="str">
        <x:f>IF(COUNT(AW176,AR176)&lt;2,"",AW176-AR176)</x:f>
      </x:c>
      <x:c r="AY176" s="67" t="str">
        <x:f>IF(COUNT(AO176,AW176)&lt;2,"",AO176-AW176)</x:f>
      </x:c>
      <x:c r="AZ176" s="55"/>
      <x:c r="BA176" s="55"/>
      <x:c r="BB176" s="55"/>
      <x:c r="BC176" s="55"/>
      <x:c r="BD176" s="55"/>
      <x:c r="BE176" s="56"/>
      <x:c r="BF176" s="56"/>
      <x:c r="BG176" s="55"/>
    </x:row>
    <x:row r="177" ht="28" customHeight="1">
      <x:c r="A177" s="55"/>
      <x:c r="B177" s="55"/>
      <x:c r="C177" s="55"/>
      <x:c r="D177" s="55"/>
      <x:c r="E177" s="56"/>
      <x:c r="F177" s="57"/>
      <x:c r="G177" s="59"/>
      <x:c r="H177" s="59"/>
      <x:c r="I177" s="59"/>
      <x:c r="J177" s="59"/>
      <x:c r="K177" s="59"/>
      <x:c r="L177" s="59"/>
      <x:c r="M177" s="59"/>
      <x:c r="N177" s="59"/>
      <x:c r="O177" s="56"/>
      <x:c r="P177" s="56"/>
      <x:c r="Q177" s="56"/>
      <x:c r="R177" s="56"/>
      <x:c r="S177" s="55"/>
      <x:c r="T177" s="55"/>
      <x:c r="U177" s="56"/>
      <x:c r="V177" s="56"/>
      <x:c r="W177" s="55"/>
      <x:c r="X177" s="60"/>
      <x:c r="Y177" s="55"/>
      <x:c r="Z177" s="55"/>
      <x:c r="AA177" s="59"/>
      <x:c r="AB177" s="55"/>
      <x:c r="AC177" s="55"/>
      <x:c r="AD177" s="59"/>
      <x:c r="AE177" s="55"/>
      <x:c r="AF177" s="55"/>
      <x:c r="AG177" s="59"/>
      <x:c r="AH177" s="55"/>
      <x:c r="AI177" s="55"/>
      <x:c r="AJ177" s="59"/>
      <x:c r="AK177" s="55"/>
      <x:c r="AL177" s="55"/>
      <x:c r="AM177" s="59"/>
      <x:c r="AN177" s="56"/>
      <x:c r="AO177" s="57"/>
      <x:c r="AP177" s="57"/>
      <x:c r="AQ177" s="57"/>
      <x:c r="AR177" s="57"/>
      <x:c r="AS177" s="65" t="str">
        <x:f>IF(COUNT(AQ177,AR177)&lt;2,"",IF(AR177=0,"",AQ177/AR177))</x:f>
      </x:c>
      <x:c r="AT177" s="65" t="str">
        <x:f>IF(COUNT(AQ177,AP177)&lt;2,"",IF(AP177=0,"",AQ177/AP177))</x:f>
      </x:c>
      <x:c r="AU177" s="67" t="str">
        <x:f>IF(COUNT(AQ177,AR177)&lt;2,"",AQ177-AR177)</x:f>
      </x:c>
      <x:c r="AV177" s="67" t="str">
        <x:f>IF(COUNT(AQ177,AP177)&lt;2,"",AQ177-AP177)</x:f>
      </x:c>
      <x:c r="AW177" s="67" t="str">
        <x:f>IF(COUNT(AO177,AS177)&lt;2,"",IF(AS177=0,"",AO177/AS177))</x:f>
      </x:c>
      <x:c r="AX177" s="67" t="str">
        <x:f>IF(COUNT(AW177,AR177)&lt;2,"",AW177-AR177)</x:f>
      </x:c>
      <x:c r="AY177" s="67" t="str">
        <x:f>IF(COUNT(AO177,AW177)&lt;2,"",AO177-AW177)</x:f>
      </x:c>
      <x:c r="AZ177" s="55"/>
      <x:c r="BA177" s="55"/>
      <x:c r="BB177" s="55"/>
      <x:c r="BC177" s="55"/>
      <x:c r="BD177" s="55"/>
      <x:c r="BE177" s="56"/>
      <x:c r="BF177" s="56"/>
      <x:c r="BG177" s="55"/>
    </x:row>
    <x:row r="178" ht="28" customHeight="1">
      <x:c r="A178" s="55"/>
      <x:c r="B178" s="55"/>
      <x:c r="C178" s="55"/>
      <x:c r="D178" s="55"/>
      <x:c r="E178" s="56"/>
      <x:c r="F178" s="57"/>
      <x:c r="G178" s="59"/>
      <x:c r="H178" s="59"/>
      <x:c r="I178" s="59"/>
      <x:c r="J178" s="59"/>
      <x:c r="K178" s="59"/>
      <x:c r="L178" s="59"/>
      <x:c r="M178" s="59"/>
      <x:c r="N178" s="59"/>
      <x:c r="O178" s="56"/>
      <x:c r="P178" s="56"/>
      <x:c r="Q178" s="56"/>
      <x:c r="R178" s="56"/>
      <x:c r="S178" s="55"/>
      <x:c r="T178" s="55"/>
      <x:c r="U178" s="56"/>
      <x:c r="V178" s="56"/>
      <x:c r="W178" s="55"/>
      <x:c r="X178" s="60"/>
      <x:c r="Y178" s="55"/>
      <x:c r="Z178" s="55"/>
      <x:c r="AA178" s="59"/>
      <x:c r="AB178" s="55"/>
      <x:c r="AC178" s="55"/>
      <x:c r="AD178" s="59"/>
      <x:c r="AE178" s="55"/>
      <x:c r="AF178" s="55"/>
      <x:c r="AG178" s="59"/>
      <x:c r="AH178" s="55"/>
      <x:c r="AI178" s="55"/>
      <x:c r="AJ178" s="59"/>
      <x:c r="AK178" s="55"/>
      <x:c r="AL178" s="55"/>
      <x:c r="AM178" s="59"/>
      <x:c r="AN178" s="56"/>
      <x:c r="AO178" s="57"/>
      <x:c r="AP178" s="57"/>
      <x:c r="AQ178" s="57"/>
      <x:c r="AR178" s="57"/>
      <x:c r="AS178" s="65" t="str">
        <x:f>IF(COUNT(AQ178,AR178)&lt;2,"",IF(AR178=0,"",AQ178/AR178))</x:f>
      </x:c>
      <x:c r="AT178" s="65" t="str">
        <x:f>IF(COUNT(AQ178,AP178)&lt;2,"",IF(AP178=0,"",AQ178/AP178))</x:f>
      </x:c>
      <x:c r="AU178" s="67" t="str">
        <x:f>IF(COUNT(AQ178,AR178)&lt;2,"",AQ178-AR178)</x:f>
      </x:c>
      <x:c r="AV178" s="67" t="str">
        <x:f>IF(COUNT(AQ178,AP178)&lt;2,"",AQ178-AP178)</x:f>
      </x:c>
      <x:c r="AW178" s="67" t="str">
        <x:f>IF(COUNT(AO178,AS178)&lt;2,"",IF(AS178=0,"",AO178/AS178))</x:f>
      </x:c>
      <x:c r="AX178" s="67" t="str">
        <x:f>IF(COUNT(AW178,AR178)&lt;2,"",AW178-AR178)</x:f>
      </x:c>
      <x:c r="AY178" s="67" t="str">
        <x:f>IF(COUNT(AO178,AW178)&lt;2,"",AO178-AW178)</x:f>
      </x:c>
      <x:c r="AZ178" s="55"/>
      <x:c r="BA178" s="55"/>
      <x:c r="BB178" s="55"/>
      <x:c r="BC178" s="55"/>
      <x:c r="BD178" s="55"/>
      <x:c r="BE178" s="56"/>
      <x:c r="BF178" s="56"/>
      <x:c r="BG178" s="55"/>
    </x:row>
    <x:row r="179" ht="28" customHeight="1">
      <x:c r="A179" s="55"/>
      <x:c r="B179" s="55"/>
      <x:c r="C179" s="55"/>
      <x:c r="D179" s="55"/>
      <x:c r="E179" s="56"/>
      <x:c r="F179" s="57"/>
      <x:c r="G179" s="59"/>
      <x:c r="H179" s="59"/>
      <x:c r="I179" s="59"/>
      <x:c r="J179" s="59"/>
      <x:c r="K179" s="59"/>
      <x:c r="L179" s="59"/>
      <x:c r="M179" s="59"/>
      <x:c r="N179" s="59"/>
      <x:c r="O179" s="56"/>
      <x:c r="P179" s="56"/>
      <x:c r="Q179" s="56"/>
      <x:c r="R179" s="56"/>
      <x:c r="S179" s="55"/>
      <x:c r="T179" s="55"/>
      <x:c r="U179" s="56"/>
      <x:c r="V179" s="56"/>
      <x:c r="W179" s="55"/>
      <x:c r="X179" s="60"/>
      <x:c r="Y179" s="55"/>
      <x:c r="Z179" s="55"/>
      <x:c r="AA179" s="59"/>
      <x:c r="AB179" s="55"/>
      <x:c r="AC179" s="55"/>
      <x:c r="AD179" s="59"/>
      <x:c r="AE179" s="55"/>
      <x:c r="AF179" s="55"/>
      <x:c r="AG179" s="59"/>
      <x:c r="AH179" s="55"/>
      <x:c r="AI179" s="55"/>
      <x:c r="AJ179" s="59"/>
      <x:c r="AK179" s="55"/>
      <x:c r="AL179" s="55"/>
      <x:c r="AM179" s="59"/>
      <x:c r="AN179" s="56"/>
      <x:c r="AO179" s="57"/>
      <x:c r="AP179" s="57"/>
      <x:c r="AQ179" s="57"/>
      <x:c r="AR179" s="57"/>
      <x:c r="AS179" s="65" t="str">
        <x:f>IF(COUNT(AQ179,AR179)&lt;2,"",IF(AR179=0,"",AQ179/AR179))</x:f>
      </x:c>
      <x:c r="AT179" s="65" t="str">
        <x:f>IF(COUNT(AQ179,AP179)&lt;2,"",IF(AP179=0,"",AQ179/AP179))</x:f>
      </x:c>
      <x:c r="AU179" s="67" t="str">
        <x:f>IF(COUNT(AQ179,AR179)&lt;2,"",AQ179-AR179)</x:f>
      </x:c>
      <x:c r="AV179" s="67" t="str">
        <x:f>IF(COUNT(AQ179,AP179)&lt;2,"",AQ179-AP179)</x:f>
      </x:c>
      <x:c r="AW179" s="67" t="str">
        <x:f>IF(COUNT(AO179,AS179)&lt;2,"",IF(AS179=0,"",AO179/AS179))</x:f>
      </x:c>
      <x:c r="AX179" s="67" t="str">
        <x:f>IF(COUNT(AW179,AR179)&lt;2,"",AW179-AR179)</x:f>
      </x:c>
      <x:c r="AY179" s="67" t="str">
        <x:f>IF(COUNT(AO179,AW179)&lt;2,"",AO179-AW179)</x:f>
      </x:c>
      <x:c r="AZ179" s="55"/>
      <x:c r="BA179" s="55"/>
      <x:c r="BB179" s="55"/>
      <x:c r="BC179" s="55"/>
      <x:c r="BD179" s="55"/>
      <x:c r="BE179" s="56"/>
      <x:c r="BF179" s="56"/>
      <x:c r="BG179" s="55"/>
    </x:row>
    <x:row r="180" ht="28" customHeight="1">
      <x:c r="A180" s="55"/>
      <x:c r="B180" s="55"/>
      <x:c r="C180" s="55"/>
      <x:c r="D180" s="55"/>
      <x:c r="E180" s="56"/>
      <x:c r="F180" s="57"/>
      <x:c r="G180" s="59"/>
      <x:c r="H180" s="59"/>
      <x:c r="I180" s="59"/>
      <x:c r="J180" s="59"/>
      <x:c r="K180" s="59"/>
      <x:c r="L180" s="59"/>
      <x:c r="M180" s="59"/>
      <x:c r="N180" s="59"/>
      <x:c r="O180" s="56"/>
      <x:c r="P180" s="56"/>
      <x:c r="Q180" s="56"/>
      <x:c r="R180" s="56"/>
      <x:c r="S180" s="55"/>
      <x:c r="T180" s="55"/>
      <x:c r="U180" s="56"/>
      <x:c r="V180" s="56"/>
      <x:c r="W180" s="55"/>
      <x:c r="X180" s="60"/>
      <x:c r="Y180" s="55"/>
      <x:c r="Z180" s="55"/>
      <x:c r="AA180" s="59"/>
      <x:c r="AB180" s="55"/>
      <x:c r="AC180" s="55"/>
      <x:c r="AD180" s="59"/>
      <x:c r="AE180" s="55"/>
      <x:c r="AF180" s="55"/>
      <x:c r="AG180" s="59"/>
      <x:c r="AH180" s="55"/>
      <x:c r="AI180" s="55"/>
      <x:c r="AJ180" s="59"/>
      <x:c r="AK180" s="55"/>
      <x:c r="AL180" s="55"/>
      <x:c r="AM180" s="59"/>
      <x:c r="AN180" s="56"/>
      <x:c r="AO180" s="57"/>
      <x:c r="AP180" s="57"/>
      <x:c r="AQ180" s="57"/>
      <x:c r="AR180" s="57"/>
      <x:c r="AS180" s="65" t="str">
        <x:f>IF(COUNT(AQ180,AR180)&lt;2,"",IF(AR180=0,"",AQ180/AR180))</x:f>
      </x:c>
      <x:c r="AT180" s="65" t="str">
        <x:f>IF(COUNT(AQ180,AP180)&lt;2,"",IF(AP180=0,"",AQ180/AP180))</x:f>
      </x:c>
      <x:c r="AU180" s="67" t="str">
        <x:f>IF(COUNT(AQ180,AR180)&lt;2,"",AQ180-AR180)</x:f>
      </x:c>
      <x:c r="AV180" s="67" t="str">
        <x:f>IF(COUNT(AQ180,AP180)&lt;2,"",AQ180-AP180)</x:f>
      </x:c>
      <x:c r="AW180" s="67" t="str">
        <x:f>IF(COUNT(AO180,AS180)&lt;2,"",IF(AS180=0,"",AO180/AS180))</x:f>
      </x:c>
      <x:c r="AX180" s="67" t="str">
        <x:f>IF(COUNT(AW180,AR180)&lt;2,"",AW180-AR180)</x:f>
      </x:c>
      <x:c r="AY180" s="67" t="str">
        <x:f>IF(COUNT(AO180,AW180)&lt;2,"",AO180-AW180)</x:f>
      </x:c>
      <x:c r="AZ180" s="55"/>
      <x:c r="BA180" s="55"/>
      <x:c r="BB180" s="55"/>
      <x:c r="BC180" s="55"/>
      <x:c r="BD180" s="55"/>
      <x:c r="BE180" s="56"/>
      <x:c r="BF180" s="56"/>
      <x:c r="BG180" s="55"/>
    </x:row>
    <x:row r="181" ht="28" customHeight="1">
      <x:c r="A181" s="55"/>
      <x:c r="B181" s="55"/>
      <x:c r="C181" s="55"/>
      <x:c r="D181" s="55"/>
      <x:c r="E181" s="56"/>
      <x:c r="F181" s="57"/>
      <x:c r="G181" s="59"/>
      <x:c r="H181" s="59"/>
      <x:c r="I181" s="59"/>
      <x:c r="J181" s="59"/>
      <x:c r="K181" s="59"/>
      <x:c r="L181" s="59"/>
      <x:c r="M181" s="59"/>
      <x:c r="N181" s="59"/>
      <x:c r="O181" s="56"/>
      <x:c r="P181" s="56"/>
      <x:c r="Q181" s="56"/>
      <x:c r="R181" s="56"/>
      <x:c r="S181" s="55"/>
      <x:c r="T181" s="55"/>
      <x:c r="U181" s="56"/>
      <x:c r="V181" s="56"/>
      <x:c r="W181" s="55"/>
      <x:c r="X181" s="60"/>
      <x:c r="Y181" s="55"/>
      <x:c r="Z181" s="55"/>
      <x:c r="AA181" s="59"/>
      <x:c r="AB181" s="55"/>
      <x:c r="AC181" s="55"/>
      <x:c r="AD181" s="59"/>
      <x:c r="AE181" s="55"/>
      <x:c r="AF181" s="55"/>
      <x:c r="AG181" s="59"/>
      <x:c r="AH181" s="55"/>
      <x:c r="AI181" s="55"/>
      <x:c r="AJ181" s="59"/>
      <x:c r="AK181" s="55"/>
      <x:c r="AL181" s="55"/>
      <x:c r="AM181" s="59"/>
      <x:c r="AN181" s="56"/>
      <x:c r="AO181" s="57"/>
      <x:c r="AP181" s="57"/>
      <x:c r="AQ181" s="57"/>
      <x:c r="AR181" s="57"/>
      <x:c r="AS181" s="65" t="str">
        <x:f>IF(COUNT(AQ181,AR181)&lt;2,"",IF(AR181=0,"",AQ181/AR181))</x:f>
      </x:c>
      <x:c r="AT181" s="65" t="str">
        <x:f>IF(COUNT(AQ181,AP181)&lt;2,"",IF(AP181=0,"",AQ181/AP181))</x:f>
      </x:c>
      <x:c r="AU181" s="67" t="str">
        <x:f>IF(COUNT(AQ181,AR181)&lt;2,"",AQ181-AR181)</x:f>
      </x:c>
      <x:c r="AV181" s="67" t="str">
        <x:f>IF(COUNT(AQ181,AP181)&lt;2,"",AQ181-AP181)</x:f>
      </x:c>
      <x:c r="AW181" s="67" t="str">
        <x:f>IF(COUNT(AO181,AS181)&lt;2,"",IF(AS181=0,"",AO181/AS181))</x:f>
      </x:c>
      <x:c r="AX181" s="67" t="str">
        <x:f>IF(COUNT(AW181,AR181)&lt;2,"",AW181-AR181)</x:f>
      </x:c>
      <x:c r="AY181" s="67" t="str">
        <x:f>IF(COUNT(AO181,AW181)&lt;2,"",AO181-AW181)</x:f>
      </x:c>
      <x:c r="AZ181" s="55"/>
      <x:c r="BA181" s="55"/>
      <x:c r="BB181" s="55"/>
      <x:c r="BC181" s="55"/>
      <x:c r="BD181" s="55"/>
      <x:c r="BE181" s="56"/>
      <x:c r="BF181" s="56"/>
      <x:c r="BG181" s="55"/>
    </x:row>
    <x:row r="182" ht="28" customHeight="1">
      <x:c r="A182" s="55"/>
      <x:c r="B182" s="55"/>
      <x:c r="C182" s="55"/>
      <x:c r="D182" s="55"/>
      <x:c r="E182" s="56"/>
      <x:c r="F182" s="57"/>
      <x:c r="G182" s="59"/>
      <x:c r="H182" s="59"/>
      <x:c r="I182" s="59"/>
      <x:c r="J182" s="59"/>
      <x:c r="K182" s="59"/>
      <x:c r="L182" s="59"/>
      <x:c r="M182" s="59"/>
      <x:c r="N182" s="59"/>
      <x:c r="O182" s="56"/>
      <x:c r="P182" s="56"/>
      <x:c r="Q182" s="56"/>
      <x:c r="R182" s="56"/>
      <x:c r="S182" s="55"/>
      <x:c r="T182" s="55"/>
      <x:c r="U182" s="56"/>
      <x:c r="V182" s="56"/>
      <x:c r="W182" s="55"/>
      <x:c r="X182" s="60"/>
      <x:c r="Y182" s="55"/>
      <x:c r="Z182" s="55"/>
      <x:c r="AA182" s="59"/>
      <x:c r="AB182" s="55"/>
      <x:c r="AC182" s="55"/>
      <x:c r="AD182" s="59"/>
      <x:c r="AE182" s="55"/>
      <x:c r="AF182" s="55"/>
      <x:c r="AG182" s="59"/>
      <x:c r="AH182" s="55"/>
      <x:c r="AI182" s="55"/>
      <x:c r="AJ182" s="59"/>
      <x:c r="AK182" s="55"/>
      <x:c r="AL182" s="55"/>
      <x:c r="AM182" s="59"/>
      <x:c r="AN182" s="56"/>
      <x:c r="AO182" s="57"/>
      <x:c r="AP182" s="57"/>
      <x:c r="AQ182" s="57"/>
      <x:c r="AR182" s="57"/>
      <x:c r="AS182" s="65" t="str">
        <x:f>IF(COUNT(AQ182,AR182)&lt;2,"",IF(AR182=0,"",AQ182/AR182))</x:f>
      </x:c>
      <x:c r="AT182" s="65" t="str">
        <x:f>IF(COUNT(AQ182,AP182)&lt;2,"",IF(AP182=0,"",AQ182/AP182))</x:f>
      </x:c>
      <x:c r="AU182" s="67" t="str">
        <x:f>IF(COUNT(AQ182,AR182)&lt;2,"",AQ182-AR182)</x:f>
      </x:c>
      <x:c r="AV182" s="67" t="str">
        <x:f>IF(COUNT(AQ182,AP182)&lt;2,"",AQ182-AP182)</x:f>
      </x:c>
      <x:c r="AW182" s="67" t="str">
        <x:f>IF(COUNT(AO182,AS182)&lt;2,"",IF(AS182=0,"",AO182/AS182))</x:f>
      </x:c>
      <x:c r="AX182" s="67" t="str">
        <x:f>IF(COUNT(AW182,AR182)&lt;2,"",AW182-AR182)</x:f>
      </x:c>
      <x:c r="AY182" s="67" t="str">
        <x:f>IF(COUNT(AO182,AW182)&lt;2,"",AO182-AW182)</x:f>
      </x:c>
      <x:c r="AZ182" s="55"/>
      <x:c r="BA182" s="55"/>
      <x:c r="BB182" s="55"/>
      <x:c r="BC182" s="55"/>
      <x:c r="BD182" s="55"/>
      <x:c r="BE182" s="56"/>
      <x:c r="BF182" s="56"/>
      <x:c r="BG182" s="55"/>
    </x:row>
    <x:row r="183" ht="28" customHeight="1">
      <x:c r="A183" s="55"/>
      <x:c r="B183" s="55"/>
      <x:c r="C183" s="55"/>
      <x:c r="D183" s="55"/>
      <x:c r="E183" s="56"/>
      <x:c r="F183" s="57"/>
      <x:c r="G183" s="59"/>
      <x:c r="H183" s="59"/>
      <x:c r="I183" s="59"/>
      <x:c r="J183" s="59"/>
      <x:c r="K183" s="59"/>
      <x:c r="L183" s="59"/>
      <x:c r="M183" s="59"/>
      <x:c r="N183" s="59"/>
      <x:c r="O183" s="56"/>
      <x:c r="P183" s="56"/>
      <x:c r="Q183" s="56"/>
      <x:c r="R183" s="56"/>
      <x:c r="S183" s="55"/>
      <x:c r="T183" s="55"/>
      <x:c r="U183" s="56"/>
      <x:c r="V183" s="56"/>
      <x:c r="W183" s="55"/>
      <x:c r="X183" s="60"/>
      <x:c r="Y183" s="55"/>
      <x:c r="Z183" s="55"/>
      <x:c r="AA183" s="59"/>
      <x:c r="AB183" s="55"/>
      <x:c r="AC183" s="55"/>
      <x:c r="AD183" s="59"/>
      <x:c r="AE183" s="55"/>
      <x:c r="AF183" s="55"/>
      <x:c r="AG183" s="59"/>
      <x:c r="AH183" s="55"/>
      <x:c r="AI183" s="55"/>
      <x:c r="AJ183" s="59"/>
      <x:c r="AK183" s="55"/>
      <x:c r="AL183" s="55"/>
      <x:c r="AM183" s="59"/>
      <x:c r="AN183" s="56"/>
      <x:c r="AO183" s="57"/>
      <x:c r="AP183" s="57"/>
      <x:c r="AQ183" s="57"/>
      <x:c r="AR183" s="57"/>
      <x:c r="AS183" s="65" t="str">
        <x:f>IF(COUNT(AQ183,AR183)&lt;2,"",IF(AR183=0,"",AQ183/AR183))</x:f>
      </x:c>
      <x:c r="AT183" s="65" t="str">
        <x:f>IF(COUNT(AQ183,AP183)&lt;2,"",IF(AP183=0,"",AQ183/AP183))</x:f>
      </x:c>
      <x:c r="AU183" s="67" t="str">
        <x:f>IF(COUNT(AQ183,AR183)&lt;2,"",AQ183-AR183)</x:f>
      </x:c>
      <x:c r="AV183" s="67" t="str">
        <x:f>IF(COUNT(AQ183,AP183)&lt;2,"",AQ183-AP183)</x:f>
      </x:c>
      <x:c r="AW183" s="67" t="str">
        <x:f>IF(COUNT(AO183,AS183)&lt;2,"",IF(AS183=0,"",AO183/AS183))</x:f>
      </x:c>
      <x:c r="AX183" s="67" t="str">
        <x:f>IF(COUNT(AW183,AR183)&lt;2,"",AW183-AR183)</x:f>
      </x:c>
      <x:c r="AY183" s="67" t="str">
        <x:f>IF(COUNT(AO183,AW183)&lt;2,"",AO183-AW183)</x:f>
      </x:c>
      <x:c r="AZ183" s="55"/>
      <x:c r="BA183" s="55"/>
      <x:c r="BB183" s="55"/>
      <x:c r="BC183" s="55"/>
      <x:c r="BD183" s="55"/>
      <x:c r="BE183" s="56"/>
      <x:c r="BF183" s="56"/>
      <x:c r="BG183" s="55"/>
    </x:row>
    <x:row r="184" ht="28" customHeight="1">
      <x:c r="A184" s="55"/>
      <x:c r="B184" s="55"/>
      <x:c r="C184" s="55"/>
      <x:c r="D184" s="55"/>
      <x:c r="E184" s="56"/>
      <x:c r="F184" s="57"/>
      <x:c r="G184" s="59"/>
      <x:c r="H184" s="59"/>
      <x:c r="I184" s="59"/>
      <x:c r="J184" s="59"/>
      <x:c r="K184" s="59"/>
      <x:c r="L184" s="59"/>
      <x:c r="M184" s="59"/>
      <x:c r="N184" s="59"/>
      <x:c r="O184" s="56"/>
      <x:c r="P184" s="56"/>
      <x:c r="Q184" s="56"/>
      <x:c r="R184" s="56"/>
      <x:c r="S184" s="55"/>
      <x:c r="T184" s="55"/>
      <x:c r="U184" s="56"/>
      <x:c r="V184" s="56"/>
      <x:c r="W184" s="55"/>
      <x:c r="X184" s="60"/>
      <x:c r="Y184" s="55"/>
      <x:c r="Z184" s="55"/>
      <x:c r="AA184" s="59"/>
      <x:c r="AB184" s="55"/>
      <x:c r="AC184" s="55"/>
      <x:c r="AD184" s="59"/>
      <x:c r="AE184" s="55"/>
      <x:c r="AF184" s="55"/>
      <x:c r="AG184" s="59"/>
      <x:c r="AH184" s="55"/>
      <x:c r="AI184" s="55"/>
      <x:c r="AJ184" s="59"/>
      <x:c r="AK184" s="55"/>
      <x:c r="AL184" s="55"/>
      <x:c r="AM184" s="59"/>
      <x:c r="AN184" s="56"/>
      <x:c r="AO184" s="57"/>
      <x:c r="AP184" s="57"/>
      <x:c r="AQ184" s="57"/>
      <x:c r="AR184" s="57"/>
      <x:c r="AS184" s="65" t="str">
        <x:f>IF(COUNT(AQ184,AR184)&lt;2,"",IF(AR184=0,"",AQ184/AR184))</x:f>
      </x:c>
      <x:c r="AT184" s="65" t="str">
        <x:f>IF(COUNT(AQ184,AP184)&lt;2,"",IF(AP184=0,"",AQ184/AP184))</x:f>
      </x:c>
      <x:c r="AU184" s="67" t="str">
        <x:f>IF(COUNT(AQ184,AR184)&lt;2,"",AQ184-AR184)</x:f>
      </x:c>
      <x:c r="AV184" s="67" t="str">
        <x:f>IF(COUNT(AQ184,AP184)&lt;2,"",AQ184-AP184)</x:f>
      </x:c>
      <x:c r="AW184" s="67" t="str">
        <x:f>IF(COUNT(AO184,AS184)&lt;2,"",IF(AS184=0,"",AO184/AS184))</x:f>
      </x:c>
      <x:c r="AX184" s="67" t="str">
        <x:f>IF(COUNT(AW184,AR184)&lt;2,"",AW184-AR184)</x:f>
      </x:c>
      <x:c r="AY184" s="67" t="str">
        <x:f>IF(COUNT(AO184,AW184)&lt;2,"",AO184-AW184)</x:f>
      </x:c>
      <x:c r="AZ184" s="55"/>
      <x:c r="BA184" s="55"/>
      <x:c r="BB184" s="55"/>
      <x:c r="BC184" s="55"/>
      <x:c r="BD184" s="55"/>
      <x:c r="BE184" s="56"/>
      <x:c r="BF184" s="56"/>
      <x:c r="BG184" s="55"/>
    </x:row>
    <x:row r="185" ht="28" customHeight="1">
      <x:c r="A185" s="55"/>
      <x:c r="B185" s="55"/>
      <x:c r="C185" s="55"/>
      <x:c r="D185" s="55"/>
      <x:c r="E185" s="56"/>
      <x:c r="F185" s="57"/>
      <x:c r="G185" s="59"/>
      <x:c r="H185" s="59"/>
      <x:c r="I185" s="59"/>
      <x:c r="J185" s="59"/>
      <x:c r="K185" s="59"/>
      <x:c r="L185" s="59"/>
      <x:c r="M185" s="59"/>
      <x:c r="N185" s="59"/>
      <x:c r="O185" s="56"/>
      <x:c r="P185" s="56"/>
      <x:c r="Q185" s="56"/>
      <x:c r="R185" s="56"/>
      <x:c r="S185" s="55"/>
      <x:c r="T185" s="55"/>
      <x:c r="U185" s="56"/>
      <x:c r="V185" s="56"/>
      <x:c r="W185" s="55"/>
      <x:c r="X185" s="60"/>
      <x:c r="Y185" s="55"/>
      <x:c r="Z185" s="55"/>
      <x:c r="AA185" s="59"/>
      <x:c r="AB185" s="55"/>
      <x:c r="AC185" s="55"/>
      <x:c r="AD185" s="59"/>
      <x:c r="AE185" s="55"/>
      <x:c r="AF185" s="55"/>
      <x:c r="AG185" s="59"/>
      <x:c r="AH185" s="55"/>
      <x:c r="AI185" s="55"/>
      <x:c r="AJ185" s="59"/>
      <x:c r="AK185" s="55"/>
      <x:c r="AL185" s="55"/>
      <x:c r="AM185" s="59"/>
      <x:c r="AN185" s="56"/>
      <x:c r="AO185" s="57"/>
      <x:c r="AP185" s="57"/>
      <x:c r="AQ185" s="57"/>
      <x:c r="AR185" s="57"/>
      <x:c r="AS185" s="65" t="str">
        <x:f>IF(COUNT(AQ185,AR185)&lt;2,"",IF(AR185=0,"",AQ185/AR185))</x:f>
      </x:c>
      <x:c r="AT185" s="65" t="str">
        <x:f>IF(COUNT(AQ185,AP185)&lt;2,"",IF(AP185=0,"",AQ185/AP185))</x:f>
      </x:c>
      <x:c r="AU185" s="67" t="str">
        <x:f>IF(COUNT(AQ185,AR185)&lt;2,"",AQ185-AR185)</x:f>
      </x:c>
      <x:c r="AV185" s="67" t="str">
        <x:f>IF(COUNT(AQ185,AP185)&lt;2,"",AQ185-AP185)</x:f>
      </x:c>
      <x:c r="AW185" s="67" t="str">
        <x:f>IF(COUNT(AO185,AS185)&lt;2,"",IF(AS185=0,"",AO185/AS185))</x:f>
      </x:c>
      <x:c r="AX185" s="67" t="str">
        <x:f>IF(COUNT(AW185,AR185)&lt;2,"",AW185-AR185)</x:f>
      </x:c>
      <x:c r="AY185" s="67" t="str">
        <x:f>IF(COUNT(AO185,AW185)&lt;2,"",AO185-AW185)</x:f>
      </x:c>
      <x:c r="AZ185" s="55"/>
      <x:c r="BA185" s="55"/>
      <x:c r="BB185" s="55"/>
      <x:c r="BC185" s="55"/>
      <x:c r="BD185" s="55"/>
      <x:c r="BE185" s="56"/>
      <x:c r="BF185" s="56"/>
      <x:c r="BG185" s="55"/>
    </x:row>
    <x:row r="186" ht="28" customHeight="1">
      <x:c r="A186" s="55"/>
      <x:c r="B186" s="55"/>
      <x:c r="C186" s="55"/>
      <x:c r="D186" s="55"/>
      <x:c r="E186" s="56"/>
      <x:c r="F186" s="57"/>
      <x:c r="G186" s="59"/>
      <x:c r="H186" s="59"/>
      <x:c r="I186" s="59"/>
      <x:c r="J186" s="59"/>
      <x:c r="K186" s="59"/>
      <x:c r="L186" s="59"/>
      <x:c r="M186" s="59"/>
      <x:c r="N186" s="59"/>
      <x:c r="O186" s="56"/>
      <x:c r="P186" s="56"/>
      <x:c r="Q186" s="56"/>
      <x:c r="R186" s="56"/>
      <x:c r="S186" s="55"/>
      <x:c r="T186" s="55"/>
      <x:c r="U186" s="56"/>
      <x:c r="V186" s="56"/>
      <x:c r="W186" s="55"/>
      <x:c r="X186" s="60"/>
      <x:c r="Y186" s="55"/>
      <x:c r="Z186" s="55"/>
      <x:c r="AA186" s="59"/>
      <x:c r="AB186" s="55"/>
      <x:c r="AC186" s="55"/>
      <x:c r="AD186" s="59"/>
      <x:c r="AE186" s="55"/>
      <x:c r="AF186" s="55"/>
      <x:c r="AG186" s="59"/>
      <x:c r="AH186" s="55"/>
      <x:c r="AI186" s="55"/>
      <x:c r="AJ186" s="59"/>
      <x:c r="AK186" s="55"/>
      <x:c r="AL186" s="55"/>
      <x:c r="AM186" s="59"/>
      <x:c r="AN186" s="56"/>
      <x:c r="AO186" s="57"/>
      <x:c r="AP186" s="57"/>
      <x:c r="AQ186" s="57"/>
      <x:c r="AR186" s="57"/>
      <x:c r="AS186" s="65" t="str">
        <x:f>IF(COUNT(AQ186,AR186)&lt;2,"",IF(AR186=0,"",AQ186/AR186))</x:f>
      </x:c>
      <x:c r="AT186" s="65" t="str">
        <x:f>IF(COUNT(AQ186,AP186)&lt;2,"",IF(AP186=0,"",AQ186/AP186))</x:f>
      </x:c>
      <x:c r="AU186" s="67" t="str">
        <x:f>IF(COUNT(AQ186,AR186)&lt;2,"",AQ186-AR186)</x:f>
      </x:c>
      <x:c r="AV186" s="67" t="str">
        <x:f>IF(COUNT(AQ186,AP186)&lt;2,"",AQ186-AP186)</x:f>
      </x:c>
      <x:c r="AW186" s="67" t="str">
        <x:f>IF(COUNT(AO186,AS186)&lt;2,"",IF(AS186=0,"",AO186/AS186))</x:f>
      </x:c>
      <x:c r="AX186" s="67" t="str">
        <x:f>IF(COUNT(AW186,AR186)&lt;2,"",AW186-AR186)</x:f>
      </x:c>
      <x:c r="AY186" s="67" t="str">
        <x:f>IF(COUNT(AO186,AW186)&lt;2,"",AO186-AW186)</x:f>
      </x:c>
      <x:c r="AZ186" s="55"/>
      <x:c r="BA186" s="55"/>
      <x:c r="BB186" s="55"/>
      <x:c r="BC186" s="55"/>
      <x:c r="BD186" s="55"/>
      <x:c r="BE186" s="56"/>
      <x:c r="BF186" s="56"/>
      <x:c r="BG186" s="55"/>
    </x:row>
    <x:row r="187" ht="28" customHeight="1">
      <x:c r="A187" s="55"/>
      <x:c r="B187" s="55"/>
      <x:c r="C187" s="55"/>
      <x:c r="D187" s="55"/>
      <x:c r="E187" s="56"/>
      <x:c r="F187" s="57"/>
      <x:c r="G187" s="59"/>
      <x:c r="H187" s="59"/>
      <x:c r="I187" s="59"/>
      <x:c r="J187" s="59"/>
      <x:c r="K187" s="59"/>
      <x:c r="L187" s="59"/>
      <x:c r="M187" s="59"/>
      <x:c r="N187" s="59"/>
      <x:c r="O187" s="56"/>
      <x:c r="P187" s="56"/>
      <x:c r="Q187" s="56"/>
      <x:c r="R187" s="56"/>
      <x:c r="S187" s="55"/>
      <x:c r="T187" s="55"/>
      <x:c r="U187" s="56"/>
      <x:c r="V187" s="56"/>
      <x:c r="W187" s="55"/>
      <x:c r="X187" s="60"/>
      <x:c r="Y187" s="55"/>
      <x:c r="Z187" s="55"/>
      <x:c r="AA187" s="59"/>
      <x:c r="AB187" s="55"/>
      <x:c r="AC187" s="55"/>
      <x:c r="AD187" s="59"/>
      <x:c r="AE187" s="55"/>
      <x:c r="AF187" s="55"/>
      <x:c r="AG187" s="59"/>
      <x:c r="AH187" s="55"/>
      <x:c r="AI187" s="55"/>
      <x:c r="AJ187" s="59"/>
      <x:c r="AK187" s="55"/>
      <x:c r="AL187" s="55"/>
      <x:c r="AM187" s="59"/>
      <x:c r="AN187" s="56"/>
      <x:c r="AO187" s="57"/>
      <x:c r="AP187" s="57"/>
      <x:c r="AQ187" s="57"/>
      <x:c r="AR187" s="57"/>
      <x:c r="AS187" s="65" t="str">
        <x:f>IF(COUNT(AQ187,AR187)&lt;2,"",IF(AR187=0,"",AQ187/AR187))</x:f>
      </x:c>
      <x:c r="AT187" s="65" t="str">
        <x:f>IF(COUNT(AQ187,AP187)&lt;2,"",IF(AP187=0,"",AQ187/AP187))</x:f>
      </x:c>
      <x:c r="AU187" s="67" t="str">
        <x:f>IF(COUNT(AQ187,AR187)&lt;2,"",AQ187-AR187)</x:f>
      </x:c>
      <x:c r="AV187" s="67" t="str">
        <x:f>IF(COUNT(AQ187,AP187)&lt;2,"",AQ187-AP187)</x:f>
      </x:c>
      <x:c r="AW187" s="67" t="str">
        <x:f>IF(COUNT(AO187,AS187)&lt;2,"",IF(AS187=0,"",AO187/AS187))</x:f>
      </x:c>
      <x:c r="AX187" s="67" t="str">
        <x:f>IF(COUNT(AW187,AR187)&lt;2,"",AW187-AR187)</x:f>
      </x:c>
      <x:c r="AY187" s="67" t="str">
        <x:f>IF(COUNT(AO187,AW187)&lt;2,"",AO187-AW187)</x:f>
      </x:c>
      <x:c r="AZ187" s="55"/>
      <x:c r="BA187" s="55"/>
      <x:c r="BB187" s="55"/>
      <x:c r="BC187" s="55"/>
      <x:c r="BD187" s="55"/>
      <x:c r="BE187" s="56"/>
      <x:c r="BF187" s="56"/>
      <x:c r="BG187" s="55"/>
    </x:row>
    <x:row r="188" ht="28" customHeight="1">
      <x:c r="A188" s="55"/>
      <x:c r="B188" s="55"/>
      <x:c r="C188" s="55"/>
      <x:c r="D188" s="55"/>
      <x:c r="E188" s="56"/>
      <x:c r="F188" s="57"/>
      <x:c r="G188" s="59"/>
      <x:c r="H188" s="59"/>
      <x:c r="I188" s="59"/>
      <x:c r="J188" s="59"/>
      <x:c r="K188" s="59"/>
      <x:c r="L188" s="59"/>
      <x:c r="M188" s="59"/>
      <x:c r="N188" s="59"/>
      <x:c r="O188" s="56"/>
      <x:c r="P188" s="56"/>
      <x:c r="Q188" s="56"/>
      <x:c r="R188" s="56"/>
      <x:c r="S188" s="55"/>
      <x:c r="T188" s="55"/>
      <x:c r="U188" s="56"/>
      <x:c r="V188" s="56"/>
      <x:c r="W188" s="55"/>
      <x:c r="X188" s="60"/>
      <x:c r="Y188" s="55"/>
      <x:c r="Z188" s="55"/>
      <x:c r="AA188" s="59"/>
      <x:c r="AB188" s="55"/>
      <x:c r="AC188" s="55"/>
      <x:c r="AD188" s="59"/>
      <x:c r="AE188" s="55"/>
      <x:c r="AF188" s="55"/>
      <x:c r="AG188" s="59"/>
      <x:c r="AH188" s="55"/>
      <x:c r="AI188" s="55"/>
      <x:c r="AJ188" s="59"/>
      <x:c r="AK188" s="55"/>
      <x:c r="AL188" s="55"/>
      <x:c r="AM188" s="59"/>
      <x:c r="AN188" s="56"/>
      <x:c r="AO188" s="57"/>
      <x:c r="AP188" s="57"/>
      <x:c r="AQ188" s="57"/>
      <x:c r="AR188" s="57"/>
      <x:c r="AS188" s="65" t="str">
        <x:f>IF(COUNT(AQ188,AR188)&lt;2,"",IF(AR188=0,"",AQ188/AR188))</x:f>
      </x:c>
      <x:c r="AT188" s="65" t="str">
        <x:f>IF(COUNT(AQ188,AP188)&lt;2,"",IF(AP188=0,"",AQ188/AP188))</x:f>
      </x:c>
      <x:c r="AU188" s="67" t="str">
        <x:f>IF(COUNT(AQ188,AR188)&lt;2,"",AQ188-AR188)</x:f>
      </x:c>
      <x:c r="AV188" s="67" t="str">
        <x:f>IF(COUNT(AQ188,AP188)&lt;2,"",AQ188-AP188)</x:f>
      </x:c>
      <x:c r="AW188" s="67" t="str">
        <x:f>IF(COUNT(AO188,AS188)&lt;2,"",IF(AS188=0,"",AO188/AS188))</x:f>
      </x:c>
      <x:c r="AX188" s="67" t="str">
        <x:f>IF(COUNT(AW188,AR188)&lt;2,"",AW188-AR188)</x:f>
      </x:c>
      <x:c r="AY188" s="67" t="str">
        <x:f>IF(COUNT(AO188,AW188)&lt;2,"",AO188-AW188)</x:f>
      </x:c>
      <x:c r="AZ188" s="55"/>
      <x:c r="BA188" s="55"/>
      <x:c r="BB188" s="55"/>
      <x:c r="BC188" s="55"/>
      <x:c r="BD188" s="55"/>
      <x:c r="BE188" s="56"/>
      <x:c r="BF188" s="56"/>
      <x:c r="BG188" s="55"/>
    </x:row>
    <x:row r="189" ht="28" customHeight="1">
      <x:c r="A189" s="55"/>
      <x:c r="B189" s="55"/>
      <x:c r="C189" s="55"/>
      <x:c r="D189" s="55"/>
      <x:c r="E189" s="56"/>
      <x:c r="F189" s="57"/>
      <x:c r="G189" s="59"/>
      <x:c r="H189" s="59"/>
      <x:c r="I189" s="59"/>
      <x:c r="J189" s="59"/>
      <x:c r="K189" s="59"/>
      <x:c r="L189" s="59"/>
      <x:c r="M189" s="59"/>
      <x:c r="N189" s="59"/>
      <x:c r="O189" s="56"/>
      <x:c r="P189" s="56"/>
      <x:c r="Q189" s="56"/>
      <x:c r="R189" s="56"/>
      <x:c r="S189" s="55"/>
      <x:c r="T189" s="55"/>
      <x:c r="U189" s="56"/>
      <x:c r="V189" s="56"/>
      <x:c r="W189" s="55"/>
      <x:c r="X189" s="60"/>
      <x:c r="Y189" s="55"/>
      <x:c r="Z189" s="55"/>
      <x:c r="AA189" s="59"/>
      <x:c r="AB189" s="55"/>
      <x:c r="AC189" s="55"/>
      <x:c r="AD189" s="59"/>
      <x:c r="AE189" s="55"/>
      <x:c r="AF189" s="55"/>
      <x:c r="AG189" s="59"/>
      <x:c r="AH189" s="55"/>
      <x:c r="AI189" s="55"/>
      <x:c r="AJ189" s="59"/>
      <x:c r="AK189" s="55"/>
      <x:c r="AL189" s="55"/>
      <x:c r="AM189" s="59"/>
      <x:c r="AN189" s="56"/>
      <x:c r="AO189" s="57"/>
      <x:c r="AP189" s="57"/>
      <x:c r="AQ189" s="57"/>
      <x:c r="AR189" s="57"/>
      <x:c r="AS189" s="65" t="str">
        <x:f>IF(COUNT(AQ189,AR189)&lt;2,"",IF(AR189=0,"",AQ189/AR189))</x:f>
      </x:c>
      <x:c r="AT189" s="65" t="str">
        <x:f>IF(COUNT(AQ189,AP189)&lt;2,"",IF(AP189=0,"",AQ189/AP189))</x:f>
      </x:c>
      <x:c r="AU189" s="67" t="str">
        <x:f>IF(COUNT(AQ189,AR189)&lt;2,"",AQ189-AR189)</x:f>
      </x:c>
      <x:c r="AV189" s="67" t="str">
        <x:f>IF(COUNT(AQ189,AP189)&lt;2,"",AQ189-AP189)</x:f>
      </x:c>
      <x:c r="AW189" s="67" t="str">
        <x:f>IF(COUNT(AO189,AS189)&lt;2,"",IF(AS189=0,"",AO189/AS189))</x:f>
      </x:c>
      <x:c r="AX189" s="67" t="str">
        <x:f>IF(COUNT(AW189,AR189)&lt;2,"",AW189-AR189)</x:f>
      </x:c>
      <x:c r="AY189" s="67" t="str">
        <x:f>IF(COUNT(AO189,AW189)&lt;2,"",AO189-AW189)</x:f>
      </x:c>
      <x:c r="AZ189" s="55"/>
      <x:c r="BA189" s="55"/>
      <x:c r="BB189" s="55"/>
      <x:c r="BC189" s="55"/>
      <x:c r="BD189" s="55"/>
      <x:c r="BE189" s="56"/>
      <x:c r="BF189" s="56"/>
      <x:c r="BG189" s="55"/>
    </x:row>
    <x:row r="190" ht="28" customHeight="1">
      <x:c r="A190" s="55"/>
      <x:c r="B190" s="55"/>
      <x:c r="C190" s="55"/>
      <x:c r="D190" s="55"/>
      <x:c r="E190" s="56"/>
      <x:c r="F190" s="57"/>
      <x:c r="G190" s="59"/>
      <x:c r="H190" s="59"/>
      <x:c r="I190" s="59"/>
      <x:c r="J190" s="59"/>
      <x:c r="K190" s="59"/>
      <x:c r="L190" s="59"/>
      <x:c r="M190" s="59"/>
      <x:c r="N190" s="59"/>
      <x:c r="O190" s="56"/>
      <x:c r="P190" s="56"/>
      <x:c r="Q190" s="56"/>
      <x:c r="R190" s="56"/>
      <x:c r="S190" s="55"/>
      <x:c r="T190" s="55"/>
      <x:c r="U190" s="56"/>
      <x:c r="V190" s="56"/>
      <x:c r="W190" s="55"/>
      <x:c r="X190" s="60"/>
      <x:c r="Y190" s="55"/>
      <x:c r="Z190" s="55"/>
      <x:c r="AA190" s="59"/>
      <x:c r="AB190" s="55"/>
      <x:c r="AC190" s="55"/>
      <x:c r="AD190" s="59"/>
      <x:c r="AE190" s="55"/>
      <x:c r="AF190" s="55"/>
      <x:c r="AG190" s="59"/>
      <x:c r="AH190" s="55"/>
      <x:c r="AI190" s="55"/>
      <x:c r="AJ190" s="59"/>
      <x:c r="AK190" s="55"/>
      <x:c r="AL190" s="55"/>
      <x:c r="AM190" s="59"/>
      <x:c r="AN190" s="56"/>
      <x:c r="AO190" s="57"/>
      <x:c r="AP190" s="57"/>
      <x:c r="AQ190" s="57"/>
      <x:c r="AR190" s="57"/>
      <x:c r="AS190" s="65" t="str">
        <x:f>IF(COUNT(AQ190,AR190)&lt;2,"",IF(AR190=0,"",AQ190/AR190))</x:f>
      </x:c>
      <x:c r="AT190" s="65" t="str">
        <x:f>IF(COUNT(AQ190,AP190)&lt;2,"",IF(AP190=0,"",AQ190/AP190))</x:f>
      </x:c>
      <x:c r="AU190" s="67" t="str">
        <x:f>IF(COUNT(AQ190,AR190)&lt;2,"",AQ190-AR190)</x:f>
      </x:c>
      <x:c r="AV190" s="67" t="str">
        <x:f>IF(COUNT(AQ190,AP190)&lt;2,"",AQ190-AP190)</x:f>
      </x:c>
      <x:c r="AW190" s="67" t="str">
        <x:f>IF(COUNT(AO190,AS190)&lt;2,"",IF(AS190=0,"",AO190/AS190))</x:f>
      </x:c>
      <x:c r="AX190" s="67" t="str">
        <x:f>IF(COUNT(AW190,AR190)&lt;2,"",AW190-AR190)</x:f>
      </x:c>
      <x:c r="AY190" s="67" t="str">
        <x:f>IF(COUNT(AO190,AW190)&lt;2,"",AO190-AW190)</x:f>
      </x:c>
      <x:c r="AZ190" s="55"/>
      <x:c r="BA190" s="55"/>
      <x:c r="BB190" s="55"/>
      <x:c r="BC190" s="55"/>
      <x:c r="BD190" s="55"/>
      <x:c r="BE190" s="56"/>
      <x:c r="BF190" s="56"/>
      <x:c r="BG190" s="55"/>
    </x:row>
    <x:row r="191" ht="28" customHeight="1">
      <x:c r="A191" s="55"/>
      <x:c r="B191" s="55"/>
      <x:c r="C191" s="55"/>
      <x:c r="D191" s="55"/>
      <x:c r="E191" s="56"/>
      <x:c r="F191" s="57"/>
      <x:c r="G191" s="59"/>
      <x:c r="H191" s="59"/>
      <x:c r="I191" s="59"/>
      <x:c r="J191" s="59"/>
      <x:c r="K191" s="59"/>
      <x:c r="L191" s="59"/>
      <x:c r="M191" s="59"/>
      <x:c r="N191" s="59"/>
      <x:c r="O191" s="56"/>
      <x:c r="P191" s="56"/>
      <x:c r="Q191" s="56"/>
      <x:c r="R191" s="56"/>
      <x:c r="S191" s="55"/>
      <x:c r="T191" s="55"/>
      <x:c r="U191" s="56"/>
      <x:c r="V191" s="56"/>
      <x:c r="W191" s="55"/>
      <x:c r="X191" s="60"/>
      <x:c r="Y191" s="55"/>
      <x:c r="Z191" s="55"/>
      <x:c r="AA191" s="59"/>
      <x:c r="AB191" s="55"/>
      <x:c r="AC191" s="55"/>
      <x:c r="AD191" s="59"/>
      <x:c r="AE191" s="55"/>
      <x:c r="AF191" s="55"/>
      <x:c r="AG191" s="59"/>
      <x:c r="AH191" s="55"/>
      <x:c r="AI191" s="55"/>
      <x:c r="AJ191" s="59"/>
      <x:c r="AK191" s="55"/>
      <x:c r="AL191" s="55"/>
      <x:c r="AM191" s="59"/>
      <x:c r="AN191" s="56"/>
      <x:c r="AO191" s="57"/>
      <x:c r="AP191" s="57"/>
      <x:c r="AQ191" s="57"/>
      <x:c r="AR191" s="57"/>
      <x:c r="AS191" s="65" t="str">
        <x:f>IF(COUNT(AQ191,AR191)&lt;2,"",IF(AR191=0,"",AQ191/AR191))</x:f>
      </x:c>
      <x:c r="AT191" s="65" t="str">
        <x:f>IF(COUNT(AQ191,AP191)&lt;2,"",IF(AP191=0,"",AQ191/AP191))</x:f>
      </x:c>
      <x:c r="AU191" s="67" t="str">
        <x:f>IF(COUNT(AQ191,AR191)&lt;2,"",AQ191-AR191)</x:f>
      </x:c>
      <x:c r="AV191" s="67" t="str">
        <x:f>IF(COUNT(AQ191,AP191)&lt;2,"",AQ191-AP191)</x:f>
      </x:c>
      <x:c r="AW191" s="67" t="str">
        <x:f>IF(COUNT(AO191,AS191)&lt;2,"",IF(AS191=0,"",AO191/AS191))</x:f>
      </x:c>
      <x:c r="AX191" s="67" t="str">
        <x:f>IF(COUNT(AW191,AR191)&lt;2,"",AW191-AR191)</x:f>
      </x:c>
      <x:c r="AY191" s="67" t="str">
        <x:f>IF(COUNT(AO191,AW191)&lt;2,"",AO191-AW191)</x:f>
      </x:c>
      <x:c r="AZ191" s="55"/>
      <x:c r="BA191" s="55"/>
      <x:c r="BB191" s="55"/>
      <x:c r="BC191" s="55"/>
      <x:c r="BD191" s="55"/>
      <x:c r="BE191" s="56"/>
      <x:c r="BF191" s="56"/>
      <x:c r="BG191" s="55"/>
    </x:row>
    <x:row r="192" ht="28" customHeight="1">
      <x:c r="A192" s="55"/>
      <x:c r="B192" s="55"/>
      <x:c r="C192" s="55"/>
      <x:c r="D192" s="55"/>
      <x:c r="E192" s="56"/>
      <x:c r="F192" s="57"/>
      <x:c r="G192" s="59"/>
      <x:c r="H192" s="59"/>
      <x:c r="I192" s="59"/>
      <x:c r="J192" s="59"/>
      <x:c r="K192" s="59"/>
      <x:c r="L192" s="59"/>
      <x:c r="M192" s="59"/>
      <x:c r="N192" s="59"/>
      <x:c r="O192" s="56"/>
      <x:c r="P192" s="56"/>
      <x:c r="Q192" s="56"/>
      <x:c r="R192" s="56"/>
      <x:c r="S192" s="55"/>
      <x:c r="T192" s="55"/>
      <x:c r="U192" s="56"/>
      <x:c r="V192" s="56"/>
      <x:c r="W192" s="55"/>
      <x:c r="X192" s="60"/>
      <x:c r="Y192" s="55"/>
      <x:c r="Z192" s="55"/>
      <x:c r="AA192" s="59"/>
      <x:c r="AB192" s="55"/>
      <x:c r="AC192" s="55"/>
      <x:c r="AD192" s="59"/>
      <x:c r="AE192" s="55"/>
      <x:c r="AF192" s="55"/>
      <x:c r="AG192" s="59"/>
      <x:c r="AH192" s="55"/>
      <x:c r="AI192" s="55"/>
      <x:c r="AJ192" s="59"/>
      <x:c r="AK192" s="55"/>
      <x:c r="AL192" s="55"/>
      <x:c r="AM192" s="59"/>
      <x:c r="AN192" s="56"/>
      <x:c r="AO192" s="57"/>
      <x:c r="AP192" s="57"/>
      <x:c r="AQ192" s="57"/>
      <x:c r="AR192" s="57"/>
      <x:c r="AS192" s="65" t="str">
        <x:f>IF(COUNT(AQ192,AR192)&lt;2,"",IF(AR192=0,"",AQ192/AR192))</x:f>
      </x:c>
      <x:c r="AT192" s="65" t="str">
        <x:f>IF(COUNT(AQ192,AP192)&lt;2,"",IF(AP192=0,"",AQ192/AP192))</x:f>
      </x:c>
      <x:c r="AU192" s="67" t="str">
        <x:f>IF(COUNT(AQ192,AR192)&lt;2,"",AQ192-AR192)</x:f>
      </x:c>
      <x:c r="AV192" s="67" t="str">
        <x:f>IF(COUNT(AQ192,AP192)&lt;2,"",AQ192-AP192)</x:f>
      </x:c>
      <x:c r="AW192" s="67" t="str">
        <x:f>IF(COUNT(AO192,AS192)&lt;2,"",IF(AS192=0,"",AO192/AS192))</x:f>
      </x:c>
      <x:c r="AX192" s="67" t="str">
        <x:f>IF(COUNT(AW192,AR192)&lt;2,"",AW192-AR192)</x:f>
      </x:c>
      <x:c r="AY192" s="67" t="str">
        <x:f>IF(COUNT(AO192,AW192)&lt;2,"",AO192-AW192)</x:f>
      </x:c>
      <x:c r="AZ192" s="55"/>
      <x:c r="BA192" s="55"/>
      <x:c r="BB192" s="55"/>
      <x:c r="BC192" s="55"/>
      <x:c r="BD192" s="55"/>
      <x:c r="BE192" s="56"/>
      <x:c r="BF192" s="56"/>
      <x:c r="BG192" s="55"/>
    </x:row>
    <x:row r="193" ht="28" customHeight="1">
      <x:c r="A193" s="55"/>
      <x:c r="B193" s="55"/>
      <x:c r="C193" s="55"/>
      <x:c r="D193" s="55"/>
      <x:c r="E193" s="56"/>
      <x:c r="F193" s="57"/>
      <x:c r="G193" s="59"/>
      <x:c r="H193" s="59"/>
      <x:c r="I193" s="59"/>
      <x:c r="J193" s="59"/>
      <x:c r="K193" s="59"/>
      <x:c r="L193" s="59"/>
      <x:c r="M193" s="59"/>
      <x:c r="N193" s="59"/>
      <x:c r="O193" s="56"/>
      <x:c r="P193" s="56"/>
      <x:c r="Q193" s="56"/>
      <x:c r="R193" s="56"/>
      <x:c r="S193" s="55"/>
      <x:c r="T193" s="55"/>
      <x:c r="U193" s="56"/>
      <x:c r="V193" s="56"/>
      <x:c r="W193" s="55"/>
      <x:c r="X193" s="60"/>
      <x:c r="Y193" s="55"/>
      <x:c r="Z193" s="55"/>
      <x:c r="AA193" s="59"/>
      <x:c r="AB193" s="55"/>
      <x:c r="AC193" s="55"/>
      <x:c r="AD193" s="59"/>
      <x:c r="AE193" s="55"/>
      <x:c r="AF193" s="55"/>
      <x:c r="AG193" s="59"/>
      <x:c r="AH193" s="55"/>
      <x:c r="AI193" s="55"/>
      <x:c r="AJ193" s="59"/>
      <x:c r="AK193" s="55"/>
      <x:c r="AL193" s="55"/>
      <x:c r="AM193" s="59"/>
      <x:c r="AN193" s="56"/>
      <x:c r="AO193" s="57"/>
      <x:c r="AP193" s="57"/>
      <x:c r="AQ193" s="57"/>
      <x:c r="AR193" s="57"/>
      <x:c r="AS193" s="65" t="str">
        <x:f>IF(COUNT(AQ193,AR193)&lt;2,"",IF(AR193=0,"",AQ193/AR193))</x:f>
      </x:c>
      <x:c r="AT193" s="65" t="str">
        <x:f>IF(COUNT(AQ193,AP193)&lt;2,"",IF(AP193=0,"",AQ193/AP193))</x:f>
      </x:c>
      <x:c r="AU193" s="67" t="str">
        <x:f>IF(COUNT(AQ193,AR193)&lt;2,"",AQ193-AR193)</x:f>
      </x:c>
      <x:c r="AV193" s="67" t="str">
        <x:f>IF(COUNT(AQ193,AP193)&lt;2,"",AQ193-AP193)</x:f>
      </x:c>
      <x:c r="AW193" s="67" t="str">
        <x:f>IF(COUNT(AO193,AS193)&lt;2,"",IF(AS193=0,"",AO193/AS193))</x:f>
      </x:c>
      <x:c r="AX193" s="67" t="str">
        <x:f>IF(COUNT(AW193,AR193)&lt;2,"",AW193-AR193)</x:f>
      </x:c>
      <x:c r="AY193" s="67" t="str">
        <x:f>IF(COUNT(AO193,AW193)&lt;2,"",AO193-AW193)</x:f>
      </x:c>
      <x:c r="AZ193" s="55"/>
      <x:c r="BA193" s="55"/>
      <x:c r="BB193" s="55"/>
      <x:c r="BC193" s="55"/>
      <x:c r="BD193" s="55"/>
      <x:c r="BE193" s="56"/>
      <x:c r="BF193" s="56"/>
      <x:c r="BG193" s="55"/>
    </x:row>
    <x:row r="194" ht="28" customHeight="1">
      <x:c r="A194" s="55"/>
      <x:c r="B194" s="55"/>
      <x:c r="C194" s="55"/>
      <x:c r="D194" s="55"/>
      <x:c r="E194" s="56"/>
      <x:c r="F194" s="57"/>
      <x:c r="G194" s="59"/>
      <x:c r="H194" s="59"/>
      <x:c r="I194" s="59"/>
      <x:c r="J194" s="59"/>
      <x:c r="K194" s="59"/>
      <x:c r="L194" s="59"/>
      <x:c r="M194" s="59"/>
      <x:c r="N194" s="59"/>
      <x:c r="O194" s="56"/>
      <x:c r="P194" s="56"/>
      <x:c r="Q194" s="56"/>
      <x:c r="R194" s="56"/>
      <x:c r="S194" s="55"/>
      <x:c r="T194" s="55"/>
      <x:c r="U194" s="56"/>
      <x:c r="V194" s="56"/>
      <x:c r="W194" s="55"/>
      <x:c r="X194" s="60"/>
      <x:c r="Y194" s="55"/>
      <x:c r="Z194" s="55"/>
      <x:c r="AA194" s="59"/>
      <x:c r="AB194" s="55"/>
      <x:c r="AC194" s="55"/>
      <x:c r="AD194" s="59"/>
      <x:c r="AE194" s="55"/>
      <x:c r="AF194" s="55"/>
      <x:c r="AG194" s="59"/>
      <x:c r="AH194" s="55"/>
      <x:c r="AI194" s="55"/>
      <x:c r="AJ194" s="59"/>
      <x:c r="AK194" s="55"/>
      <x:c r="AL194" s="55"/>
      <x:c r="AM194" s="59"/>
      <x:c r="AN194" s="56"/>
      <x:c r="AO194" s="57"/>
      <x:c r="AP194" s="57"/>
      <x:c r="AQ194" s="57"/>
      <x:c r="AR194" s="57"/>
      <x:c r="AS194" s="65" t="str">
        <x:f>IF(COUNT(AQ194,AR194)&lt;2,"",IF(AR194=0,"",AQ194/AR194))</x:f>
      </x:c>
      <x:c r="AT194" s="65" t="str">
        <x:f>IF(COUNT(AQ194,AP194)&lt;2,"",IF(AP194=0,"",AQ194/AP194))</x:f>
      </x:c>
      <x:c r="AU194" s="67" t="str">
        <x:f>IF(COUNT(AQ194,AR194)&lt;2,"",AQ194-AR194)</x:f>
      </x:c>
      <x:c r="AV194" s="67" t="str">
        <x:f>IF(COUNT(AQ194,AP194)&lt;2,"",AQ194-AP194)</x:f>
      </x:c>
      <x:c r="AW194" s="67" t="str">
        <x:f>IF(COUNT(AO194,AS194)&lt;2,"",IF(AS194=0,"",AO194/AS194))</x:f>
      </x:c>
      <x:c r="AX194" s="67" t="str">
        <x:f>IF(COUNT(AW194,AR194)&lt;2,"",AW194-AR194)</x:f>
      </x:c>
      <x:c r="AY194" s="67" t="str">
        <x:f>IF(COUNT(AO194,AW194)&lt;2,"",AO194-AW194)</x:f>
      </x:c>
      <x:c r="AZ194" s="55"/>
      <x:c r="BA194" s="55"/>
      <x:c r="BB194" s="55"/>
      <x:c r="BC194" s="55"/>
      <x:c r="BD194" s="55"/>
      <x:c r="BE194" s="56"/>
      <x:c r="BF194" s="56"/>
      <x:c r="BG194" s="55"/>
    </x:row>
    <x:row r="195" ht="28" customHeight="1">
      <x:c r="A195" s="55"/>
      <x:c r="B195" s="55"/>
      <x:c r="C195" s="55"/>
      <x:c r="D195" s="55"/>
      <x:c r="E195" s="56"/>
      <x:c r="F195" s="57"/>
      <x:c r="G195" s="59"/>
      <x:c r="H195" s="59"/>
      <x:c r="I195" s="59"/>
      <x:c r="J195" s="59"/>
      <x:c r="K195" s="59"/>
      <x:c r="L195" s="59"/>
      <x:c r="M195" s="59"/>
      <x:c r="N195" s="59"/>
      <x:c r="O195" s="56"/>
      <x:c r="P195" s="56"/>
      <x:c r="Q195" s="56"/>
      <x:c r="R195" s="56"/>
      <x:c r="S195" s="55"/>
      <x:c r="T195" s="55"/>
      <x:c r="U195" s="56"/>
      <x:c r="V195" s="56"/>
      <x:c r="W195" s="55"/>
      <x:c r="X195" s="60"/>
      <x:c r="Y195" s="55"/>
      <x:c r="Z195" s="55"/>
      <x:c r="AA195" s="59"/>
      <x:c r="AB195" s="55"/>
      <x:c r="AC195" s="55"/>
      <x:c r="AD195" s="59"/>
      <x:c r="AE195" s="55"/>
      <x:c r="AF195" s="55"/>
      <x:c r="AG195" s="59"/>
      <x:c r="AH195" s="55"/>
      <x:c r="AI195" s="55"/>
      <x:c r="AJ195" s="59"/>
      <x:c r="AK195" s="55"/>
      <x:c r="AL195" s="55"/>
      <x:c r="AM195" s="59"/>
      <x:c r="AN195" s="56"/>
      <x:c r="AO195" s="57"/>
      <x:c r="AP195" s="57"/>
      <x:c r="AQ195" s="57"/>
      <x:c r="AR195" s="57"/>
      <x:c r="AS195" s="65" t="str">
        <x:f>IF(COUNT(AQ195,AR195)&lt;2,"",IF(AR195=0,"",AQ195/AR195))</x:f>
      </x:c>
      <x:c r="AT195" s="65" t="str">
        <x:f>IF(COUNT(AQ195,AP195)&lt;2,"",IF(AP195=0,"",AQ195/AP195))</x:f>
      </x:c>
      <x:c r="AU195" s="67" t="str">
        <x:f>IF(COUNT(AQ195,AR195)&lt;2,"",AQ195-AR195)</x:f>
      </x:c>
      <x:c r="AV195" s="67" t="str">
        <x:f>IF(COUNT(AQ195,AP195)&lt;2,"",AQ195-AP195)</x:f>
      </x:c>
      <x:c r="AW195" s="67" t="str">
        <x:f>IF(COUNT(AO195,AS195)&lt;2,"",IF(AS195=0,"",AO195/AS195))</x:f>
      </x:c>
      <x:c r="AX195" s="67" t="str">
        <x:f>IF(COUNT(AW195,AR195)&lt;2,"",AW195-AR195)</x:f>
      </x:c>
      <x:c r="AY195" s="67" t="str">
        <x:f>IF(COUNT(AO195,AW195)&lt;2,"",AO195-AW195)</x:f>
      </x:c>
      <x:c r="AZ195" s="55"/>
      <x:c r="BA195" s="55"/>
      <x:c r="BB195" s="55"/>
      <x:c r="BC195" s="55"/>
      <x:c r="BD195" s="55"/>
      <x:c r="BE195" s="56"/>
      <x:c r="BF195" s="56"/>
      <x:c r="BG195" s="55"/>
    </x:row>
    <x:row r="196" ht="28" customHeight="1">
      <x:c r="A196" s="55"/>
      <x:c r="B196" s="55"/>
      <x:c r="C196" s="55"/>
      <x:c r="D196" s="55"/>
      <x:c r="E196" s="56"/>
      <x:c r="F196" s="57"/>
      <x:c r="G196" s="59"/>
      <x:c r="H196" s="59"/>
      <x:c r="I196" s="59"/>
      <x:c r="J196" s="59"/>
      <x:c r="K196" s="59"/>
      <x:c r="L196" s="59"/>
      <x:c r="M196" s="59"/>
      <x:c r="N196" s="59"/>
      <x:c r="O196" s="56"/>
      <x:c r="P196" s="56"/>
      <x:c r="Q196" s="56"/>
      <x:c r="R196" s="56"/>
      <x:c r="S196" s="55"/>
      <x:c r="T196" s="55"/>
      <x:c r="U196" s="56"/>
      <x:c r="V196" s="56"/>
      <x:c r="W196" s="55"/>
      <x:c r="X196" s="60"/>
      <x:c r="Y196" s="55"/>
      <x:c r="Z196" s="55"/>
      <x:c r="AA196" s="59"/>
      <x:c r="AB196" s="55"/>
      <x:c r="AC196" s="55"/>
      <x:c r="AD196" s="59"/>
      <x:c r="AE196" s="55"/>
      <x:c r="AF196" s="55"/>
      <x:c r="AG196" s="59"/>
      <x:c r="AH196" s="55"/>
      <x:c r="AI196" s="55"/>
      <x:c r="AJ196" s="59"/>
      <x:c r="AK196" s="55"/>
      <x:c r="AL196" s="55"/>
      <x:c r="AM196" s="59"/>
      <x:c r="AN196" s="56"/>
      <x:c r="AO196" s="57"/>
      <x:c r="AP196" s="57"/>
      <x:c r="AQ196" s="57"/>
      <x:c r="AR196" s="57"/>
      <x:c r="AS196" s="65" t="str">
        <x:f>IF(COUNT(AQ196,AR196)&lt;2,"",IF(AR196=0,"",AQ196/AR196))</x:f>
      </x:c>
      <x:c r="AT196" s="65" t="str">
        <x:f>IF(COUNT(AQ196,AP196)&lt;2,"",IF(AP196=0,"",AQ196/AP196))</x:f>
      </x:c>
      <x:c r="AU196" s="67" t="str">
        <x:f>IF(COUNT(AQ196,AR196)&lt;2,"",AQ196-AR196)</x:f>
      </x:c>
      <x:c r="AV196" s="67" t="str">
        <x:f>IF(COUNT(AQ196,AP196)&lt;2,"",AQ196-AP196)</x:f>
      </x:c>
      <x:c r="AW196" s="67" t="str">
        <x:f>IF(COUNT(AO196,AS196)&lt;2,"",IF(AS196=0,"",AO196/AS196))</x:f>
      </x:c>
      <x:c r="AX196" s="67" t="str">
        <x:f>IF(COUNT(AW196,AR196)&lt;2,"",AW196-AR196)</x:f>
      </x:c>
      <x:c r="AY196" s="67" t="str">
        <x:f>IF(COUNT(AO196,AW196)&lt;2,"",AO196-AW196)</x:f>
      </x:c>
      <x:c r="AZ196" s="55"/>
      <x:c r="BA196" s="55"/>
      <x:c r="BB196" s="55"/>
      <x:c r="BC196" s="55"/>
      <x:c r="BD196" s="55"/>
      <x:c r="BE196" s="56"/>
      <x:c r="BF196" s="56"/>
      <x:c r="BG196" s="55"/>
    </x:row>
    <x:row r="197" ht="28" customHeight="1">
      <x:c r="A197" s="55"/>
      <x:c r="B197" s="55"/>
      <x:c r="C197" s="55"/>
      <x:c r="D197" s="55"/>
      <x:c r="E197" s="56"/>
      <x:c r="F197" s="57"/>
      <x:c r="G197" s="59"/>
      <x:c r="H197" s="59"/>
      <x:c r="I197" s="59"/>
      <x:c r="J197" s="59"/>
      <x:c r="K197" s="59"/>
      <x:c r="L197" s="59"/>
      <x:c r="M197" s="59"/>
      <x:c r="N197" s="59"/>
      <x:c r="O197" s="56"/>
      <x:c r="P197" s="56"/>
      <x:c r="Q197" s="56"/>
      <x:c r="R197" s="56"/>
      <x:c r="S197" s="55"/>
      <x:c r="T197" s="55"/>
      <x:c r="U197" s="56"/>
      <x:c r="V197" s="56"/>
      <x:c r="W197" s="55"/>
      <x:c r="X197" s="60"/>
      <x:c r="Y197" s="55"/>
      <x:c r="Z197" s="55"/>
      <x:c r="AA197" s="59"/>
      <x:c r="AB197" s="55"/>
      <x:c r="AC197" s="55"/>
      <x:c r="AD197" s="59"/>
      <x:c r="AE197" s="55"/>
      <x:c r="AF197" s="55"/>
      <x:c r="AG197" s="59"/>
      <x:c r="AH197" s="55"/>
      <x:c r="AI197" s="55"/>
      <x:c r="AJ197" s="59"/>
      <x:c r="AK197" s="55"/>
      <x:c r="AL197" s="55"/>
      <x:c r="AM197" s="59"/>
      <x:c r="AN197" s="56"/>
      <x:c r="AO197" s="57"/>
      <x:c r="AP197" s="57"/>
      <x:c r="AQ197" s="57"/>
      <x:c r="AR197" s="57"/>
      <x:c r="AS197" s="65" t="str">
        <x:f>IF(COUNT(AQ197,AR197)&lt;2,"",IF(AR197=0,"",AQ197/AR197))</x:f>
      </x:c>
      <x:c r="AT197" s="65" t="str">
        <x:f>IF(COUNT(AQ197,AP197)&lt;2,"",IF(AP197=0,"",AQ197/AP197))</x:f>
      </x:c>
      <x:c r="AU197" s="67" t="str">
        <x:f>IF(COUNT(AQ197,AR197)&lt;2,"",AQ197-AR197)</x:f>
      </x:c>
      <x:c r="AV197" s="67" t="str">
        <x:f>IF(COUNT(AQ197,AP197)&lt;2,"",AQ197-AP197)</x:f>
      </x:c>
      <x:c r="AW197" s="67" t="str">
        <x:f>IF(COUNT(AO197,AS197)&lt;2,"",IF(AS197=0,"",AO197/AS197))</x:f>
      </x:c>
      <x:c r="AX197" s="67" t="str">
        <x:f>IF(COUNT(AW197,AR197)&lt;2,"",AW197-AR197)</x:f>
      </x:c>
      <x:c r="AY197" s="67" t="str">
        <x:f>IF(COUNT(AO197,AW197)&lt;2,"",AO197-AW197)</x:f>
      </x:c>
      <x:c r="AZ197" s="55"/>
      <x:c r="BA197" s="55"/>
      <x:c r="BB197" s="55"/>
      <x:c r="BC197" s="55"/>
      <x:c r="BD197" s="55"/>
      <x:c r="BE197" s="56"/>
      <x:c r="BF197" s="56"/>
      <x:c r="BG197" s="55"/>
    </x:row>
    <x:row r="198" ht="28" customHeight="1">
      <x:c r="A198" s="55"/>
      <x:c r="B198" s="55"/>
      <x:c r="C198" s="55"/>
      <x:c r="D198" s="55"/>
      <x:c r="E198" s="56"/>
      <x:c r="F198" s="57"/>
      <x:c r="G198" s="59"/>
      <x:c r="H198" s="59"/>
      <x:c r="I198" s="59"/>
      <x:c r="J198" s="59"/>
      <x:c r="K198" s="59"/>
      <x:c r="L198" s="59"/>
      <x:c r="M198" s="59"/>
      <x:c r="N198" s="59"/>
      <x:c r="O198" s="56"/>
      <x:c r="P198" s="56"/>
      <x:c r="Q198" s="56"/>
      <x:c r="R198" s="56"/>
      <x:c r="S198" s="55"/>
      <x:c r="T198" s="55"/>
      <x:c r="U198" s="56"/>
      <x:c r="V198" s="56"/>
      <x:c r="W198" s="55"/>
      <x:c r="X198" s="60"/>
      <x:c r="Y198" s="55"/>
      <x:c r="Z198" s="55"/>
      <x:c r="AA198" s="59"/>
      <x:c r="AB198" s="55"/>
      <x:c r="AC198" s="55"/>
      <x:c r="AD198" s="59"/>
      <x:c r="AE198" s="55"/>
      <x:c r="AF198" s="55"/>
      <x:c r="AG198" s="59"/>
      <x:c r="AH198" s="55"/>
      <x:c r="AI198" s="55"/>
      <x:c r="AJ198" s="59"/>
      <x:c r="AK198" s="55"/>
      <x:c r="AL198" s="55"/>
      <x:c r="AM198" s="59"/>
      <x:c r="AN198" s="56"/>
      <x:c r="AO198" s="57"/>
      <x:c r="AP198" s="57"/>
      <x:c r="AQ198" s="57"/>
      <x:c r="AR198" s="57"/>
      <x:c r="AS198" s="65" t="str">
        <x:f>IF(COUNT(AQ198,AR198)&lt;2,"",IF(AR198=0,"",AQ198/AR198))</x:f>
      </x:c>
      <x:c r="AT198" s="65" t="str">
        <x:f>IF(COUNT(AQ198,AP198)&lt;2,"",IF(AP198=0,"",AQ198/AP198))</x:f>
      </x:c>
      <x:c r="AU198" s="67" t="str">
        <x:f>IF(COUNT(AQ198,AR198)&lt;2,"",AQ198-AR198)</x:f>
      </x:c>
      <x:c r="AV198" s="67" t="str">
        <x:f>IF(COUNT(AQ198,AP198)&lt;2,"",AQ198-AP198)</x:f>
      </x:c>
      <x:c r="AW198" s="67" t="str">
        <x:f>IF(COUNT(AO198,AS198)&lt;2,"",IF(AS198=0,"",AO198/AS198))</x:f>
      </x:c>
      <x:c r="AX198" s="67" t="str">
        <x:f>IF(COUNT(AW198,AR198)&lt;2,"",AW198-AR198)</x:f>
      </x:c>
      <x:c r="AY198" s="67" t="str">
        <x:f>IF(COUNT(AO198,AW198)&lt;2,"",AO198-AW198)</x:f>
      </x:c>
      <x:c r="AZ198" s="55"/>
      <x:c r="BA198" s="55"/>
      <x:c r="BB198" s="55"/>
      <x:c r="BC198" s="55"/>
      <x:c r="BD198" s="55"/>
      <x:c r="BE198" s="56"/>
      <x:c r="BF198" s="56"/>
      <x:c r="BG198" s="55"/>
    </x:row>
    <x:row r="199" ht="28" customHeight="1">
      <x:c r="A199" s="55"/>
      <x:c r="B199" s="55"/>
      <x:c r="C199" s="55"/>
      <x:c r="D199" s="55"/>
      <x:c r="E199" s="56"/>
      <x:c r="F199" s="57"/>
      <x:c r="G199" s="59"/>
      <x:c r="H199" s="59"/>
      <x:c r="I199" s="59"/>
      <x:c r="J199" s="59"/>
      <x:c r="K199" s="59"/>
      <x:c r="L199" s="59"/>
      <x:c r="M199" s="59"/>
      <x:c r="N199" s="59"/>
      <x:c r="O199" s="56"/>
      <x:c r="P199" s="56"/>
      <x:c r="Q199" s="56"/>
      <x:c r="R199" s="56"/>
      <x:c r="S199" s="55"/>
      <x:c r="T199" s="55"/>
      <x:c r="U199" s="56"/>
      <x:c r="V199" s="56"/>
      <x:c r="W199" s="55"/>
      <x:c r="X199" s="60"/>
      <x:c r="Y199" s="55"/>
      <x:c r="Z199" s="55"/>
      <x:c r="AA199" s="59"/>
      <x:c r="AB199" s="55"/>
      <x:c r="AC199" s="55"/>
      <x:c r="AD199" s="59"/>
      <x:c r="AE199" s="55"/>
      <x:c r="AF199" s="55"/>
      <x:c r="AG199" s="59"/>
      <x:c r="AH199" s="55"/>
      <x:c r="AI199" s="55"/>
      <x:c r="AJ199" s="59"/>
      <x:c r="AK199" s="55"/>
      <x:c r="AL199" s="55"/>
      <x:c r="AM199" s="59"/>
      <x:c r="AN199" s="56"/>
      <x:c r="AO199" s="57"/>
      <x:c r="AP199" s="57"/>
      <x:c r="AQ199" s="57"/>
      <x:c r="AR199" s="57"/>
      <x:c r="AS199" s="65" t="str">
        <x:f>IF(COUNT(AQ199,AR199)&lt;2,"",IF(AR199=0,"",AQ199/AR199))</x:f>
      </x:c>
      <x:c r="AT199" s="65" t="str">
        <x:f>IF(COUNT(AQ199,AP199)&lt;2,"",IF(AP199=0,"",AQ199/AP199))</x:f>
      </x:c>
      <x:c r="AU199" s="67" t="str">
        <x:f>IF(COUNT(AQ199,AR199)&lt;2,"",AQ199-AR199)</x:f>
      </x:c>
      <x:c r="AV199" s="67" t="str">
        <x:f>IF(COUNT(AQ199,AP199)&lt;2,"",AQ199-AP199)</x:f>
      </x:c>
      <x:c r="AW199" s="67" t="str">
        <x:f>IF(COUNT(AO199,AS199)&lt;2,"",IF(AS199=0,"",AO199/AS199))</x:f>
      </x:c>
      <x:c r="AX199" s="67" t="str">
        <x:f>IF(COUNT(AW199,AR199)&lt;2,"",AW199-AR199)</x:f>
      </x:c>
      <x:c r="AY199" s="67" t="str">
        <x:f>IF(COUNT(AO199,AW199)&lt;2,"",AO199-AW199)</x:f>
      </x:c>
      <x:c r="AZ199" s="55"/>
      <x:c r="BA199" s="55"/>
      <x:c r="BB199" s="55"/>
      <x:c r="BC199" s="55"/>
      <x:c r="BD199" s="55"/>
      <x:c r="BE199" s="56"/>
      <x:c r="BF199" s="56"/>
      <x:c r="BG199" s="55"/>
    </x:row>
    <x:row r="200" ht="28" customHeight="1">
      <x:c r="A200" s="55"/>
      <x:c r="B200" s="55"/>
      <x:c r="C200" s="55"/>
      <x:c r="D200" s="55"/>
      <x:c r="E200" s="56"/>
      <x:c r="F200" s="57"/>
      <x:c r="G200" s="59"/>
      <x:c r="H200" s="59"/>
      <x:c r="I200" s="59"/>
      <x:c r="J200" s="59"/>
      <x:c r="K200" s="59"/>
      <x:c r="L200" s="59"/>
      <x:c r="M200" s="59"/>
      <x:c r="N200" s="59"/>
      <x:c r="O200" s="56"/>
      <x:c r="P200" s="56"/>
      <x:c r="Q200" s="56"/>
      <x:c r="R200" s="56"/>
      <x:c r="S200" s="55"/>
      <x:c r="T200" s="55"/>
      <x:c r="U200" s="56"/>
      <x:c r="V200" s="56"/>
      <x:c r="W200" s="55"/>
      <x:c r="X200" s="60"/>
      <x:c r="Y200" s="55"/>
      <x:c r="Z200" s="55"/>
      <x:c r="AA200" s="59"/>
      <x:c r="AB200" s="55"/>
      <x:c r="AC200" s="55"/>
      <x:c r="AD200" s="59"/>
      <x:c r="AE200" s="55"/>
      <x:c r="AF200" s="55"/>
      <x:c r="AG200" s="59"/>
      <x:c r="AH200" s="55"/>
      <x:c r="AI200" s="55"/>
      <x:c r="AJ200" s="59"/>
      <x:c r="AK200" s="55"/>
      <x:c r="AL200" s="55"/>
      <x:c r="AM200" s="59"/>
      <x:c r="AN200" s="56"/>
      <x:c r="AO200" s="57"/>
      <x:c r="AP200" s="57"/>
      <x:c r="AQ200" s="57"/>
      <x:c r="AR200" s="57"/>
      <x:c r="AS200" s="65" t="str">
        <x:f>IF(COUNT(AQ200,AR200)&lt;2,"",IF(AR200=0,"",AQ200/AR200))</x:f>
      </x:c>
      <x:c r="AT200" s="65" t="str">
        <x:f>IF(COUNT(AQ200,AP200)&lt;2,"",IF(AP200=0,"",AQ200/AP200))</x:f>
      </x:c>
      <x:c r="AU200" s="67" t="str">
        <x:f>IF(COUNT(AQ200,AR200)&lt;2,"",AQ200-AR200)</x:f>
      </x:c>
      <x:c r="AV200" s="67" t="str">
        <x:f>IF(COUNT(AQ200,AP200)&lt;2,"",AQ200-AP200)</x:f>
      </x:c>
      <x:c r="AW200" s="67" t="str">
        <x:f>IF(COUNT(AO200,AS200)&lt;2,"",IF(AS200=0,"",AO200/AS200))</x:f>
      </x:c>
      <x:c r="AX200" s="67" t="str">
        <x:f>IF(COUNT(AW200,AR200)&lt;2,"",AW200-AR200)</x:f>
      </x:c>
      <x:c r="AY200" s="67" t="str">
        <x:f>IF(COUNT(AO200,AW200)&lt;2,"",AO200-AW200)</x:f>
      </x:c>
      <x:c r="AZ200" s="55"/>
      <x:c r="BA200" s="55"/>
      <x:c r="BB200" s="55"/>
      <x:c r="BC200" s="55"/>
      <x:c r="BD200" s="55"/>
      <x:c r="BE200" s="56"/>
      <x:c r="BF200" s="56"/>
      <x:c r="BG200" s="55"/>
    </x:row>
    <x:row r="201" ht="28" customHeight="1">
      <x:c r="A201" s="55"/>
      <x:c r="B201" s="55"/>
      <x:c r="C201" s="55"/>
      <x:c r="D201" s="55"/>
      <x:c r="E201" s="56"/>
      <x:c r="F201" s="57"/>
      <x:c r="G201" s="59"/>
      <x:c r="H201" s="59"/>
      <x:c r="I201" s="59"/>
      <x:c r="J201" s="59"/>
      <x:c r="K201" s="59"/>
      <x:c r="L201" s="59"/>
      <x:c r="M201" s="59"/>
      <x:c r="N201" s="59"/>
      <x:c r="O201" s="56"/>
      <x:c r="P201" s="56"/>
      <x:c r="Q201" s="56"/>
      <x:c r="R201" s="56"/>
      <x:c r="S201" s="55"/>
      <x:c r="T201" s="55"/>
      <x:c r="U201" s="56"/>
      <x:c r="V201" s="56"/>
      <x:c r="W201" s="55"/>
      <x:c r="X201" s="60"/>
      <x:c r="Y201" s="55"/>
      <x:c r="Z201" s="55"/>
      <x:c r="AA201" s="59"/>
      <x:c r="AB201" s="55"/>
      <x:c r="AC201" s="55"/>
      <x:c r="AD201" s="59"/>
      <x:c r="AE201" s="55"/>
      <x:c r="AF201" s="55"/>
      <x:c r="AG201" s="59"/>
      <x:c r="AH201" s="55"/>
      <x:c r="AI201" s="55"/>
      <x:c r="AJ201" s="59"/>
      <x:c r="AK201" s="55"/>
      <x:c r="AL201" s="55"/>
      <x:c r="AM201" s="59"/>
      <x:c r="AN201" s="56"/>
      <x:c r="AO201" s="57"/>
      <x:c r="AP201" s="57"/>
      <x:c r="AQ201" s="57"/>
      <x:c r="AR201" s="57"/>
      <x:c r="AS201" s="65" t="str">
        <x:f>IF(COUNT(AQ201,AR201)&lt;2,"",IF(AR201=0,"",AQ201/AR201))</x:f>
      </x:c>
      <x:c r="AT201" s="65" t="str">
        <x:f>IF(COUNT(AQ201,AP201)&lt;2,"",IF(AP201=0,"",AQ201/AP201))</x:f>
      </x:c>
      <x:c r="AU201" s="67" t="str">
        <x:f>IF(COUNT(AQ201,AR201)&lt;2,"",AQ201-AR201)</x:f>
      </x:c>
      <x:c r="AV201" s="67" t="str">
        <x:f>IF(COUNT(AQ201,AP201)&lt;2,"",AQ201-AP201)</x:f>
      </x:c>
      <x:c r="AW201" s="67" t="str">
        <x:f>IF(COUNT(AO201,AS201)&lt;2,"",IF(AS201=0,"",AO201/AS201))</x:f>
      </x:c>
      <x:c r="AX201" s="67" t="str">
        <x:f>IF(COUNT(AW201,AR201)&lt;2,"",AW201-AR201)</x:f>
      </x:c>
      <x:c r="AY201" s="67" t="str">
        <x:f>IF(COUNT(AO201,AW201)&lt;2,"",AO201-AW201)</x:f>
      </x:c>
      <x:c r="AZ201" s="55"/>
      <x:c r="BA201" s="55"/>
      <x:c r="BB201" s="55"/>
      <x:c r="BC201" s="55"/>
      <x:c r="BD201" s="55"/>
      <x:c r="BE201" s="56"/>
      <x:c r="BF201" s="56"/>
      <x:c r="BG201" s="55"/>
    </x:row>
    <x:row r="202" ht="28" customHeight="1">
      <x:c r="A202" s="55"/>
      <x:c r="B202" s="55"/>
      <x:c r="C202" s="55"/>
      <x:c r="D202" s="55"/>
      <x:c r="E202" s="56"/>
      <x:c r="F202" s="57"/>
      <x:c r="G202" s="59"/>
      <x:c r="H202" s="59"/>
      <x:c r="I202" s="59"/>
      <x:c r="J202" s="59"/>
      <x:c r="K202" s="59"/>
      <x:c r="L202" s="59"/>
      <x:c r="M202" s="59"/>
      <x:c r="N202" s="59"/>
      <x:c r="O202" s="56"/>
      <x:c r="P202" s="56"/>
      <x:c r="Q202" s="56"/>
      <x:c r="R202" s="56"/>
      <x:c r="S202" s="55"/>
      <x:c r="T202" s="55"/>
      <x:c r="U202" s="56"/>
      <x:c r="V202" s="56"/>
      <x:c r="W202" s="55"/>
      <x:c r="X202" s="60"/>
      <x:c r="Y202" s="55"/>
      <x:c r="Z202" s="55"/>
      <x:c r="AA202" s="59"/>
      <x:c r="AB202" s="55"/>
      <x:c r="AC202" s="55"/>
      <x:c r="AD202" s="59"/>
      <x:c r="AE202" s="55"/>
      <x:c r="AF202" s="55"/>
      <x:c r="AG202" s="59"/>
      <x:c r="AH202" s="55"/>
      <x:c r="AI202" s="55"/>
      <x:c r="AJ202" s="59"/>
      <x:c r="AK202" s="55"/>
      <x:c r="AL202" s="55"/>
      <x:c r="AM202" s="59"/>
      <x:c r="AN202" s="56"/>
      <x:c r="AO202" s="57"/>
      <x:c r="AP202" s="57"/>
      <x:c r="AQ202" s="57"/>
      <x:c r="AR202" s="57"/>
      <x:c r="AS202" s="65" t="str">
        <x:f>IF(COUNT(AQ202,AR202)&lt;2,"",IF(AR202=0,"",AQ202/AR202))</x:f>
      </x:c>
      <x:c r="AT202" s="65" t="str">
        <x:f>IF(COUNT(AQ202,AP202)&lt;2,"",IF(AP202=0,"",AQ202/AP202))</x:f>
      </x:c>
      <x:c r="AU202" s="67" t="str">
        <x:f>IF(COUNT(AQ202,AR202)&lt;2,"",AQ202-AR202)</x:f>
      </x:c>
      <x:c r="AV202" s="67" t="str">
        <x:f>IF(COUNT(AQ202,AP202)&lt;2,"",AQ202-AP202)</x:f>
      </x:c>
      <x:c r="AW202" s="67" t="str">
        <x:f>IF(COUNT(AO202,AS202)&lt;2,"",IF(AS202=0,"",AO202/AS202))</x:f>
      </x:c>
      <x:c r="AX202" s="67" t="str">
        <x:f>IF(COUNT(AW202,AR202)&lt;2,"",AW202-AR202)</x:f>
      </x:c>
      <x:c r="AY202" s="67" t="str">
        <x:f>IF(COUNT(AO202,AW202)&lt;2,"",AO202-AW202)</x:f>
      </x:c>
      <x:c r="AZ202" s="55"/>
      <x:c r="BA202" s="55"/>
      <x:c r="BB202" s="55"/>
      <x:c r="BC202" s="55"/>
      <x:c r="BD202" s="55"/>
      <x:c r="BE202" s="56"/>
      <x:c r="BF202" s="56"/>
      <x:c r="BG202" s="55"/>
    </x:row>
    <x:row r="203" ht="28" customHeight="1">
      <x:c r="A203" s="55"/>
      <x:c r="B203" s="55"/>
      <x:c r="C203" s="55"/>
      <x:c r="D203" s="55"/>
      <x:c r="E203" s="56"/>
      <x:c r="F203" s="57"/>
      <x:c r="G203" s="59"/>
      <x:c r="H203" s="59"/>
      <x:c r="I203" s="59"/>
      <x:c r="J203" s="59"/>
      <x:c r="K203" s="59"/>
      <x:c r="L203" s="59"/>
      <x:c r="M203" s="59"/>
      <x:c r="N203" s="59"/>
      <x:c r="O203" s="56"/>
      <x:c r="P203" s="56"/>
      <x:c r="Q203" s="56"/>
      <x:c r="R203" s="56"/>
      <x:c r="S203" s="55"/>
      <x:c r="T203" s="55"/>
      <x:c r="U203" s="56"/>
      <x:c r="V203" s="56"/>
      <x:c r="W203" s="55"/>
      <x:c r="X203" s="60"/>
      <x:c r="Y203" s="55"/>
      <x:c r="Z203" s="55"/>
      <x:c r="AA203" s="59"/>
      <x:c r="AB203" s="55"/>
      <x:c r="AC203" s="55"/>
      <x:c r="AD203" s="59"/>
      <x:c r="AE203" s="55"/>
      <x:c r="AF203" s="55"/>
      <x:c r="AG203" s="59"/>
      <x:c r="AH203" s="55"/>
      <x:c r="AI203" s="55"/>
      <x:c r="AJ203" s="59"/>
      <x:c r="AK203" s="55"/>
      <x:c r="AL203" s="55"/>
      <x:c r="AM203" s="59"/>
      <x:c r="AN203" s="56"/>
      <x:c r="AO203" s="57"/>
      <x:c r="AP203" s="57"/>
      <x:c r="AQ203" s="57"/>
      <x:c r="AR203" s="57"/>
      <x:c r="AS203" s="65" t="str">
        <x:f>IF(COUNT(AQ203,AR203)&lt;2,"",IF(AR203=0,"",AQ203/AR203))</x:f>
      </x:c>
      <x:c r="AT203" s="65" t="str">
        <x:f>IF(COUNT(AQ203,AP203)&lt;2,"",IF(AP203=0,"",AQ203/AP203))</x:f>
      </x:c>
      <x:c r="AU203" s="67" t="str">
        <x:f>IF(COUNT(AQ203,AR203)&lt;2,"",AQ203-AR203)</x:f>
      </x:c>
      <x:c r="AV203" s="67" t="str">
        <x:f>IF(COUNT(AQ203,AP203)&lt;2,"",AQ203-AP203)</x:f>
      </x:c>
      <x:c r="AW203" s="67" t="str">
        <x:f>IF(COUNT(AO203,AS203)&lt;2,"",IF(AS203=0,"",AO203/AS203))</x:f>
      </x:c>
      <x:c r="AX203" s="67" t="str">
        <x:f>IF(COUNT(AW203,AR203)&lt;2,"",AW203-AR203)</x:f>
      </x:c>
      <x:c r="AY203" s="67" t="str">
        <x:f>IF(COUNT(AO203,AW203)&lt;2,"",AO203-AW203)</x:f>
      </x:c>
      <x:c r="AZ203" s="55"/>
      <x:c r="BA203" s="55"/>
      <x:c r="BB203" s="55"/>
      <x:c r="BC203" s="55"/>
      <x:c r="BD203" s="55"/>
      <x:c r="BE203" s="56"/>
      <x:c r="BF203" s="56"/>
      <x:c r="BG203" s="55"/>
    </x:row>
    <x:row r="204" ht="28" customHeight="1">
      <x:c r="A204" s="55"/>
      <x:c r="B204" s="55"/>
      <x:c r="C204" s="55"/>
      <x:c r="D204" s="55"/>
      <x:c r="E204" s="56"/>
      <x:c r="F204" s="57"/>
      <x:c r="G204" s="59"/>
      <x:c r="H204" s="59"/>
      <x:c r="I204" s="59"/>
      <x:c r="J204" s="59"/>
      <x:c r="K204" s="59"/>
      <x:c r="L204" s="59"/>
      <x:c r="M204" s="59"/>
      <x:c r="N204" s="59"/>
      <x:c r="O204" s="56"/>
      <x:c r="P204" s="56"/>
      <x:c r="Q204" s="56"/>
      <x:c r="R204" s="56"/>
      <x:c r="S204" s="55"/>
      <x:c r="T204" s="55"/>
      <x:c r="U204" s="56"/>
      <x:c r="V204" s="56"/>
      <x:c r="W204" s="55"/>
      <x:c r="X204" s="60"/>
      <x:c r="Y204" s="55"/>
      <x:c r="Z204" s="55"/>
      <x:c r="AA204" s="59"/>
      <x:c r="AB204" s="55"/>
      <x:c r="AC204" s="55"/>
      <x:c r="AD204" s="59"/>
      <x:c r="AE204" s="55"/>
      <x:c r="AF204" s="55"/>
      <x:c r="AG204" s="59"/>
      <x:c r="AH204" s="55"/>
      <x:c r="AI204" s="55"/>
      <x:c r="AJ204" s="59"/>
      <x:c r="AK204" s="55"/>
      <x:c r="AL204" s="55"/>
      <x:c r="AM204" s="59"/>
      <x:c r="AN204" s="56"/>
      <x:c r="AO204" s="57"/>
      <x:c r="AP204" s="57"/>
      <x:c r="AQ204" s="57"/>
      <x:c r="AR204" s="57"/>
      <x:c r="AS204" s="65" t="str">
        <x:f>IF(COUNT(AQ204,AR204)&lt;2,"",IF(AR204=0,"",AQ204/AR204))</x:f>
      </x:c>
      <x:c r="AT204" s="65" t="str">
        <x:f>IF(COUNT(AQ204,AP204)&lt;2,"",IF(AP204=0,"",AQ204/AP204))</x:f>
      </x:c>
      <x:c r="AU204" s="67" t="str">
        <x:f>IF(COUNT(AQ204,AR204)&lt;2,"",AQ204-AR204)</x:f>
      </x:c>
      <x:c r="AV204" s="67" t="str">
        <x:f>IF(COUNT(AQ204,AP204)&lt;2,"",AQ204-AP204)</x:f>
      </x:c>
      <x:c r="AW204" s="67" t="str">
        <x:f>IF(COUNT(AO204,AS204)&lt;2,"",IF(AS204=0,"",AO204/AS204))</x:f>
      </x:c>
      <x:c r="AX204" s="67" t="str">
        <x:f>IF(COUNT(AW204,AR204)&lt;2,"",AW204-AR204)</x:f>
      </x:c>
      <x:c r="AY204" s="67" t="str">
        <x:f>IF(COUNT(AO204,AW204)&lt;2,"",AO204-AW204)</x:f>
      </x:c>
      <x:c r="AZ204" s="55"/>
      <x:c r="BA204" s="55"/>
      <x:c r="BB204" s="55"/>
      <x:c r="BC204" s="55"/>
      <x:c r="BD204" s="55"/>
      <x:c r="BE204" s="56"/>
      <x:c r="BF204" s="56"/>
      <x:c r="BG204" s="55"/>
    </x:row>
    <x:row r="205" ht="28" customHeight="1">
      <x:c r="A205" s="55"/>
      <x:c r="B205" s="55"/>
      <x:c r="C205" s="55"/>
      <x:c r="D205" s="55"/>
      <x:c r="E205" s="56"/>
      <x:c r="F205" s="57"/>
      <x:c r="G205" s="59"/>
      <x:c r="H205" s="59"/>
      <x:c r="I205" s="59"/>
      <x:c r="J205" s="59"/>
      <x:c r="K205" s="59"/>
      <x:c r="L205" s="59"/>
      <x:c r="M205" s="59"/>
      <x:c r="N205" s="59"/>
      <x:c r="O205" s="56"/>
      <x:c r="P205" s="56"/>
      <x:c r="Q205" s="56"/>
      <x:c r="R205" s="56"/>
      <x:c r="S205" s="55"/>
      <x:c r="T205" s="55"/>
      <x:c r="U205" s="56"/>
      <x:c r="V205" s="56"/>
      <x:c r="W205" s="55"/>
      <x:c r="X205" s="60"/>
      <x:c r="Y205" s="55"/>
      <x:c r="Z205" s="55"/>
      <x:c r="AA205" s="59"/>
      <x:c r="AB205" s="55"/>
      <x:c r="AC205" s="55"/>
      <x:c r="AD205" s="59"/>
      <x:c r="AE205" s="55"/>
      <x:c r="AF205" s="55"/>
      <x:c r="AG205" s="59"/>
      <x:c r="AH205" s="55"/>
      <x:c r="AI205" s="55"/>
      <x:c r="AJ205" s="59"/>
      <x:c r="AK205" s="55"/>
      <x:c r="AL205" s="55"/>
      <x:c r="AM205" s="59"/>
      <x:c r="AN205" s="56"/>
      <x:c r="AO205" s="57"/>
      <x:c r="AP205" s="57"/>
      <x:c r="AQ205" s="57"/>
      <x:c r="AR205" s="57"/>
      <x:c r="AS205" s="65" t="str">
        <x:f>IF(COUNT(AQ205,AR205)&lt;2,"",IF(AR205=0,"",AQ205/AR205))</x:f>
      </x:c>
      <x:c r="AT205" s="65" t="str">
        <x:f>IF(COUNT(AQ205,AP205)&lt;2,"",IF(AP205=0,"",AQ205/AP205))</x:f>
      </x:c>
      <x:c r="AU205" s="67" t="str">
        <x:f>IF(COUNT(AQ205,AR205)&lt;2,"",AQ205-AR205)</x:f>
      </x:c>
      <x:c r="AV205" s="67" t="str">
        <x:f>IF(COUNT(AQ205,AP205)&lt;2,"",AQ205-AP205)</x:f>
      </x:c>
      <x:c r="AW205" s="67" t="str">
        <x:f>IF(COUNT(AO205,AS205)&lt;2,"",IF(AS205=0,"",AO205/AS205))</x:f>
      </x:c>
      <x:c r="AX205" s="67" t="str">
        <x:f>IF(COUNT(AW205,AR205)&lt;2,"",AW205-AR205)</x:f>
      </x:c>
      <x:c r="AY205" s="67" t="str">
        <x:f>IF(COUNT(AO205,AW205)&lt;2,"",AO205-AW205)</x:f>
      </x:c>
      <x:c r="AZ205" s="55"/>
      <x:c r="BA205" s="55"/>
      <x:c r="BB205" s="55"/>
      <x:c r="BC205" s="55"/>
      <x:c r="BD205" s="55"/>
      <x:c r="BE205" s="56"/>
      <x:c r="BF205" s="56"/>
      <x:c r="BG205" s="55"/>
    </x:row>
    <x:row r="206" ht="28" customHeight="1">
      <x:c r="A206" s="55"/>
      <x:c r="B206" s="55"/>
      <x:c r="C206" s="55"/>
      <x:c r="D206" s="55"/>
      <x:c r="E206" s="56"/>
      <x:c r="F206" s="57"/>
      <x:c r="G206" s="59"/>
      <x:c r="H206" s="59"/>
      <x:c r="I206" s="59"/>
      <x:c r="J206" s="59"/>
      <x:c r="K206" s="59"/>
      <x:c r="L206" s="59"/>
      <x:c r="M206" s="59"/>
      <x:c r="N206" s="59"/>
      <x:c r="O206" s="56"/>
      <x:c r="P206" s="56"/>
      <x:c r="Q206" s="56"/>
      <x:c r="R206" s="56"/>
      <x:c r="S206" s="55"/>
      <x:c r="T206" s="55"/>
      <x:c r="U206" s="56"/>
      <x:c r="V206" s="56"/>
      <x:c r="W206" s="55"/>
      <x:c r="X206" s="60"/>
      <x:c r="Y206" s="55"/>
      <x:c r="Z206" s="55"/>
      <x:c r="AA206" s="59"/>
      <x:c r="AB206" s="55"/>
      <x:c r="AC206" s="55"/>
      <x:c r="AD206" s="59"/>
      <x:c r="AE206" s="55"/>
      <x:c r="AF206" s="55"/>
      <x:c r="AG206" s="59"/>
      <x:c r="AH206" s="55"/>
      <x:c r="AI206" s="55"/>
      <x:c r="AJ206" s="59"/>
      <x:c r="AK206" s="55"/>
      <x:c r="AL206" s="55"/>
      <x:c r="AM206" s="59"/>
      <x:c r="AN206" s="56"/>
      <x:c r="AO206" s="57"/>
      <x:c r="AP206" s="57"/>
      <x:c r="AQ206" s="57"/>
      <x:c r="AR206" s="57"/>
      <x:c r="AS206" s="65" t="str">
        <x:f>IF(COUNT(AQ206,AR206)&lt;2,"",IF(AR206=0,"",AQ206/AR206))</x:f>
      </x:c>
      <x:c r="AT206" s="65" t="str">
        <x:f>IF(COUNT(AQ206,AP206)&lt;2,"",IF(AP206=0,"",AQ206/AP206))</x:f>
      </x:c>
      <x:c r="AU206" s="67" t="str">
        <x:f>IF(COUNT(AQ206,AR206)&lt;2,"",AQ206-AR206)</x:f>
      </x:c>
      <x:c r="AV206" s="67" t="str">
        <x:f>IF(COUNT(AQ206,AP206)&lt;2,"",AQ206-AP206)</x:f>
      </x:c>
      <x:c r="AW206" s="67" t="str">
        <x:f>IF(COUNT(AO206,AS206)&lt;2,"",IF(AS206=0,"",AO206/AS206))</x:f>
      </x:c>
      <x:c r="AX206" s="67" t="str">
        <x:f>IF(COUNT(AW206,AR206)&lt;2,"",AW206-AR206)</x:f>
      </x:c>
      <x:c r="AY206" s="67" t="str">
        <x:f>IF(COUNT(AO206,AW206)&lt;2,"",AO206-AW206)</x:f>
      </x:c>
      <x:c r="AZ206" s="55"/>
      <x:c r="BA206" s="55"/>
      <x:c r="BB206" s="55"/>
      <x:c r="BC206" s="55"/>
      <x:c r="BD206" s="55"/>
      <x:c r="BE206" s="56"/>
      <x:c r="BF206" s="56"/>
      <x:c r="BG206" s="55"/>
    </x:row>
    <x:row r="207" ht="28" customHeight="1">
      <x:c r="A207" s="55"/>
      <x:c r="B207" s="55"/>
      <x:c r="C207" s="55"/>
      <x:c r="D207" s="55"/>
      <x:c r="E207" s="56"/>
      <x:c r="F207" s="57"/>
      <x:c r="G207" s="59"/>
      <x:c r="H207" s="59"/>
      <x:c r="I207" s="59"/>
      <x:c r="J207" s="59"/>
      <x:c r="K207" s="59"/>
      <x:c r="L207" s="59"/>
      <x:c r="M207" s="59"/>
      <x:c r="N207" s="59"/>
      <x:c r="O207" s="56"/>
      <x:c r="P207" s="56"/>
      <x:c r="Q207" s="56"/>
      <x:c r="R207" s="56"/>
      <x:c r="S207" s="55"/>
      <x:c r="T207" s="55"/>
      <x:c r="U207" s="56"/>
      <x:c r="V207" s="56"/>
      <x:c r="W207" s="55"/>
      <x:c r="X207" s="60"/>
      <x:c r="Y207" s="55"/>
      <x:c r="Z207" s="55"/>
      <x:c r="AA207" s="59"/>
      <x:c r="AB207" s="55"/>
      <x:c r="AC207" s="55"/>
      <x:c r="AD207" s="59"/>
      <x:c r="AE207" s="55"/>
      <x:c r="AF207" s="55"/>
      <x:c r="AG207" s="59"/>
      <x:c r="AH207" s="55"/>
      <x:c r="AI207" s="55"/>
      <x:c r="AJ207" s="59"/>
      <x:c r="AK207" s="55"/>
      <x:c r="AL207" s="55"/>
      <x:c r="AM207" s="59"/>
      <x:c r="AN207" s="56"/>
      <x:c r="AO207" s="57"/>
      <x:c r="AP207" s="57"/>
      <x:c r="AQ207" s="57"/>
      <x:c r="AR207" s="57"/>
      <x:c r="AS207" s="65" t="str">
        <x:f>IF(COUNT(AQ207,AR207)&lt;2,"",IF(AR207=0,"",AQ207/AR207))</x:f>
      </x:c>
      <x:c r="AT207" s="65" t="str">
        <x:f>IF(COUNT(AQ207,AP207)&lt;2,"",IF(AP207=0,"",AQ207/AP207))</x:f>
      </x:c>
      <x:c r="AU207" s="67" t="str">
        <x:f>IF(COUNT(AQ207,AR207)&lt;2,"",AQ207-AR207)</x:f>
      </x:c>
      <x:c r="AV207" s="67" t="str">
        <x:f>IF(COUNT(AQ207,AP207)&lt;2,"",AQ207-AP207)</x:f>
      </x:c>
      <x:c r="AW207" s="67" t="str">
        <x:f>IF(COUNT(AO207,AS207)&lt;2,"",IF(AS207=0,"",AO207/AS207))</x:f>
      </x:c>
      <x:c r="AX207" s="67" t="str">
        <x:f>IF(COUNT(AW207,AR207)&lt;2,"",AW207-AR207)</x:f>
      </x:c>
      <x:c r="AY207" s="67" t="str">
        <x:f>IF(COUNT(AO207,AW207)&lt;2,"",AO207-AW207)</x:f>
      </x:c>
      <x:c r="AZ207" s="55"/>
      <x:c r="BA207" s="55"/>
      <x:c r="BB207" s="55"/>
      <x:c r="BC207" s="55"/>
      <x:c r="BD207" s="55"/>
      <x:c r="BE207" s="56"/>
      <x:c r="BF207" s="56"/>
      <x:c r="BG207" s="55"/>
    </x:row>
    <x:row r="208" ht="28" customHeight="1">
      <x:c r="A208" s="55"/>
      <x:c r="B208" s="55"/>
      <x:c r="C208" s="55"/>
      <x:c r="D208" s="55"/>
      <x:c r="E208" s="56"/>
      <x:c r="F208" s="57"/>
      <x:c r="G208" s="59"/>
      <x:c r="H208" s="59"/>
      <x:c r="I208" s="59"/>
      <x:c r="J208" s="59"/>
      <x:c r="K208" s="59"/>
      <x:c r="L208" s="59"/>
      <x:c r="M208" s="59"/>
      <x:c r="N208" s="59"/>
      <x:c r="O208" s="56"/>
      <x:c r="P208" s="56"/>
      <x:c r="Q208" s="56"/>
      <x:c r="R208" s="56"/>
      <x:c r="S208" s="55"/>
      <x:c r="T208" s="55"/>
      <x:c r="U208" s="56"/>
      <x:c r="V208" s="56"/>
      <x:c r="W208" s="55"/>
      <x:c r="X208" s="60"/>
      <x:c r="Y208" s="55"/>
      <x:c r="Z208" s="55"/>
      <x:c r="AA208" s="59"/>
      <x:c r="AB208" s="55"/>
      <x:c r="AC208" s="55"/>
      <x:c r="AD208" s="59"/>
      <x:c r="AE208" s="55"/>
      <x:c r="AF208" s="55"/>
      <x:c r="AG208" s="59"/>
      <x:c r="AH208" s="55"/>
      <x:c r="AI208" s="55"/>
      <x:c r="AJ208" s="59"/>
      <x:c r="AK208" s="55"/>
      <x:c r="AL208" s="55"/>
      <x:c r="AM208" s="59"/>
      <x:c r="AN208" s="56"/>
      <x:c r="AO208" s="57"/>
      <x:c r="AP208" s="57"/>
      <x:c r="AQ208" s="57"/>
      <x:c r="AR208" s="57"/>
      <x:c r="AS208" s="65" t="str">
        <x:f>IF(COUNT(AQ208,AR208)&lt;2,"",IF(AR208=0,"",AQ208/AR208))</x:f>
      </x:c>
      <x:c r="AT208" s="65" t="str">
        <x:f>IF(COUNT(AQ208,AP208)&lt;2,"",IF(AP208=0,"",AQ208/AP208))</x:f>
      </x:c>
      <x:c r="AU208" s="67" t="str">
        <x:f>IF(COUNT(AQ208,AR208)&lt;2,"",AQ208-AR208)</x:f>
      </x:c>
      <x:c r="AV208" s="67" t="str">
        <x:f>IF(COUNT(AQ208,AP208)&lt;2,"",AQ208-AP208)</x:f>
      </x:c>
      <x:c r="AW208" s="67" t="str">
        <x:f>IF(COUNT(AO208,AS208)&lt;2,"",IF(AS208=0,"",AO208/AS208))</x:f>
      </x:c>
      <x:c r="AX208" s="67" t="str">
        <x:f>IF(COUNT(AW208,AR208)&lt;2,"",AW208-AR208)</x:f>
      </x:c>
      <x:c r="AY208" s="67" t="str">
        <x:f>IF(COUNT(AO208,AW208)&lt;2,"",AO208-AW208)</x:f>
      </x:c>
      <x:c r="AZ208" s="55"/>
      <x:c r="BA208" s="55"/>
      <x:c r="BB208" s="55"/>
      <x:c r="BC208" s="55"/>
      <x:c r="BD208" s="55"/>
      <x:c r="BE208" s="56"/>
      <x:c r="BF208" s="56"/>
      <x:c r="BG208" s="55"/>
    </x:row>
    <x:row r="209" ht="28" customHeight="1">
      <x:c r="A209" s="55"/>
      <x:c r="B209" s="55"/>
      <x:c r="C209" s="55"/>
      <x:c r="D209" s="55"/>
      <x:c r="E209" s="56"/>
      <x:c r="F209" s="57"/>
      <x:c r="G209" s="59"/>
      <x:c r="H209" s="59"/>
      <x:c r="I209" s="59"/>
      <x:c r="J209" s="59"/>
      <x:c r="K209" s="59"/>
      <x:c r="L209" s="59"/>
      <x:c r="M209" s="59"/>
      <x:c r="N209" s="59"/>
      <x:c r="O209" s="56"/>
      <x:c r="P209" s="56"/>
      <x:c r="Q209" s="56"/>
      <x:c r="R209" s="56"/>
      <x:c r="S209" s="55"/>
      <x:c r="T209" s="55"/>
      <x:c r="U209" s="56"/>
      <x:c r="V209" s="56"/>
      <x:c r="W209" s="55"/>
      <x:c r="X209" s="60"/>
      <x:c r="Y209" s="55"/>
      <x:c r="Z209" s="55"/>
      <x:c r="AA209" s="59"/>
      <x:c r="AB209" s="55"/>
      <x:c r="AC209" s="55"/>
      <x:c r="AD209" s="59"/>
      <x:c r="AE209" s="55"/>
      <x:c r="AF209" s="55"/>
      <x:c r="AG209" s="59"/>
      <x:c r="AH209" s="55"/>
      <x:c r="AI209" s="55"/>
      <x:c r="AJ209" s="59"/>
      <x:c r="AK209" s="55"/>
      <x:c r="AL209" s="55"/>
      <x:c r="AM209" s="59"/>
      <x:c r="AN209" s="56"/>
      <x:c r="AO209" s="57"/>
      <x:c r="AP209" s="57"/>
      <x:c r="AQ209" s="57"/>
      <x:c r="AR209" s="57"/>
      <x:c r="AS209" s="65" t="str">
        <x:f>IF(COUNT(AQ209,AR209)&lt;2,"",IF(AR209=0,"",AQ209/AR209))</x:f>
      </x:c>
      <x:c r="AT209" s="65" t="str">
        <x:f>IF(COUNT(AQ209,AP209)&lt;2,"",IF(AP209=0,"",AQ209/AP209))</x:f>
      </x:c>
      <x:c r="AU209" s="67" t="str">
        <x:f>IF(COUNT(AQ209,AR209)&lt;2,"",AQ209-AR209)</x:f>
      </x:c>
      <x:c r="AV209" s="67" t="str">
        <x:f>IF(COUNT(AQ209,AP209)&lt;2,"",AQ209-AP209)</x:f>
      </x:c>
      <x:c r="AW209" s="67" t="str">
        <x:f>IF(COUNT(AO209,AS209)&lt;2,"",IF(AS209=0,"",AO209/AS209))</x:f>
      </x:c>
      <x:c r="AX209" s="67" t="str">
        <x:f>IF(COUNT(AW209,AR209)&lt;2,"",AW209-AR209)</x:f>
      </x:c>
      <x:c r="AY209" s="67" t="str">
        <x:f>IF(COUNT(AO209,AW209)&lt;2,"",AO209-AW209)</x:f>
      </x:c>
      <x:c r="AZ209" s="55"/>
      <x:c r="BA209" s="55"/>
      <x:c r="BB209" s="55"/>
      <x:c r="BC209" s="55"/>
      <x:c r="BD209" s="55"/>
      <x:c r="BE209" s="56"/>
      <x:c r="BF209" s="56"/>
      <x:c r="BG209" s="55"/>
    </x:row>
    <x:row r="210" ht="28" customHeight="1">
      <x:c r="A210" s="55"/>
      <x:c r="B210" s="55"/>
      <x:c r="C210" s="55"/>
      <x:c r="D210" s="55"/>
      <x:c r="E210" s="56"/>
      <x:c r="F210" s="57"/>
      <x:c r="G210" s="59"/>
      <x:c r="H210" s="59"/>
      <x:c r="I210" s="59"/>
      <x:c r="J210" s="59"/>
      <x:c r="K210" s="59"/>
      <x:c r="L210" s="59"/>
      <x:c r="M210" s="59"/>
      <x:c r="N210" s="59"/>
      <x:c r="O210" s="56"/>
      <x:c r="P210" s="56"/>
      <x:c r="Q210" s="56"/>
      <x:c r="R210" s="56"/>
      <x:c r="S210" s="55"/>
      <x:c r="T210" s="55"/>
      <x:c r="U210" s="56"/>
      <x:c r="V210" s="56"/>
      <x:c r="W210" s="55"/>
      <x:c r="X210" s="60"/>
      <x:c r="Y210" s="55"/>
      <x:c r="Z210" s="55"/>
      <x:c r="AA210" s="59"/>
      <x:c r="AB210" s="55"/>
      <x:c r="AC210" s="55"/>
      <x:c r="AD210" s="59"/>
      <x:c r="AE210" s="55"/>
      <x:c r="AF210" s="55"/>
      <x:c r="AG210" s="59"/>
      <x:c r="AH210" s="55"/>
      <x:c r="AI210" s="55"/>
      <x:c r="AJ210" s="59"/>
      <x:c r="AK210" s="55"/>
      <x:c r="AL210" s="55"/>
      <x:c r="AM210" s="59"/>
      <x:c r="AN210" s="56"/>
      <x:c r="AO210" s="57"/>
      <x:c r="AP210" s="57"/>
      <x:c r="AQ210" s="57"/>
      <x:c r="AR210" s="57"/>
      <x:c r="AS210" s="65" t="str">
        <x:f>IF(COUNT(AQ210,AR210)&lt;2,"",IF(AR210=0,"",AQ210/AR210))</x:f>
      </x:c>
      <x:c r="AT210" s="65" t="str">
        <x:f>IF(COUNT(AQ210,AP210)&lt;2,"",IF(AP210=0,"",AQ210/AP210))</x:f>
      </x:c>
      <x:c r="AU210" s="67" t="str">
        <x:f>IF(COUNT(AQ210,AR210)&lt;2,"",AQ210-AR210)</x:f>
      </x:c>
      <x:c r="AV210" s="67" t="str">
        <x:f>IF(COUNT(AQ210,AP210)&lt;2,"",AQ210-AP210)</x:f>
      </x:c>
      <x:c r="AW210" s="67" t="str">
        <x:f>IF(COUNT(AO210,AS210)&lt;2,"",IF(AS210=0,"",AO210/AS210))</x:f>
      </x:c>
      <x:c r="AX210" s="67" t="str">
        <x:f>IF(COUNT(AW210,AR210)&lt;2,"",AW210-AR210)</x:f>
      </x:c>
      <x:c r="AY210" s="67" t="str">
        <x:f>IF(COUNT(AO210,AW210)&lt;2,"",AO210-AW210)</x:f>
      </x:c>
      <x:c r="AZ210" s="55"/>
      <x:c r="BA210" s="55"/>
      <x:c r="BB210" s="55"/>
      <x:c r="BC210" s="55"/>
      <x:c r="BD210" s="55"/>
      <x:c r="BE210" s="56"/>
      <x:c r="BF210" s="56"/>
      <x:c r="BG210" s="55"/>
    </x:row>
    <x:row r="211" ht="28" customHeight="1">
      <x:c r="A211" s="55"/>
      <x:c r="B211" s="55"/>
      <x:c r="C211" s="55"/>
      <x:c r="D211" s="55"/>
      <x:c r="E211" s="56"/>
      <x:c r="F211" s="57"/>
      <x:c r="G211" s="59"/>
      <x:c r="H211" s="59"/>
      <x:c r="I211" s="59"/>
      <x:c r="J211" s="59"/>
      <x:c r="K211" s="59"/>
      <x:c r="L211" s="59"/>
      <x:c r="M211" s="59"/>
      <x:c r="N211" s="59"/>
      <x:c r="O211" s="56"/>
      <x:c r="P211" s="56"/>
      <x:c r="Q211" s="56"/>
      <x:c r="R211" s="56"/>
      <x:c r="S211" s="55"/>
      <x:c r="T211" s="55"/>
      <x:c r="U211" s="56"/>
      <x:c r="V211" s="56"/>
      <x:c r="W211" s="55"/>
      <x:c r="X211" s="60"/>
      <x:c r="Y211" s="55"/>
      <x:c r="Z211" s="55"/>
      <x:c r="AA211" s="59"/>
      <x:c r="AB211" s="55"/>
      <x:c r="AC211" s="55"/>
      <x:c r="AD211" s="59"/>
      <x:c r="AE211" s="55"/>
      <x:c r="AF211" s="55"/>
      <x:c r="AG211" s="59"/>
      <x:c r="AH211" s="55"/>
      <x:c r="AI211" s="55"/>
      <x:c r="AJ211" s="59"/>
      <x:c r="AK211" s="55"/>
      <x:c r="AL211" s="55"/>
      <x:c r="AM211" s="59"/>
      <x:c r="AN211" s="56"/>
      <x:c r="AO211" s="57"/>
      <x:c r="AP211" s="57"/>
      <x:c r="AQ211" s="57"/>
      <x:c r="AR211" s="57"/>
      <x:c r="AS211" s="65" t="str">
        <x:f>IF(COUNT(AQ211,AR211)&lt;2,"",IF(AR211=0,"",AQ211/AR211))</x:f>
      </x:c>
      <x:c r="AT211" s="65" t="str">
        <x:f>IF(COUNT(AQ211,AP211)&lt;2,"",IF(AP211=0,"",AQ211/AP211))</x:f>
      </x:c>
      <x:c r="AU211" s="67" t="str">
        <x:f>IF(COUNT(AQ211,AR211)&lt;2,"",AQ211-AR211)</x:f>
      </x:c>
      <x:c r="AV211" s="67" t="str">
        <x:f>IF(COUNT(AQ211,AP211)&lt;2,"",AQ211-AP211)</x:f>
      </x:c>
      <x:c r="AW211" s="67" t="str">
        <x:f>IF(COUNT(AO211,AS211)&lt;2,"",IF(AS211=0,"",AO211/AS211))</x:f>
      </x:c>
      <x:c r="AX211" s="67" t="str">
        <x:f>IF(COUNT(AW211,AR211)&lt;2,"",AW211-AR211)</x:f>
      </x:c>
      <x:c r="AY211" s="67" t="str">
        <x:f>IF(COUNT(AO211,AW211)&lt;2,"",AO211-AW211)</x:f>
      </x:c>
      <x:c r="AZ211" s="55"/>
      <x:c r="BA211" s="55"/>
      <x:c r="BB211" s="55"/>
      <x:c r="BC211" s="55"/>
      <x:c r="BD211" s="55"/>
      <x:c r="BE211" s="56"/>
      <x:c r="BF211" s="56"/>
      <x:c r="BG211" s="55"/>
    </x:row>
    <x:row r="212" ht="28" customHeight="1">
      <x:c r="A212" s="55"/>
      <x:c r="B212" s="55"/>
      <x:c r="C212" s="55"/>
      <x:c r="D212" s="55"/>
      <x:c r="E212" s="56"/>
      <x:c r="F212" s="57"/>
      <x:c r="G212" s="59"/>
      <x:c r="H212" s="59"/>
      <x:c r="I212" s="59"/>
      <x:c r="J212" s="59"/>
      <x:c r="K212" s="59"/>
      <x:c r="L212" s="59"/>
      <x:c r="M212" s="59"/>
      <x:c r="N212" s="59"/>
      <x:c r="O212" s="56"/>
      <x:c r="P212" s="56"/>
      <x:c r="Q212" s="56"/>
      <x:c r="R212" s="56"/>
      <x:c r="S212" s="55"/>
      <x:c r="T212" s="55"/>
      <x:c r="U212" s="56"/>
      <x:c r="V212" s="56"/>
      <x:c r="W212" s="55"/>
      <x:c r="X212" s="60"/>
      <x:c r="Y212" s="55"/>
      <x:c r="Z212" s="55"/>
      <x:c r="AA212" s="59"/>
      <x:c r="AB212" s="55"/>
      <x:c r="AC212" s="55"/>
      <x:c r="AD212" s="59"/>
      <x:c r="AE212" s="55"/>
      <x:c r="AF212" s="55"/>
      <x:c r="AG212" s="59"/>
      <x:c r="AH212" s="55"/>
      <x:c r="AI212" s="55"/>
      <x:c r="AJ212" s="59"/>
      <x:c r="AK212" s="55"/>
      <x:c r="AL212" s="55"/>
      <x:c r="AM212" s="59"/>
      <x:c r="AN212" s="56"/>
      <x:c r="AO212" s="57"/>
      <x:c r="AP212" s="57"/>
      <x:c r="AQ212" s="57"/>
      <x:c r="AR212" s="57"/>
      <x:c r="AS212" s="65" t="str">
        <x:f>IF(COUNT(AQ212,AR212)&lt;2,"",IF(AR212=0,"",AQ212/AR212))</x:f>
      </x:c>
      <x:c r="AT212" s="65" t="str">
        <x:f>IF(COUNT(AQ212,AP212)&lt;2,"",IF(AP212=0,"",AQ212/AP212))</x:f>
      </x:c>
      <x:c r="AU212" s="67" t="str">
        <x:f>IF(COUNT(AQ212,AR212)&lt;2,"",AQ212-AR212)</x:f>
      </x:c>
      <x:c r="AV212" s="67" t="str">
        <x:f>IF(COUNT(AQ212,AP212)&lt;2,"",AQ212-AP212)</x:f>
      </x:c>
      <x:c r="AW212" s="67" t="str">
        <x:f>IF(COUNT(AO212,AS212)&lt;2,"",IF(AS212=0,"",AO212/AS212))</x:f>
      </x:c>
      <x:c r="AX212" s="67" t="str">
        <x:f>IF(COUNT(AW212,AR212)&lt;2,"",AW212-AR212)</x:f>
      </x:c>
      <x:c r="AY212" s="67" t="str">
        <x:f>IF(COUNT(AO212,AW212)&lt;2,"",AO212-AW212)</x:f>
      </x:c>
      <x:c r="AZ212" s="55"/>
      <x:c r="BA212" s="55"/>
      <x:c r="BB212" s="55"/>
      <x:c r="BC212" s="55"/>
      <x:c r="BD212" s="55"/>
      <x:c r="BE212" s="56"/>
      <x:c r="BF212" s="56"/>
      <x:c r="BG212" s="55"/>
    </x:row>
    <x:row r="213" ht="28" customHeight="1">
      <x:c r="A213" s="55"/>
      <x:c r="B213" s="55"/>
      <x:c r="C213" s="55"/>
      <x:c r="D213" s="55"/>
      <x:c r="E213" s="56"/>
      <x:c r="F213" s="57"/>
      <x:c r="G213" s="59"/>
      <x:c r="H213" s="59"/>
      <x:c r="I213" s="59"/>
      <x:c r="J213" s="59"/>
      <x:c r="K213" s="59"/>
      <x:c r="L213" s="59"/>
      <x:c r="M213" s="59"/>
      <x:c r="N213" s="59"/>
      <x:c r="O213" s="56"/>
      <x:c r="P213" s="56"/>
      <x:c r="Q213" s="56"/>
      <x:c r="R213" s="56"/>
      <x:c r="S213" s="55"/>
      <x:c r="T213" s="55"/>
      <x:c r="U213" s="56"/>
      <x:c r="V213" s="56"/>
      <x:c r="W213" s="55"/>
      <x:c r="X213" s="60"/>
      <x:c r="Y213" s="55"/>
      <x:c r="Z213" s="55"/>
      <x:c r="AA213" s="59"/>
      <x:c r="AB213" s="55"/>
      <x:c r="AC213" s="55"/>
      <x:c r="AD213" s="59"/>
      <x:c r="AE213" s="55"/>
      <x:c r="AF213" s="55"/>
      <x:c r="AG213" s="59"/>
      <x:c r="AH213" s="55"/>
      <x:c r="AI213" s="55"/>
      <x:c r="AJ213" s="59"/>
      <x:c r="AK213" s="55"/>
      <x:c r="AL213" s="55"/>
      <x:c r="AM213" s="59"/>
      <x:c r="AN213" s="56"/>
      <x:c r="AO213" s="57"/>
      <x:c r="AP213" s="57"/>
      <x:c r="AQ213" s="57"/>
      <x:c r="AR213" s="57"/>
      <x:c r="AS213" s="65" t="str">
        <x:f>IF(COUNT(AQ213,AR213)&lt;2,"",IF(AR213=0,"",AQ213/AR213))</x:f>
      </x:c>
      <x:c r="AT213" s="65" t="str">
        <x:f>IF(COUNT(AQ213,AP213)&lt;2,"",IF(AP213=0,"",AQ213/AP213))</x:f>
      </x:c>
      <x:c r="AU213" s="67" t="str">
        <x:f>IF(COUNT(AQ213,AR213)&lt;2,"",AQ213-AR213)</x:f>
      </x:c>
      <x:c r="AV213" s="67" t="str">
        <x:f>IF(COUNT(AQ213,AP213)&lt;2,"",AQ213-AP213)</x:f>
      </x:c>
      <x:c r="AW213" s="67" t="str">
        <x:f>IF(COUNT(AO213,AS213)&lt;2,"",IF(AS213=0,"",AO213/AS213))</x:f>
      </x:c>
      <x:c r="AX213" s="67" t="str">
        <x:f>IF(COUNT(AW213,AR213)&lt;2,"",AW213-AR213)</x:f>
      </x:c>
      <x:c r="AY213" s="67" t="str">
        <x:f>IF(COUNT(AO213,AW213)&lt;2,"",AO213-AW213)</x:f>
      </x:c>
      <x:c r="AZ213" s="55"/>
      <x:c r="BA213" s="55"/>
      <x:c r="BB213" s="55"/>
      <x:c r="BC213" s="55"/>
      <x:c r="BD213" s="55"/>
      <x:c r="BE213" s="56"/>
      <x:c r="BF213" s="56"/>
      <x:c r="BG213" s="55"/>
    </x:row>
    <x:row r="214" ht="28" customHeight="1">
      <x:c r="A214" s="55"/>
      <x:c r="B214" s="55"/>
      <x:c r="C214" s="55"/>
      <x:c r="D214" s="55"/>
      <x:c r="E214" s="56"/>
      <x:c r="F214" s="57"/>
      <x:c r="G214" s="59"/>
      <x:c r="H214" s="59"/>
      <x:c r="I214" s="59"/>
      <x:c r="J214" s="59"/>
      <x:c r="K214" s="59"/>
      <x:c r="L214" s="59"/>
      <x:c r="M214" s="59"/>
      <x:c r="N214" s="59"/>
      <x:c r="O214" s="56"/>
      <x:c r="P214" s="56"/>
      <x:c r="Q214" s="56"/>
      <x:c r="R214" s="56"/>
      <x:c r="S214" s="55"/>
      <x:c r="T214" s="55"/>
      <x:c r="U214" s="56"/>
      <x:c r="V214" s="56"/>
      <x:c r="W214" s="55"/>
      <x:c r="X214" s="60"/>
      <x:c r="Y214" s="55"/>
      <x:c r="Z214" s="55"/>
      <x:c r="AA214" s="59"/>
      <x:c r="AB214" s="55"/>
      <x:c r="AC214" s="55"/>
      <x:c r="AD214" s="59"/>
      <x:c r="AE214" s="55"/>
      <x:c r="AF214" s="55"/>
      <x:c r="AG214" s="59"/>
      <x:c r="AH214" s="55"/>
      <x:c r="AI214" s="55"/>
      <x:c r="AJ214" s="59"/>
      <x:c r="AK214" s="55"/>
      <x:c r="AL214" s="55"/>
      <x:c r="AM214" s="59"/>
      <x:c r="AN214" s="56"/>
      <x:c r="AO214" s="57"/>
      <x:c r="AP214" s="57"/>
      <x:c r="AQ214" s="57"/>
      <x:c r="AR214" s="57"/>
      <x:c r="AS214" s="65" t="str">
        <x:f>IF(COUNT(AQ214,AR214)&lt;2,"",IF(AR214=0,"",AQ214/AR214))</x:f>
      </x:c>
      <x:c r="AT214" s="65" t="str">
        <x:f>IF(COUNT(AQ214,AP214)&lt;2,"",IF(AP214=0,"",AQ214/AP214))</x:f>
      </x:c>
      <x:c r="AU214" s="67" t="str">
        <x:f>IF(COUNT(AQ214,AR214)&lt;2,"",AQ214-AR214)</x:f>
      </x:c>
      <x:c r="AV214" s="67" t="str">
        <x:f>IF(COUNT(AQ214,AP214)&lt;2,"",AQ214-AP214)</x:f>
      </x:c>
      <x:c r="AW214" s="67" t="str">
        <x:f>IF(COUNT(AO214,AS214)&lt;2,"",IF(AS214=0,"",AO214/AS214))</x:f>
      </x:c>
      <x:c r="AX214" s="67" t="str">
        <x:f>IF(COUNT(AW214,AR214)&lt;2,"",AW214-AR214)</x:f>
      </x:c>
      <x:c r="AY214" s="67" t="str">
        <x:f>IF(COUNT(AO214,AW214)&lt;2,"",AO214-AW214)</x:f>
      </x:c>
      <x:c r="AZ214" s="55"/>
      <x:c r="BA214" s="55"/>
      <x:c r="BB214" s="55"/>
      <x:c r="BC214" s="55"/>
      <x:c r="BD214" s="55"/>
      <x:c r="BE214" s="56"/>
      <x:c r="BF214" s="56"/>
      <x:c r="BG214" s="55"/>
    </x:row>
    <x:row r="215" ht="28" customHeight="1">
      <x:c r="A215" s="55"/>
      <x:c r="B215" s="55"/>
      <x:c r="C215" s="55"/>
      <x:c r="D215" s="55"/>
      <x:c r="E215" s="56"/>
      <x:c r="F215" s="57"/>
      <x:c r="G215" s="59"/>
      <x:c r="H215" s="59"/>
      <x:c r="I215" s="59"/>
      <x:c r="J215" s="59"/>
      <x:c r="K215" s="59"/>
      <x:c r="L215" s="59"/>
      <x:c r="M215" s="59"/>
      <x:c r="N215" s="59"/>
      <x:c r="O215" s="56"/>
      <x:c r="P215" s="56"/>
      <x:c r="Q215" s="56"/>
      <x:c r="R215" s="56"/>
      <x:c r="S215" s="55"/>
      <x:c r="T215" s="55"/>
      <x:c r="U215" s="56"/>
      <x:c r="V215" s="56"/>
      <x:c r="W215" s="55"/>
      <x:c r="X215" s="60"/>
      <x:c r="Y215" s="55"/>
      <x:c r="Z215" s="55"/>
      <x:c r="AA215" s="59"/>
      <x:c r="AB215" s="55"/>
      <x:c r="AC215" s="55"/>
      <x:c r="AD215" s="59"/>
      <x:c r="AE215" s="55"/>
      <x:c r="AF215" s="55"/>
      <x:c r="AG215" s="59"/>
      <x:c r="AH215" s="55"/>
      <x:c r="AI215" s="55"/>
      <x:c r="AJ215" s="59"/>
      <x:c r="AK215" s="55"/>
      <x:c r="AL215" s="55"/>
      <x:c r="AM215" s="59"/>
      <x:c r="AN215" s="56"/>
      <x:c r="AO215" s="57"/>
      <x:c r="AP215" s="57"/>
      <x:c r="AQ215" s="57"/>
      <x:c r="AR215" s="57"/>
      <x:c r="AS215" s="65" t="str">
        <x:f>IF(COUNT(AQ215,AR215)&lt;2,"",IF(AR215=0,"",AQ215/AR215))</x:f>
      </x:c>
      <x:c r="AT215" s="65" t="str">
        <x:f>IF(COUNT(AQ215,AP215)&lt;2,"",IF(AP215=0,"",AQ215/AP215))</x:f>
      </x:c>
      <x:c r="AU215" s="67" t="str">
        <x:f>IF(COUNT(AQ215,AR215)&lt;2,"",AQ215-AR215)</x:f>
      </x:c>
      <x:c r="AV215" s="67" t="str">
        <x:f>IF(COUNT(AQ215,AP215)&lt;2,"",AQ215-AP215)</x:f>
      </x:c>
      <x:c r="AW215" s="67" t="str">
        <x:f>IF(COUNT(AO215,AS215)&lt;2,"",IF(AS215=0,"",AO215/AS215))</x:f>
      </x:c>
      <x:c r="AX215" s="67" t="str">
        <x:f>IF(COUNT(AW215,AR215)&lt;2,"",AW215-AR215)</x:f>
      </x:c>
      <x:c r="AY215" s="67" t="str">
        <x:f>IF(COUNT(AO215,AW215)&lt;2,"",AO215-AW215)</x:f>
      </x:c>
      <x:c r="AZ215" s="55"/>
      <x:c r="BA215" s="55"/>
      <x:c r="BB215" s="55"/>
      <x:c r="BC215" s="55"/>
      <x:c r="BD215" s="55"/>
      <x:c r="BE215" s="56"/>
      <x:c r="BF215" s="56"/>
      <x:c r="BG215" s="55"/>
    </x:row>
    <x:row r="216" ht="28" customHeight="1">
      <x:c r="A216" s="55"/>
      <x:c r="B216" s="55"/>
      <x:c r="C216" s="55"/>
      <x:c r="D216" s="55"/>
      <x:c r="E216" s="56"/>
      <x:c r="F216" s="57"/>
      <x:c r="G216" s="59"/>
      <x:c r="H216" s="59"/>
      <x:c r="I216" s="59"/>
      <x:c r="J216" s="59"/>
      <x:c r="K216" s="59"/>
      <x:c r="L216" s="59"/>
      <x:c r="M216" s="59"/>
      <x:c r="N216" s="59"/>
      <x:c r="O216" s="56"/>
      <x:c r="P216" s="56"/>
      <x:c r="Q216" s="56"/>
      <x:c r="R216" s="56"/>
      <x:c r="S216" s="55"/>
      <x:c r="T216" s="55"/>
      <x:c r="U216" s="56"/>
      <x:c r="V216" s="56"/>
      <x:c r="W216" s="55"/>
      <x:c r="X216" s="60"/>
      <x:c r="Y216" s="55"/>
      <x:c r="Z216" s="55"/>
      <x:c r="AA216" s="59"/>
      <x:c r="AB216" s="55"/>
      <x:c r="AC216" s="55"/>
      <x:c r="AD216" s="59"/>
      <x:c r="AE216" s="55"/>
      <x:c r="AF216" s="55"/>
      <x:c r="AG216" s="59"/>
      <x:c r="AH216" s="55"/>
      <x:c r="AI216" s="55"/>
      <x:c r="AJ216" s="59"/>
      <x:c r="AK216" s="55"/>
      <x:c r="AL216" s="55"/>
      <x:c r="AM216" s="59"/>
      <x:c r="AN216" s="56"/>
      <x:c r="AO216" s="57"/>
      <x:c r="AP216" s="57"/>
      <x:c r="AQ216" s="57"/>
      <x:c r="AR216" s="57"/>
      <x:c r="AS216" s="65" t="str">
        <x:f>IF(COUNT(AQ216,AR216)&lt;2,"",IF(AR216=0,"",AQ216/AR216))</x:f>
      </x:c>
      <x:c r="AT216" s="65" t="str">
        <x:f>IF(COUNT(AQ216,AP216)&lt;2,"",IF(AP216=0,"",AQ216/AP216))</x:f>
      </x:c>
      <x:c r="AU216" s="67" t="str">
        <x:f>IF(COUNT(AQ216,AR216)&lt;2,"",AQ216-AR216)</x:f>
      </x:c>
      <x:c r="AV216" s="67" t="str">
        <x:f>IF(COUNT(AQ216,AP216)&lt;2,"",AQ216-AP216)</x:f>
      </x:c>
      <x:c r="AW216" s="67" t="str">
        <x:f>IF(COUNT(AO216,AS216)&lt;2,"",IF(AS216=0,"",AO216/AS216))</x:f>
      </x:c>
      <x:c r="AX216" s="67" t="str">
        <x:f>IF(COUNT(AW216,AR216)&lt;2,"",AW216-AR216)</x:f>
      </x:c>
      <x:c r="AY216" s="67" t="str">
        <x:f>IF(COUNT(AO216,AW216)&lt;2,"",AO216-AW216)</x:f>
      </x:c>
      <x:c r="AZ216" s="55"/>
      <x:c r="BA216" s="55"/>
      <x:c r="BB216" s="55"/>
      <x:c r="BC216" s="55"/>
      <x:c r="BD216" s="55"/>
      <x:c r="BE216" s="56"/>
      <x:c r="BF216" s="56"/>
      <x:c r="BG216" s="55"/>
    </x:row>
  </x:sheetData>
  <x:conditionalFormatting sqref="AZ17:AZ216">
    <x:cfRule type="expression" dxfId="1" priority="1">
      <x:formula>AZ17="Unverified"</x:formula>
    </x:cfRule>
  </x:conditionalFormatting>
  <x:conditionalFormatting sqref="Z17:Z216">
    <x:cfRule type="expression" dxfId="2" priority="2">
      <x:formula>Z17="Red"</x:formula>
    </x:cfRule>
    <x:cfRule type="expression" dxfId="3" priority="3">
      <x:formula>Z17="Amber"</x:formula>
    </x:cfRule>
    <x:cfRule type="expression" dxfId="4" priority="4">
      <x:formula>Z17="Green"</x:formula>
    </x:cfRule>
  </x:conditionalFormatting>
  <x:conditionalFormatting sqref="AC17:AC216">
    <x:cfRule type="expression" dxfId="5" priority="5">
      <x:formula>AC17="Red"</x:formula>
    </x:cfRule>
    <x:cfRule type="expression" dxfId="6" priority="6">
      <x:formula>AC17="Amber"</x:formula>
    </x:cfRule>
    <x:cfRule type="expression" dxfId="7" priority="7">
      <x:formula>AC17="Green"</x:formula>
    </x:cfRule>
  </x:conditionalFormatting>
  <x:conditionalFormatting sqref="AF17:AF216">
    <x:cfRule type="expression" dxfId="8" priority="8">
      <x:formula>AF17="Red"</x:formula>
    </x:cfRule>
    <x:cfRule type="expression" dxfId="9" priority="9">
      <x:formula>AF17="Amber"</x:formula>
    </x:cfRule>
    <x:cfRule type="expression" dxfId="10" priority="10">
      <x:formula>AF17="Green"</x:formula>
    </x:cfRule>
  </x:conditionalFormatting>
  <x:conditionalFormatting sqref="AI17:AI216">
    <x:cfRule type="expression" dxfId="11" priority="11">
      <x:formula>AI17="Red"</x:formula>
    </x:cfRule>
    <x:cfRule type="expression" dxfId="12" priority="12">
      <x:formula>AI17="Amber"</x:formula>
    </x:cfRule>
    <x:cfRule type="expression" dxfId="13" priority="13">
      <x:formula>AI17="Green"</x:formula>
    </x:cfRule>
  </x:conditionalFormatting>
  <x:conditionalFormatting sqref="AL17:AL216">
    <x:cfRule type="expression" dxfId="14" priority="14">
      <x:formula>AL17="Red"</x:formula>
    </x:cfRule>
    <x:cfRule type="expression" dxfId="15" priority="15">
      <x:formula>AL17="Amber"</x:formula>
    </x:cfRule>
    <x:cfRule type="expression" dxfId="16" priority="16">
      <x:formula>AL17="Green"</x:formula>
    </x:cfRule>
  </x:conditionalFormatting>
  <x:conditionalFormatting sqref="A17:A216">
    <x:cfRule type="expression" dxfId="32" priority="17">
      <x:formula>AND(A17&lt;&gt;"",COUNTIFS($A$17:$A$216,A17)&gt;1)</x:formula>
    </x:cfRule>
  </x:conditionalFormatting>
  <x:dataValidations count="21">
    <x:dataValidation type="list" sqref="B4">
      <x:formula1>"One current row per project"</x:formula1>
    </x:dataValidation>
    <x:dataValidation type="decimal" operator="between" sqref="G17:G216">
      <x:formula1>0</x:formula1>
      <x:formula2>1</x:formula2>
    </x:dataValidation>
    <x:dataValidation type="decimal" operator="between" sqref="H17:H216">
      <x:formula1>0</x:formula1>
      <x:formula2>1</x:formula2>
    </x:dataValidation>
    <x:dataValidation type="decimal" operator="between" sqref="I17:I216">
      <x:formula1>0</x:formula1>
      <x:formula2>1</x:formula2>
    </x:dataValidation>
    <x:dataValidation type="decimal" operator="between" sqref="J17:J216">
      <x:formula1>0</x:formula1>
      <x:formula2>1</x:formula2>
    </x:dataValidation>
    <x:dataValidation type="decimal" operator="between" sqref="K17:K216">
      <x:formula1>0</x:formula1>
      <x:formula2>1</x:formula2>
    </x:dataValidation>
    <x:dataValidation type="decimal" operator="between" sqref="L17:L216">
      <x:formula1>0</x:formula1>
      <x:formula2>1</x:formula2>
    </x:dataValidation>
    <x:dataValidation type="decimal" operator="between" sqref="M17:M216">
      <x:formula1>0</x:formula1>
      <x:formula2>1</x:formula2>
    </x:dataValidation>
    <x:dataValidation type="decimal" operator="between" sqref="N17:N216">
      <x:formula1>0</x:formula1>
      <x:formula2>1</x:formula2>
    </x:dataValidation>
    <x:dataValidation type="decimal" operator="between" sqref="AA17:AA216">
      <x:formula1>0</x:formula1>
      <x:formula2>1</x:formula2>
    </x:dataValidation>
    <x:dataValidation type="decimal" operator="between" sqref="AD17:AD216">
      <x:formula1>0</x:formula1>
      <x:formula2>1</x:formula2>
    </x:dataValidation>
    <x:dataValidation type="decimal" operator="between" sqref="AG17:AG216">
      <x:formula1>0</x:formula1>
      <x:formula2>1</x:formula2>
    </x:dataValidation>
    <x:dataValidation type="decimal" operator="between" sqref="AJ17:AJ216">
      <x:formula1>0</x:formula1>
      <x:formula2>1</x:formula2>
    </x:dataValidation>
    <x:dataValidation type="decimal" operator="between" sqref="AM17:AM216">
      <x:formula1>0</x:formula1>
      <x:formula2>1</x:formula2>
    </x:dataValidation>
    <x:dataValidation type="list" sqref="S17:S216">
      <x:formula1>"Not required,To be submitted,Submitted,Under review,Approved,Rejected"</x:formula1>
    </x:dataValidation>
    <x:dataValidation type="list" sqref="AZ17:AZ216">
      <x:formula1>"Unverified,Verified"</x:formula1>
    </x:dataValidation>
    <x:dataValidation type="list" sqref="Z17:Z216">
      <x:formula1>"Red,Amber,Green"</x:formula1>
    </x:dataValidation>
    <x:dataValidation type="list" sqref="AC17:AC216">
      <x:formula1>"Red,Amber,Green"</x:formula1>
    </x:dataValidation>
    <x:dataValidation type="list" sqref="AF17:AF216">
      <x:formula1>"Red,Amber,Green"</x:formula1>
    </x:dataValidation>
    <x:dataValidation type="list" sqref="AI17:AI216">
      <x:formula1>"Red,Amber,Green"</x:formula1>
    </x:dataValidation>
    <x:dataValidation type="list" sqref="AL17:AL216">
      <x:formula1>"Red,Amber,Green"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d2022a2db24861"/>
  </x:tableParts>
</x:worksheet>
</file>

<file path=xl/worksheets/sheet3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22" hidden="0" customWidth="1"/>
    <x:col min="5" max="5" width="46" hidden="0" customWidth="1"/>
    <x:col min="6" max="6" width="22" hidden="0" customWidth="1"/>
    <x:col min="7" max="7" width="17" hidden="0" customWidth="1"/>
    <x:col min="8" max="8" width="2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5" hidden="0" customWidth="1"/>
    <x:col min="16" max="16" width="25" hidden="0" customWidth="1"/>
    <x:col min="17" max="17" width="17" hidden="0" customWidth="1"/>
    <x:col min="18" max="18" width="17" hidden="0" customWidth="1"/>
    <x:col min="19" max="19" width="25" hidden="0" customWidth="1"/>
    <x:col min="20" max="20" width="25" hidden="0" customWidth="1"/>
    <x:col min="21" max="21" width="18" hidden="0" customWidth="1"/>
    <x:col min="22" max="22" width="18" hidden="0" customWidth="1"/>
    <x:col min="23" max="23" width="25" hidden="0" customWidth="1"/>
    <x:col min="24" max="24" width="22" hidden="0" customWidth="1"/>
    <x:col min="25" max="25" width="46" hidden="0" customWidth="1"/>
    <x:col min="26" max="26" width="46" hidden="0" customWidth="1"/>
    <x:col min="27" max="27" width="22" hidden="0" customWidth="1"/>
    <x:col min="28" max="28" width="46" hidden="0" customWidth="1"/>
    <x:col min="29" max="29" width="46" hidden="0" customWidth="1"/>
    <x:col min="30" max="30" width="20" hidden="0" customWidth="1"/>
    <x:col min="31" max="31" width="25" hidden="0" customWidth="1"/>
    <x:col min="32" max="32" width="17" hidden="0" customWidth="1"/>
    <x:col min="33" max="33" width="18" hidden="0" customWidth="1"/>
    <x:col min="34" max="34" width="22" hidden="0" customWidth="1"/>
    <x:col min="35" max="35" width="17" hidden="0" customWidth="1"/>
    <x:col min="36" max="36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30" customHeight="1">
      <x:c r="A2" s="4" t="str">
        <x:v>3. Construction &amp; Resources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Construction plan</x:v>
      </x:c>
      <x:c r="E4" s="32" t="n">
        <x:f>IF($B$4="","",IF(COUNTIFS('Project Status &amp; EVM'!$A$17:$A$216,$B$4)=0,"",IF(COUNTIFS('Project Status &amp; EVM'!$A$17:$A$216,$B$4)&gt;1,"Duplicate project",IF(COUNT(INDEX('Project Status &amp; EVM'!$M$17:$M$216,MATCH($B$4,'Project Status &amp; EVM'!$A$17:$A$216,0)))=0,"",INDEX('Project Status &amp; EVM'!$M$17:$M$216,MATCH($B$4,'Project Status &amp; EVM'!$A$17:$A$216,0))))))</x:f>
        <x:v>0.6</x:v>
      </x:c>
      <x:c r="F4" s="2"/>
      <x:c r="G4" s="3" t="str">
        <x:v>Labour planned</x:v>
      </x:c>
      <x:c r="H4" s="31" t="n">
        <x:f>IF(COUNTIFS($A$228:$A$327,$B$4,$C$228:$C$327,$B$5,$D$228:$D$327,"&gt;=0",$D$228:$D$327,"&lt;&gt;")=0,"",SUMIFS($D$228:$D$327,$A$228:$A$327,$B$4,$C$228:$C$327,$B$5))</x:f>
        <x:v>155</x:v>
      </x:c>
      <x:c r="I4" s="2"/>
      <x:c r="J4" s="2"/>
      <x:c r="K4" s="3" t="str">
        <x:v>Batching plant</x:v>
      </x:c>
      <x:c r="L4" s="3" t="str">
        <x:v>Ajax</x:v>
      </x:c>
      <x:c r="M4" s="3" t="str">
        <x:v>Excavator</x:v>
      </x:c>
      <x:c r="N4" s="3" t="str">
        <x:v>Miller</x:v>
      </x:c>
      <x:c r="O4" s="3" t="str">
        <x:v>Truck / dumper</x:v>
      </x:c>
      <x:c r="P4" s="3" t="str">
        <x:v>Tractor / breaker</x:v>
      </x:c>
      <x:c r="Q4" s="3" t="str">
        <x:v>JCB</x:v>
      </x:c>
      <x:c r="R4" s="3" t="str">
        <x:v>Other machines</x:v>
      </x:c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</x:row>
    <x:row r="5" ht="24" customHeight="1">
      <x:c r="A5" s="3" t="str">
        <x:v>Deployment as of</x:v>
      </x:c>
      <x:c r="B5" s="8" t="n">
        <x:v>46285</x:v>
      </x:c>
      <x:c r="C5" s="2"/>
      <x:c r="D5" s="3" t="str">
        <x:v>Construction actual</x:v>
      </x:c>
      <x:c r="E5" s="32" t="n">
        <x:f>IF($B$4="","",IF(COUNTIFS('Project Status &amp; EVM'!$A$17:$A$216,$B$4)=0,"",IF(COUNTIFS('Project Status &amp; EVM'!$A$17:$A$216,$B$4)&gt;1,"Duplicate project",IF(COUNT(INDEX('Project Status &amp; EVM'!$N$17:$N$216,MATCH($B$4,'Project Status &amp; EVM'!$A$17:$A$216,0)))=0,"",INDEX('Project Status &amp; EVM'!$N$17:$N$216,MATCH($B$4,'Project Status &amp; EVM'!$A$17:$A$216,0))))))</x:f>
        <x:v>0.4</x:v>
      </x:c>
      <x:c r="F5" s="2"/>
      <x:c r="G5" s="3" t="str">
        <x:v>Labour actual</x:v>
      </x:c>
      <x:c r="H5" s="31" t="n">
        <x:f>IF(COUNTIFS($A$228:$A$327,$B$4,$C$228:$C$327,$B$5,$E$228:$E$327,"&gt;=0",$E$228:$E$327,"&lt;&gt;")=0,"",SUMIFS($E$228:$E$327,$A$228:$A$327,$B$4,$C$228:$C$327,$B$5))</x:f>
        <x:v>135</x:v>
      </x:c>
      <x:c r="I5" s="2"/>
      <x:c r="J5" s="2"/>
      <x:c r="K5" s="31" t="n">
        <x:f>IF(COUNTIFS($A$228:$A$327,$B$4,$C$228:$C$327,$B$5,$F$228:$F$327,"&gt;=0",$F$228:$F$327,"&lt;&gt;")=0,"",SUMIFS($F$228:$F$327,$A$228:$A$327,$B$4,$C$228:$C$327,$B$5))</x:f>
        <x:v>2</x:v>
      </x:c>
      <x:c r="L5" s="31" t="n">
        <x:f>IF(COUNTIFS($A$228:$A$327,$B$4,$C$228:$C$327,$B$5,$G$228:$G$327,"&gt;=0",$G$228:$G$327,"&lt;&gt;")=0,"",SUMIFS($G$228:$G$327,$A$228:$A$327,$B$4,$C$228:$C$327,$B$5))</x:f>
        <x:v>2</x:v>
      </x:c>
      <x:c r="M5" s="31" t="n">
        <x:f>IF(COUNTIFS($A$228:$A$327,$B$4,$C$228:$C$327,$B$5,$H$228:$H$327,"&gt;=0",$H$228:$H$327,"&lt;&gt;")=0,"",SUMIFS($H$228:$H$327,$A$228:$A$327,$B$4,$C$228:$C$327,$B$5))</x:f>
        <x:v>5</x:v>
      </x:c>
      <x:c r="N5" s="31" t="n">
        <x:f>IF(COUNTIFS($A$228:$A$327,$B$4,$C$228:$C$327,$B$5,$I$228:$I$327,"&gt;=0",$I$228:$I$327,"&lt;&gt;")=0,"",SUMIFS($I$228:$I$327,$A$228:$A$327,$B$4,$C$228:$C$327,$B$5))</x:f>
        <x:v>2</x:v>
      </x:c>
      <x:c r="O5" s="31" t="n">
        <x:f>IF(COUNTIFS($A$228:$A$327,$B$4,$C$228:$C$327,$B$5,$J$228:$J$327,"&gt;=0",$J$228:$J$327,"&lt;&gt;")=0,"",SUMIFS($J$228:$J$327,$A$228:$A$327,$B$4,$C$228:$C$327,$B$5))</x:f>
        <x:v>7</x:v>
      </x:c>
      <x:c r="P5" s="31" t="n">
        <x:f>IF(COUNTIFS($A$228:$A$327,$B$4,$C$228:$C$327,$B$5,$K$228:$K$327,"&gt;=0",$K$228:$K$327,"&lt;&gt;")=0,"",SUMIFS($K$228:$K$327,$A$228:$A$327,$B$4,$C$228:$C$327,$B$5))</x:f>
        <x:v>2</x:v>
      </x:c>
      <x:c r="Q5" s="31" t="n">
        <x:f>IF(COUNTIFS($A$228:$A$327,$B$4,$C$228:$C$327,$B$5,$L$228:$L$327,"&gt;=0",$L$228:$L$327,"&lt;&gt;")=0,"",SUMIFS($L$228:$L$327,$A$228:$A$327,$B$4,$C$228:$C$327,$B$5))</x:f>
        <x:v>2</x:v>
      </x:c>
      <x:c r="R5" s="31" t="n">
        <x:f>IF(COUNTIFS($A$228:$A$327,$B$4,$C$228:$C$327,$B$5,$M$228:$M$327,"&gt;=0",$M$228:$M$327,"&lt;&gt;")=0,"",SUMIFS($M$228:$M$327,$A$228:$A$327,$B$4,$C$228:$C$327,$B$5))</x:f>
        <x:v>2</x:v>
      </x:c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</x:row>
    <x:row r="6" ht="24" customHeight="1">
      <x:c r="A6" s="3" t="str"/>
      <x:c r="B6" s="2"/>
      <x:c r="C6" s="2"/>
      <x:c r="D6" s="3" t="str">
        <x:v>Progress as of</x:v>
      </x:c>
      <x:c r="E6" s="33" t="n">
        <x:f>IF($B$4="","",IF(COUNTIFS('Project Status &amp; EVM'!$A$17:$A$216,$B$4)=0,"",IF(COUNTIFS('Project Status &amp; EVM'!$A$17:$A$216,$B$4)&gt;1,"Duplicate project",IF(COUNT(INDEX('Project Status &amp; EVM'!$E$17:$E$216,MATCH($B$4,'Project Status &amp; EVM'!$A$17:$A$216,0)))=0,"",INDEX('Project Status &amp; EVM'!$E$17:$E$216,MATCH($B$4,'Project Status &amp; EVM'!$A$17:$A$216,0))))))</x:f>
        <x:v>46285</x:v>
      </x:c>
      <x:c r="F6" s="2"/>
      <x:c r="G6" s="3" t="str">
        <x:v>Listed machines</x:v>
      </x:c>
      <x:c r="H6" s="31" t="n">
        <x:f>IF(COUNT(K5:R5)=0,"",SUM(K5:R5))</x:f>
        <x:v>24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</x:row>
    <x:row r="11" ht="24" customHeight="1">
      <x:c r="A11" s="3" t="str">
        <x:v>Labour and machinery summaries use the dated project/site snapshots at row 227; activity allocations are not added again.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</x:row>
    <x:row r="12" ht="24" customHeight="1">
      <x:c r="A12" s="3" t="str">
        <x:v>Deployment summaries add two distinct site snapshots per project as of 20-Sep-2026. Activity labour is not added again.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</x:row>
    <x:row r="13" ht="24" customHeight="1">
      <x:c r="A13" s="3" t="str">
        <x:v>Resources requiring intervention: enter only the critical resources. Separate several resource names with commas; no macros are used.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</x:row>
    <x:row r="14" ht="24" customHeight="1">
      <x:c r="A14" s="3" t="str">
        <x:v>RMC/Ajax, Hydra/Crane, Excavator, JCB, Truck/Dumper, Tractor, De-Watering Pump, Concrete Pump, Small Tools, Shuttering, Scaffolding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</x:row>
    <x:row r="16" ht="54" customHeight="1">
      <x:c r="A16" s="13" t="str">
        <x:v>Project code</x:v>
      </x:c>
      <x:c r="B16" s="13" t="str">
        <x:v>Site / location</x:v>
      </x:c>
      <x:c r="C16" s="13" t="str">
        <x:v>Plan Month</x:v>
      </x:c>
      <x:c r="D16" s="13" t="str">
        <x:v>Front / activity ID</x:v>
      </x:c>
      <x:c r="E16" s="13" t="str">
        <x:v>Work front / structure</x:v>
      </x:c>
      <x:c r="F16" s="13" t="str">
        <x:v>Activity</x:v>
      </x:c>
      <x:c r="G16" s="13" t="str">
        <x:v>Week starting</x:v>
      </x:c>
      <x:c r="H16" s="13" t="str">
        <x:v>Unit</x:v>
      </x:c>
      <x:c r="I16" s="13" t="str">
        <x:v>Weekly target quantity</x:v>
      </x:c>
      <x:c r="J16" s="13" t="str">
        <x:v>Actual quantity achieved</x:v>
      </x:c>
      <x:c r="K16" s="13" t="str">
        <x:v>Shortfall quantity</x:v>
      </x:c>
      <x:c r="L16" s="13" t="str">
        <x:v>Quantity ready for execution</x:v>
      </x:c>
      <x:c r="M16" s="13" t="str">
        <x:v>Labour deployed - Planned</x:v>
      </x:c>
      <x:c r="N16" s="13" t="str">
        <x:v>Labour deployed - Actual</x:v>
      </x:c>
      <x:c r="O16" s="13" t="str">
        <x:v>Drawing Approval Status</x:v>
      </x:c>
      <x:c r="P16" s="13" t="str">
        <x:v>Contractor Deployment Status</x:v>
      </x:c>
      <x:c r="Q16" s="13" t="str">
        <x:v>Planned Contractor Deployment</x:v>
      </x:c>
      <x:c r="R16" s="13" t="str">
        <x:v>Actual Contractor Deployment</x:v>
      </x:c>
      <x:c r="S16" s="13" t="str">
        <x:v>Shuttering Availability Status</x:v>
      </x:c>
      <x:c r="T16" s="13" t="str">
        <x:v>Steel Availability Status</x:v>
      </x:c>
      <x:c r="U16" s="13" t="str">
        <x:v>Steel Required</x:v>
      </x:c>
      <x:c r="V16" s="13" t="str">
        <x:v>Steel Available</x:v>
      </x:c>
      <x:c r="W16" s="13" t="str">
        <x:v>Steel Unit</x:v>
      </x:c>
      <x:c r="X16" s="13" t="str">
        <x:v>Front readiness</x:v>
      </x:c>
      <x:c r="Y16" s="13" t="str">
        <x:v>Pending prerequisite</x:v>
      </x:c>
      <x:c r="Z16" s="13" t="str">
        <x:v>Reason for low / no execution</x:v>
      </x:c>
      <x:c r="AA16" s="13" t="str">
        <x:v>Resources requiring intervention</x:v>
      </x:c>
      <x:c r="AB16" s="13" t="str">
        <x:v>Shortage / support required</x:v>
      </x:c>
      <x:c r="AC16" s="13" t="str">
        <x:v>Recovery action required</x:v>
      </x:c>
      <x:c r="AD16" s="13" t="str">
        <x:v>Additional funds required (INR lakh)</x:v>
      </x:c>
      <x:c r="AE16" s="13" t="str">
        <x:v>Responsible owner</x:v>
      </x:c>
      <x:c r="AF16" s="13" t="str">
        <x:v>Committed execution date</x:v>
      </x:c>
      <x:c r="AG16" s="13" t="str">
        <x:v>Expected weekly output after action</x:v>
      </x:c>
      <x:c r="AH16" s="13" t="str">
        <x:v>Linked Decision ID</x:v>
      </x:c>
      <x:c r="AI16" s="13" t="str">
        <x:v>Last updated</x:v>
      </x:c>
      <x:c r="AJ16" s="13" t="str">
        <x:v>Source / entry notes</x:v>
      </x:c>
    </x:row>
    <x:row r="17" ht="102" customHeight="1">
      <x:c r="A17" s="55" t="str">
        <x:v>S25WRJ01</x:v>
      </x:c>
      <x:c r="B17" s="55" t="str">
        <x:v>P1-SITE-1</x:v>
      </x:c>
      <x:c r="C17" s="60" t="n">
        <x:v>46266</x:v>
      </x:c>
      <x:c r="D17" s="55" t="str">
        <x:v>S25WRJ01-ACT-01</x:v>
      </x:c>
      <x:c r="E17" s="55" t="str">
        <x:v>Clear water reservoir</x:v>
      </x:c>
      <x:c r="F17" s="55" t="str">
        <x:v>RCC concreting</x:v>
      </x:c>
      <x:c r="G17" s="56" t="n">
        <x:v>46272</x:v>
      </x:c>
      <x:c r="H17" s="55" t="str">
        <x:v>m3</x:v>
      </x:c>
      <x:c r="I17" s="63" t="n">
        <x:v>200</x:v>
      </x:c>
      <x:c r="J17" s="63" t="n">
        <x:v>200</x:v>
      </x:c>
      <x:c r="K17" s="65" t="n">
        <x:f>IF(COUNT(I17:J17)&lt;2,"",MAX(I17-J17,0))</x:f>
        <x:v>0</x:v>
      </x:c>
      <x:c r="L17" s="63" t="n">
        <x:v>200</x:v>
      </x:c>
      <x:c r="M17" s="68" t="n">
        <x:v>30</x:v>
      </x:c>
      <x:c r="N17" s="68" t="n">
        <x:v>30</x:v>
      </x:c>
      <x:c r="O17" s="55" t="str">
        <x:v>YES</x:v>
      </x:c>
      <x:c r="P17" s="55" t="str">
        <x:v>YES</x:v>
      </x:c>
      <x:c r="Q17" s="56" t="n">
        <x:v>46270</x:v>
      </x:c>
      <x:c r="R17" s="56" t="n">
        <x:v>46270</x:v>
      </x:c>
      <x:c r="S17" s="55" t="str">
        <x:v>YES</x:v>
      </x:c>
      <x:c r="T17" s="55" t="str">
        <x:v>YES</x:v>
      </x:c>
      <x:c r="U17" s="63" t="n">
        <x:v>20</x:v>
      </x:c>
      <x:c r="V17" s="63" t="n">
        <x:v>20</x:v>
      </x:c>
      <x:c r="W17" s="55" t="str">
        <x:v>tonnes</x:v>
      </x:c>
      <x:c r="X17" s="55" t="str">
        <x:v>Ready</x:v>
      </x:c>
      <x:c r="Y17" s="55" t="str">
        <x:v>None; prerequisites confirmed in this fictional scenario.</x:v>
      </x:c>
      <x:c r="Z17" s="55" t="str">
        <x:v>Target achieved.</x:v>
      </x:c>
      <x:c r="AA17" s="55" t="str">
        <x:v>Concrete Pump</x:v>
      </x:c>
      <x:c r="AB17" s="55" t="str">
        <x:v>No current shortage; resolved test item.</x:v>
      </x:c>
      <x:c r="AC17" s="55" t="str">
        <x:v>Close action and retain productivity record.</x:v>
      </x:c>
      <x:c r="AD17" s="57" t="n">
        <x:v>0</x:v>
      </x:c>
      <x:c r="AE17" s="55" t="str">
        <x:v>Demo Construction Lead P1</x:v>
      </x:c>
      <x:c r="AF17" s="56" t="n">
        <x:v>46273</x:v>
      </x:c>
      <x:c r="AG17" s="63" t="n">
        <x:v>200</x:v>
      </x:c>
      <x:c r="AH17" s="55" t="str">
        <x:v>S25WRJ01-DEC-01</x:v>
      </x:c>
      <x:c r="AI17" s="56" t="n">
        <x:v>46285</x:v>
      </x:c>
      <x:c r="AJ17" s="55" t="str">
        <x:v>FICTIONAL TEST DATA. All people, quantities, money, dates and statuses are invented; not project records.</x:v>
      </x:c>
    </x:row>
    <x:row r="18" ht="102" customHeight="1">
      <x:c r="A18" s="55" t="str">
        <x:v>S25WRJ01</x:v>
      </x:c>
      <x:c r="B18" s="55" t="str">
        <x:v>P1-SITE-2</x:v>
      </x:c>
      <x:c r="C18" s="60" t="n">
        <x:v>46266</x:v>
      </x:c>
      <x:c r="D18" s="55" t="str">
        <x:v>S25WRJ01-ACT-02</x:v>
      </x:c>
      <x:c r="E18" s="55" t="str">
        <x:v>Pipe corridor</x:v>
      </x:c>
      <x:c r="F18" s="55" t="str">
        <x:v>RCC concreting</x:v>
      </x:c>
      <x:c r="G18" s="56" t="n">
        <x:v>46279</x:v>
      </x:c>
      <x:c r="H18" s="55" t="str">
        <x:v>m3</x:v>
      </x:c>
      <x:c r="I18" s="63" t="n">
        <x:v>220</x:v>
      </x:c>
      <x:c r="J18" s="63" t="n">
        <x:v>143</x:v>
      </x:c>
      <x:c r="K18" s="65" t="n">
        <x:f>IF(COUNT(I18:J18)&lt;2,"",MAX(I18-J18,0))</x:f>
        <x:v>77</x:v>
      </x:c>
      <x:c r="L18" s="63" t="n">
        <x:v>220</x:v>
      </x:c>
      <x:c r="M18" s="68" t="n">
        <x:v>35</x:v>
      </x:c>
      <x:c r="N18" s="68" t="n">
        <x:v>35</x:v>
      </x:c>
      <x:c r="O18" s="55" t="str">
        <x:v>YES</x:v>
      </x:c>
      <x:c r="P18" s="55" t="str">
        <x:v>YES</x:v>
      </x:c>
      <x:c r="Q18" s="56" t="n">
        <x:v>46277</x:v>
      </x:c>
      <x:c r="R18" s="56" t="n">
        <x:v>46278</x:v>
      </x:c>
      <x:c r="S18" s="55" t="str">
        <x:v>YES</x:v>
      </x:c>
      <x:c r="T18" s="55" t="str">
        <x:v>YES</x:v>
      </x:c>
      <x:c r="U18" s="63" t="n">
        <x:v>25</x:v>
      </x:c>
      <x:c r="V18" s="63" t="n">
        <x:v>25</x:v>
      </x:c>
      <x:c r="W18" s="55" t="str">
        <x:v>tonnes</x:v>
      </x:c>
      <x:c r="X18" s="55" t="str">
        <x:v>Ready</x:v>
      </x:c>
      <x:c r="Y18" s="55" t="str">
        <x:v>None; prerequisites confirmed in this fictional scenario.</x:v>
      </x:c>
      <x:c r="Z18" s="55" t="str">
        <x:v>Pump downtime reduced output.</x:v>
      </x:c>
      <x:c r="AA18" s="55" t="str">
        <x:v>RMC/Ajax, Concrete Pump</x:v>
      </x:c>
      <x:c r="AB18" s="55" t="str">
        <x:v>One standby concrete pump required.</x:v>
      </x:c>
      <x:c r="AC18" s="55" t="str">
        <x:v>Mobilise the listed resource and confirm readiness before start.</x:v>
      </x:c>
      <x:c r="AD18" s="57" t="n">
        <x:v>15</x:v>
      </x:c>
      <x:c r="AE18" s="55" t="str">
        <x:v>Demo Construction Lead P1</x:v>
      </x:c>
      <x:c r="AF18" s="56" t="n">
        <x:v>46280</x:v>
      </x:c>
      <x:c r="AG18" s="63" t="n">
        <x:v>220</x:v>
      </x:c>
      <x:c r="AH18" s="55" t="str">
        <x:v>S25WRJ01-DEC-02</x:v>
      </x:c>
      <x:c r="AI18" s="56" t="n">
        <x:v>46285</x:v>
      </x:c>
      <x:c r="AJ18" s="55" t="str">
        <x:v>FICTIONAL TEST DATA. All people, quantities, money, dates and statuses are invented; not project records.</x:v>
      </x:c>
    </x:row>
    <x:row r="19" ht="102" customHeight="1">
      <x:c r="A19" s="55" t="str">
        <x:v>S25WRJ01</x:v>
      </x:c>
      <x:c r="B19" s="55" t="str">
        <x:v>P1-SITE-1</x:v>
      </x:c>
      <x:c r="C19" s="60" t="n">
        <x:v>46266</x:v>
      </x:c>
      <x:c r="D19" s="55" t="str">
        <x:v>S25WRJ01-ACT-03</x:v>
      </x:c>
      <x:c r="E19" s="55" t="str">
        <x:v>Pump house</x:v>
      </x:c>
      <x:c r="F19" s="55" t="str">
        <x:v>RCC concreting</x:v>
      </x:c>
      <x:c r="G19" s="56" t="n">
        <x:v>46286</x:v>
      </x:c>
      <x:c r="H19" s="55" t="str">
        <x:v>m3</x:v>
      </x:c>
      <x:c r="I19" s="63" t="n">
        <x:v>240</x:v>
      </x:c>
      <x:c r="J19" s="63" t="n">
        <x:v>0</x:v>
      </x:c>
      <x:c r="K19" s="65" t="n">
        <x:f>IF(COUNT(I19:J19)&lt;2,"",MAX(I19-J19,0))</x:f>
        <x:v>240</x:v>
      </x:c>
      <x:c r="L19" s="63" t="n">
        <x:v>120</x:v>
      </x:c>
      <x:c r="M19" s="68" t="n">
        <x:v>40</x:v>
      </x:c>
      <x:c r="N19" s="68" t="n">
        <x:v>22</x:v>
      </x:c>
      <x:c r="O19" s="55" t="str">
        <x:v>NO</x:v>
      </x:c>
      <x:c r="P19" s="55" t="str">
        <x:v>NO</x:v>
      </x:c>
      <x:c r="Q19" s="56" t="n">
        <x:v>46284</x:v>
      </x:c>
      <x:c r="R19" s="56" t="str">
        <x:v>Not yet occurred</x:v>
      </x:c>
      <x:c r="S19" s="55" t="str">
        <x:v>NO</x:v>
      </x:c>
      <x:c r="T19" s="55" t="str">
        <x:v>NO</x:v>
      </x:c>
      <x:c r="U19" s="63" t="n">
        <x:v>30</x:v>
      </x:c>
      <x:c r="V19" s="63" t="n">
        <x:v>12</x:v>
      </x:c>
      <x:c r="W19" s="55" t="str">
        <x:v>tonnes</x:v>
      </x:c>
      <x:c r="X19" s="55" t="str">
        <x:v>Blocked</x:v>
      </x:c>
      <x:c r="Y19" s="55" t="str">
        <x:v>Approved drawing and reinforcement delivery.</x:v>
      </x:c>
      <x:c r="Z19" s="55" t="str">
        <x:v>Future week; execution has not started.</x:v>
      </x:c>
      <x:c r="AA19" s="55" t="str">
        <x:v>Shuttering, Hydra/Crane</x:v>
      </x:c>
      <x:c r="AB19" s="55" t="str">
        <x:v>Mobilise one crane and 150 m2 shuttering.</x:v>
      </x:c>
      <x:c r="AC19" s="55" t="str">
        <x:v>Mobilise the listed resource and confirm readiness before start.</x:v>
      </x:c>
      <x:c r="AD19" s="57" t="n">
        <x:v>20</x:v>
      </x:c>
      <x:c r="AE19" s="55" t="str">
        <x:v>Demo Construction Lead P1</x:v>
      </x:c>
      <x:c r="AF19" s="56" t="n">
        <x:v>46287</x:v>
      </x:c>
      <x:c r="AG19" s="63" t="n">
        <x:v>240</x:v>
      </x:c>
      <x:c r="AH19" s="55" t="str">
        <x:v>S25WRJ01-DEC-03</x:v>
      </x:c>
      <x:c r="AI19" s="56" t="n">
        <x:v>46285</x:v>
      </x:c>
      <x:c r="AJ19" s="55" t="str">
        <x:v>FICTIONAL TEST DATA. All people, quantities, money, dates and statuses are invented; not project records.</x:v>
      </x:c>
    </x:row>
    <x:row r="20" ht="102" customHeight="1">
      <x:c r="A20" s="55" t="str">
        <x:v>S25WRJ01</x:v>
      </x:c>
      <x:c r="B20" s="55" t="str">
        <x:v>P1-SITE-2</x:v>
      </x:c>
      <x:c r="C20" s="60" t="n">
        <x:v>46266</x:v>
      </x:c>
      <x:c r="D20" s="55" t="str">
        <x:v>S25WRJ01-ACT-04</x:v>
      </x:c>
      <x:c r="E20" s="55" t="str">
        <x:v>Treatment plant</x:v>
      </x:c>
      <x:c r="F20" s="55" t="str">
        <x:v>Earth excavation</x:v>
      </x:c>
      <x:c r="G20" s="56" t="n">
        <x:v>46293</x:v>
      </x:c>
      <x:c r="H20" s="55" t="str">
        <x:v>m3</x:v>
      </x:c>
      <x:c r="I20" s="63" t="n">
        <x:v>260</x:v>
      </x:c>
      <x:c r="J20" s="63" t="n">
        <x:v>0</x:v>
      </x:c>
      <x:c r="K20" s="65" t="n">
        <x:f>IF(COUNT(I20:J20)&lt;2,"",MAX(I20-J20,0))</x:f>
        <x:v>260</x:v>
      </x:c>
      <x:c r="L20" s="63" t="n">
        <x:v>260</x:v>
      </x:c>
      <x:c r="M20" s="68" t="n">
        <x:v>45</x:v>
      </x:c>
      <x:c r="N20" s="68" t="n">
        <x:v>45</x:v>
      </x:c>
      <x:c r="O20" s="55" t="str">
        <x:v>YES</x:v>
      </x:c>
      <x:c r="P20" s="55" t="str">
        <x:v>YES</x:v>
      </x:c>
      <x:c r="Q20" s="56" t="n">
        <x:v>46289</x:v>
      </x:c>
      <x:c r="R20" s="56" t="n">
        <x:v>46283</x:v>
      </x:c>
      <x:c r="S20" s="55" t="str">
        <x:v>NA</x:v>
      </x:c>
      <x:c r="T20" s="55" t="str">
        <x:v>NA</x:v>
      </x:c>
      <x:c r="U20" s="63" t="n">
        <x:v>0</x:v>
      </x:c>
      <x:c r="V20" s="63" t="n">
        <x:v>0</x:v>
      </x:c>
      <x:c r="W20" s="55" t="str">
        <x:v>tonnes</x:v>
      </x:c>
      <x:c r="X20" s="55" t="str">
        <x:v>Ready</x:v>
      </x:c>
      <x:c r="Y20" s="55" t="str">
        <x:v>None; prerequisites confirmed in this fictional scenario.</x:v>
      </x:c>
      <x:c r="Z20" s="55" t="str">
        <x:v>Future week; execution has not started.</x:v>
      </x:c>
      <x:c r="AA20" s="55" t="str">
        <x:v>Excavator, Truck/Dumper</x:v>
      </x:c>
      <x:c r="AB20" s="55" t="str">
        <x:v>Reserve one excavator and two dumpers.</x:v>
      </x:c>
      <x:c r="AC20" s="55" t="str">
        <x:v>Mobilise the listed resource and confirm readiness before start.</x:v>
      </x:c>
      <x:c r="AD20" s="57" t="n">
        <x:v>25</x:v>
      </x:c>
      <x:c r="AE20" s="55" t="str">
        <x:v>Demo Construction Lead P1</x:v>
      </x:c>
      <x:c r="AF20" s="56" t="n">
        <x:v>46294</x:v>
      </x:c>
      <x:c r="AG20" s="63" t="n">
        <x:v>260</x:v>
      </x:c>
      <x:c r="AH20" s="55" t="str">
        <x:v>S25WRJ01-DEC-04</x:v>
      </x:c>
      <x:c r="AI20" s="56" t="n">
        <x:v>46285</x:v>
      </x:c>
      <x:c r="AJ20" s="55" t="str">
        <x:v>FICTIONAL TEST DATA. All people, quantities, money, dates and statuses are invented; not project records.</x:v>
      </x:c>
    </x:row>
    <x:row r="21" ht="102" customHeight="1">
      <x:c r="A21" s="55" t="str">
        <x:v>S25WJH01</x:v>
      </x:c>
      <x:c r="B21" s="55" t="str">
        <x:v>P2-SITE-1</x:v>
      </x:c>
      <x:c r="C21" s="60" t="n">
        <x:v>46266</x:v>
      </x:c>
      <x:c r="D21" s="55" t="str">
        <x:v>S25WJH01-ACT-01</x:v>
      </x:c>
      <x:c r="E21" s="55" t="str">
        <x:v>Canal headworks</x:v>
      </x:c>
      <x:c r="F21" s="55" t="str">
        <x:v>RCC concreting</x:v>
      </x:c>
      <x:c r="G21" s="56" t="n">
        <x:v>46272</x:v>
      </x:c>
      <x:c r="H21" s="55" t="str">
        <x:v>m3</x:v>
      </x:c>
      <x:c r="I21" s="63" t="n">
        <x:v>225</x:v>
      </x:c>
      <x:c r="J21" s="63" t="n">
        <x:v>225</x:v>
      </x:c>
      <x:c r="K21" s="65" t="n">
        <x:f>IF(COUNT(I21:J21)&lt;2,"",MAX(I21-J21,0))</x:f>
        <x:v>0</x:v>
      </x:c>
      <x:c r="L21" s="63" t="n">
        <x:v>225</x:v>
      </x:c>
      <x:c r="M21" s="68" t="n">
        <x:v>32</x:v>
      </x:c>
      <x:c r="N21" s="68" t="n">
        <x:v>32</x:v>
      </x:c>
      <x:c r="O21" s="55" t="str">
        <x:v>YES</x:v>
      </x:c>
      <x:c r="P21" s="55" t="str">
        <x:v>YES</x:v>
      </x:c>
      <x:c r="Q21" s="56" t="n">
        <x:v>46270</x:v>
      </x:c>
      <x:c r="R21" s="56" t="n">
        <x:v>46270</x:v>
      </x:c>
      <x:c r="S21" s="55" t="str">
        <x:v>YES</x:v>
      </x:c>
      <x:c r="T21" s="55" t="str">
        <x:v>YES</x:v>
      </x:c>
      <x:c r="U21" s="63" t="n">
        <x:v>20</x:v>
      </x:c>
      <x:c r="V21" s="63" t="n">
        <x:v>20</x:v>
      </x:c>
      <x:c r="W21" s="55" t="str">
        <x:v>tonnes</x:v>
      </x:c>
      <x:c r="X21" s="55" t="str">
        <x:v>Ready</x:v>
      </x:c>
      <x:c r="Y21" s="55" t="str">
        <x:v>None; prerequisites confirmed in this fictional scenario.</x:v>
      </x:c>
      <x:c r="Z21" s="55" t="str">
        <x:v>Target achieved.</x:v>
      </x:c>
      <x:c r="AA21" s="55" t="str">
        <x:v>Concrete Pump</x:v>
      </x:c>
      <x:c r="AB21" s="55" t="str">
        <x:v>No current shortage; resolved test item.</x:v>
      </x:c>
      <x:c r="AC21" s="55" t="str">
        <x:v>Close action and retain productivity record.</x:v>
      </x:c>
      <x:c r="AD21" s="57" t="n">
        <x:v>0</x:v>
      </x:c>
      <x:c r="AE21" s="55" t="str">
        <x:v>Demo Construction Lead P2</x:v>
      </x:c>
      <x:c r="AF21" s="56" t="n">
        <x:v>46273</x:v>
      </x:c>
      <x:c r="AG21" s="63" t="n">
        <x:v>225</x:v>
      </x:c>
      <x:c r="AH21" s="55" t="str">
        <x:v>S25WJH01-DEC-01</x:v>
      </x:c>
      <x:c r="AI21" s="56" t="n">
        <x:v>46285</x:v>
      </x:c>
      <x:c r="AJ21" s="55" t="str">
        <x:v>FICTIONAL TEST DATA. All people, quantities, money, dates and statuses are invented; not project records.</x:v>
      </x:c>
    </x:row>
    <x:row r="22" ht="102" customHeight="1">
      <x:c r="A22" s="55" t="str">
        <x:v>S25WJH01</x:v>
      </x:c>
      <x:c r="B22" s="55" t="str">
        <x:v>P2-SITE-2</x:v>
      </x:c>
      <x:c r="C22" s="60" t="n">
        <x:v>46266</x:v>
      </x:c>
      <x:c r="D22" s="55" t="str">
        <x:v>S25WJH01-ACT-02</x:v>
      </x:c>
      <x:c r="E22" s="55" t="str">
        <x:v>Canal reach</x:v>
      </x:c>
      <x:c r="F22" s="55" t="str">
        <x:v>RCC concreting</x:v>
      </x:c>
      <x:c r="G22" s="56" t="n">
        <x:v>46279</x:v>
      </x:c>
      <x:c r="H22" s="55" t="str">
        <x:v>m3</x:v>
      </x:c>
      <x:c r="I22" s="63" t="n">
        <x:v>245</x:v>
      </x:c>
      <x:c r="J22" s="63" t="n">
        <x:v>159</x:v>
      </x:c>
      <x:c r="K22" s="65" t="n">
        <x:f>IF(COUNT(I22:J22)&lt;2,"",MAX(I22-J22,0))</x:f>
        <x:v>86</x:v>
      </x:c>
      <x:c r="L22" s="63" t="n">
        <x:v>245</x:v>
      </x:c>
      <x:c r="M22" s="68" t="n">
        <x:v>37</x:v>
      </x:c>
      <x:c r="N22" s="68" t="n">
        <x:v>37</x:v>
      </x:c>
      <x:c r="O22" s="55" t="str">
        <x:v>YES</x:v>
      </x:c>
      <x:c r="P22" s="55" t="str">
        <x:v>YES</x:v>
      </x:c>
      <x:c r="Q22" s="56" t="n">
        <x:v>46277</x:v>
      </x:c>
      <x:c r="R22" s="56" t="n">
        <x:v>46278</x:v>
      </x:c>
      <x:c r="S22" s="55" t="str">
        <x:v>YES</x:v>
      </x:c>
      <x:c r="T22" s="55" t="str">
        <x:v>YES</x:v>
      </x:c>
      <x:c r="U22" s="63" t="n">
        <x:v>25</x:v>
      </x:c>
      <x:c r="V22" s="63" t="n">
        <x:v>25</x:v>
      </x:c>
      <x:c r="W22" s="55" t="str">
        <x:v>tonnes</x:v>
      </x:c>
      <x:c r="X22" s="55" t="str">
        <x:v>Ready</x:v>
      </x:c>
      <x:c r="Y22" s="55" t="str">
        <x:v>None; prerequisites confirmed in this fictional scenario.</x:v>
      </x:c>
      <x:c r="Z22" s="55" t="str">
        <x:v>Pump downtime reduced output.</x:v>
      </x:c>
      <x:c r="AA22" s="55" t="str">
        <x:v>RMC/Ajax, Concrete Pump</x:v>
      </x:c>
      <x:c r="AB22" s="55" t="str">
        <x:v>One standby concrete pump required.</x:v>
      </x:c>
      <x:c r="AC22" s="55" t="str">
        <x:v>Mobilise the listed resource and confirm readiness before start.</x:v>
      </x:c>
      <x:c r="AD22" s="57" t="n">
        <x:v>15</x:v>
      </x:c>
      <x:c r="AE22" s="55" t="str">
        <x:v>Demo Construction Lead P2</x:v>
      </x:c>
      <x:c r="AF22" s="56" t="n">
        <x:v>46280</x:v>
      </x:c>
      <x:c r="AG22" s="63" t="n">
        <x:v>245</x:v>
      </x:c>
      <x:c r="AH22" s="55" t="str">
        <x:v>S25WJH01-DEC-02</x:v>
      </x:c>
      <x:c r="AI22" s="56" t="n">
        <x:v>46285</x:v>
      </x:c>
      <x:c r="AJ22" s="55" t="str">
        <x:v>FICTIONAL TEST DATA. All people, quantities, money, dates and statuses are invented; not project records.</x:v>
      </x:c>
    </x:row>
    <x:row r="23" ht="102" customHeight="1">
      <x:c r="A23" s="55" t="str">
        <x:v>S25WJH01</x:v>
      </x:c>
      <x:c r="B23" s="55" t="str">
        <x:v>P2-SITE-1</x:v>
      </x:c>
      <x:c r="C23" s="60" t="n">
        <x:v>46266</x:v>
      </x:c>
      <x:c r="D23" s="55" t="str">
        <x:v>S25WJH01-ACT-03</x:v>
      </x:c>
      <x:c r="E23" s="55" t="str">
        <x:v>Cross regulator</x:v>
      </x:c>
      <x:c r="F23" s="55" t="str">
        <x:v>RCC concreting</x:v>
      </x:c>
      <x:c r="G23" s="56" t="n">
        <x:v>46286</x:v>
      </x:c>
      <x:c r="H23" s="55" t="str">
        <x:v>m3</x:v>
      </x:c>
      <x:c r="I23" s="63" t="n">
        <x:v>265</x:v>
      </x:c>
      <x:c r="J23" s="63" t="n">
        <x:v>0</x:v>
      </x:c>
      <x:c r="K23" s="65" t="n">
        <x:f>IF(COUNT(I23:J23)&lt;2,"",MAX(I23-J23,0))</x:f>
        <x:v>265</x:v>
      </x:c>
      <x:c r="L23" s="63" t="n">
        <x:v>120</x:v>
      </x:c>
      <x:c r="M23" s="68" t="n">
        <x:v>42</x:v>
      </x:c>
      <x:c r="N23" s="68" t="n">
        <x:v>22</x:v>
      </x:c>
      <x:c r="O23" s="55" t="str">
        <x:v>NO</x:v>
      </x:c>
      <x:c r="P23" s="55" t="str">
        <x:v>NO</x:v>
      </x:c>
      <x:c r="Q23" s="56" t="n">
        <x:v>46284</x:v>
      </x:c>
      <x:c r="R23" s="56" t="str">
        <x:v>Not yet occurred</x:v>
      </x:c>
      <x:c r="S23" s="55" t="str">
        <x:v>NO</x:v>
      </x:c>
      <x:c r="T23" s="55" t="str">
        <x:v>NO</x:v>
      </x:c>
      <x:c r="U23" s="63" t="n">
        <x:v>30</x:v>
      </x:c>
      <x:c r="V23" s="63" t="n">
        <x:v>12</x:v>
      </x:c>
      <x:c r="W23" s="55" t="str">
        <x:v>tonnes</x:v>
      </x:c>
      <x:c r="X23" s="55" t="str">
        <x:v>Blocked</x:v>
      </x:c>
      <x:c r="Y23" s="55" t="str">
        <x:v>Approved drawing and reinforcement delivery.</x:v>
      </x:c>
      <x:c r="Z23" s="55" t="str">
        <x:v>Future week; execution has not started.</x:v>
      </x:c>
      <x:c r="AA23" s="55" t="str">
        <x:v>Shuttering, Hydra/Crane</x:v>
      </x:c>
      <x:c r="AB23" s="55" t="str">
        <x:v>Mobilise one crane and 150 m2 shuttering.</x:v>
      </x:c>
      <x:c r="AC23" s="55" t="str">
        <x:v>Mobilise the listed resource and confirm readiness before start.</x:v>
      </x:c>
      <x:c r="AD23" s="57" t="n">
        <x:v>20</x:v>
      </x:c>
      <x:c r="AE23" s="55" t="str">
        <x:v>Demo Construction Lead P2</x:v>
      </x:c>
      <x:c r="AF23" s="56" t="n">
        <x:v>46287</x:v>
      </x:c>
      <x:c r="AG23" s="63" t="n">
        <x:v>265</x:v>
      </x:c>
      <x:c r="AH23" s="55" t="str">
        <x:v>S25WJH01-DEC-03</x:v>
      </x:c>
      <x:c r="AI23" s="56" t="n">
        <x:v>46285</x:v>
      </x:c>
      <x:c r="AJ23" s="55" t="str">
        <x:v>FICTIONAL TEST DATA. All people, quantities, money, dates and statuses are invented; not project records.</x:v>
      </x:c>
    </x:row>
    <x:row r="24" ht="102" customHeight="1">
      <x:c r="A24" s="55" t="str">
        <x:v>S25WJH01</x:v>
      </x:c>
      <x:c r="B24" s="55" t="str">
        <x:v>P2-SITE-2</x:v>
      </x:c>
      <x:c r="C24" s="60" t="n">
        <x:v>46266</x:v>
      </x:c>
      <x:c r="D24" s="55" t="str">
        <x:v>S25WJH01-ACT-04</x:v>
      </x:c>
      <x:c r="E24" s="55" t="str">
        <x:v>Pump station</x:v>
      </x:c>
      <x:c r="F24" s="55" t="str">
        <x:v>Earth excavation</x:v>
      </x:c>
      <x:c r="G24" s="56" t="n">
        <x:v>46293</x:v>
      </x:c>
      <x:c r="H24" s="55" t="str">
        <x:v>m3</x:v>
      </x:c>
      <x:c r="I24" s="63" t="n">
        <x:v>285</x:v>
      </x:c>
      <x:c r="J24" s="63" t="n">
        <x:v>0</x:v>
      </x:c>
      <x:c r="K24" s="65" t="n">
        <x:f>IF(COUNT(I24:J24)&lt;2,"",MAX(I24-J24,0))</x:f>
        <x:v>285</x:v>
      </x:c>
      <x:c r="L24" s="63" t="n">
        <x:v>285</x:v>
      </x:c>
      <x:c r="M24" s="68" t="n">
        <x:v>47</x:v>
      </x:c>
      <x:c r="N24" s="68" t="n">
        <x:v>47</x:v>
      </x:c>
      <x:c r="O24" s="55" t="str">
        <x:v>YES</x:v>
      </x:c>
      <x:c r="P24" s="55" t="str">
        <x:v>YES</x:v>
      </x:c>
      <x:c r="Q24" s="56" t="n">
        <x:v>46289</x:v>
      </x:c>
      <x:c r="R24" s="56" t="n">
        <x:v>46283</x:v>
      </x:c>
      <x:c r="S24" s="55" t="str">
        <x:v>NA</x:v>
      </x:c>
      <x:c r="T24" s="55" t="str">
        <x:v>NA</x:v>
      </x:c>
      <x:c r="U24" s="63" t="n">
        <x:v>0</x:v>
      </x:c>
      <x:c r="V24" s="63" t="n">
        <x:v>0</x:v>
      </x:c>
      <x:c r="W24" s="55" t="str">
        <x:v>tonnes</x:v>
      </x:c>
      <x:c r="X24" s="55" t="str">
        <x:v>Ready</x:v>
      </x:c>
      <x:c r="Y24" s="55" t="str">
        <x:v>None; prerequisites confirmed in this fictional scenario.</x:v>
      </x:c>
      <x:c r="Z24" s="55" t="str">
        <x:v>Future week; execution has not started.</x:v>
      </x:c>
      <x:c r="AA24" s="55" t="str">
        <x:v>Excavator, Truck/Dumper</x:v>
      </x:c>
      <x:c r="AB24" s="55" t="str">
        <x:v>Reserve one excavator and two dumpers.</x:v>
      </x:c>
      <x:c r="AC24" s="55" t="str">
        <x:v>Mobilise the listed resource and confirm readiness before start.</x:v>
      </x:c>
      <x:c r="AD24" s="57" t="n">
        <x:v>25</x:v>
      </x:c>
      <x:c r="AE24" s="55" t="str">
        <x:v>Demo Construction Lead P2</x:v>
      </x:c>
      <x:c r="AF24" s="56" t="n">
        <x:v>46294</x:v>
      </x:c>
      <x:c r="AG24" s="63" t="n">
        <x:v>285</x:v>
      </x:c>
      <x:c r="AH24" s="55" t="str">
        <x:v>S25WJH01-DEC-04</x:v>
      </x:c>
      <x:c r="AI24" s="56" t="n">
        <x:v>46285</x:v>
      </x:c>
      <x:c r="AJ24" s="55" t="str">
        <x:v>FICTIONAL TEST DATA. All people, quantities, money, dates and statuses are invented; not project records.</x:v>
      </x:c>
    </x:row>
    <x:row r="25" ht="102" customHeight="1">
      <x:c r="A25" s="55" t="str">
        <x:v>S25WMP01</x:v>
      </x:c>
      <x:c r="B25" s="55" t="str">
        <x:v>P3-SITE-1</x:v>
      </x:c>
      <x:c r="C25" s="60" t="n">
        <x:v>46266</x:v>
      </x:c>
      <x:c r="D25" s="55" t="str">
        <x:v>S25WMP01-ACT-01</x:v>
      </x:c>
      <x:c r="E25" s="55" t="str">
        <x:v>Service reservoir</x:v>
      </x:c>
      <x:c r="F25" s="55" t="str">
        <x:v>RCC concreting</x:v>
      </x:c>
      <x:c r="G25" s="56" t="n">
        <x:v>46272</x:v>
      </x:c>
      <x:c r="H25" s="55" t="str">
        <x:v>m3</x:v>
      </x:c>
      <x:c r="I25" s="63" t="n">
        <x:v>250</x:v>
      </x:c>
      <x:c r="J25" s="63" t="n">
        <x:v>250</x:v>
      </x:c>
      <x:c r="K25" s="65" t="n">
        <x:f>IF(COUNT(I25:J25)&lt;2,"",MAX(I25-J25,0))</x:f>
        <x:v>0</x:v>
      </x:c>
      <x:c r="L25" s="63" t="n">
        <x:v>250</x:v>
      </x:c>
      <x:c r="M25" s="68" t="n">
        <x:v>34</x:v>
      </x:c>
      <x:c r="N25" s="68" t="n">
        <x:v>34</x:v>
      </x:c>
      <x:c r="O25" s="55" t="str">
        <x:v>YES</x:v>
      </x:c>
      <x:c r="P25" s="55" t="str">
        <x:v>YES</x:v>
      </x:c>
      <x:c r="Q25" s="56" t="n">
        <x:v>46270</x:v>
      </x:c>
      <x:c r="R25" s="56" t="n">
        <x:v>46270</x:v>
      </x:c>
      <x:c r="S25" s="55" t="str">
        <x:v>YES</x:v>
      </x:c>
      <x:c r="T25" s="55" t="str">
        <x:v>YES</x:v>
      </x:c>
      <x:c r="U25" s="63" t="n">
        <x:v>20</x:v>
      </x:c>
      <x:c r="V25" s="63" t="n">
        <x:v>20</x:v>
      </x:c>
      <x:c r="W25" s="55" t="str">
        <x:v>tonnes</x:v>
      </x:c>
      <x:c r="X25" s="55" t="str">
        <x:v>Ready</x:v>
      </x:c>
      <x:c r="Y25" s="55" t="str">
        <x:v>None; prerequisites confirmed in this fictional scenario.</x:v>
      </x:c>
      <x:c r="Z25" s="55" t="str">
        <x:v>Target achieved.</x:v>
      </x:c>
      <x:c r="AA25" s="55" t="str">
        <x:v>Concrete Pump</x:v>
      </x:c>
      <x:c r="AB25" s="55" t="str">
        <x:v>No current shortage; resolved test item.</x:v>
      </x:c>
      <x:c r="AC25" s="55" t="str">
        <x:v>Close action and retain productivity record.</x:v>
      </x:c>
      <x:c r="AD25" s="57" t="n">
        <x:v>0</x:v>
      </x:c>
      <x:c r="AE25" s="55" t="str">
        <x:v>Demo Construction Lead P3</x:v>
      </x:c>
      <x:c r="AF25" s="56" t="n">
        <x:v>46273</x:v>
      </x:c>
      <x:c r="AG25" s="63" t="n">
        <x:v>250</x:v>
      </x:c>
      <x:c r="AH25" s="55" t="str">
        <x:v>S25WMP01-DEC-01</x:v>
      </x:c>
      <x:c r="AI25" s="56" t="n">
        <x:v>46285</x:v>
      </x:c>
      <x:c r="AJ25" s="55" t="str">
        <x:v>FICTIONAL TEST DATA. All people, quantities, money, dates and statuses are invented; not project records.</x:v>
      </x:c>
    </x:row>
    <x:row r="26" ht="102" customHeight="1">
      <x:c r="A26" s="55" t="str">
        <x:v>S25WMP01</x:v>
      </x:c>
      <x:c r="B26" s="55" t="str">
        <x:v>P3-SITE-2</x:v>
      </x:c>
      <x:c r="C26" s="60" t="n">
        <x:v>46266</x:v>
      </x:c>
      <x:c r="D26" s="55" t="str">
        <x:v>S25WMP01-ACT-02</x:v>
      </x:c>
      <x:c r="E26" s="55" t="str">
        <x:v>Distribution zone</x:v>
      </x:c>
      <x:c r="F26" s="55" t="str">
        <x:v>RCC concreting</x:v>
      </x:c>
      <x:c r="G26" s="56" t="n">
        <x:v>46279</x:v>
      </x:c>
      <x:c r="H26" s="55" t="str">
        <x:v>m3</x:v>
      </x:c>
      <x:c r="I26" s="63" t="n">
        <x:v>270</x:v>
      </x:c>
      <x:c r="J26" s="63" t="n">
        <x:v>176</x:v>
      </x:c>
      <x:c r="K26" s="65" t="n">
        <x:f>IF(COUNT(I26:J26)&lt;2,"",MAX(I26-J26,0))</x:f>
        <x:v>94</x:v>
      </x:c>
      <x:c r="L26" s="63" t="n">
        <x:v>270</x:v>
      </x:c>
      <x:c r="M26" s="68" t="n">
        <x:v>39</x:v>
      </x:c>
      <x:c r="N26" s="68" t="n">
        <x:v>39</x:v>
      </x:c>
      <x:c r="O26" s="55" t="str">
        <x:v>YES</x:v>
      </x:c>
      <x:c r="P26" s="55" t="str">
        <x:v>YES</x:v>
      </x:c>
      <x:c r="Q26" s="56" t="n">
        <x:v>46277</x:v>
      </x:c>
      <x:c r="R26" s="56" t="n">
        <x:v>46278</x:v>
      </x:c>
      <x:c r="S26" s="55" t="str">
        <x:v>YES</x:v>
      </x:c>
      <x:c r="T26" s="55" t="str">
        <x:v>YES</x:v>
      </x:c>
      <x:c r="U26" s="63" t="n">
        <x:v>25</x:v>
      </x:c>
      <x:c r="V26" s="63" t="n">
        <x:v>25</x:v>
      </x:c>
      <x:c r="W26" s="55" t="str">
        <x:v>tonnes</x:v>
      </x:c>
      <x:c r="X26" s="55" t="str">
        <x:v>Ready</x:v>
      </x:c>
      <x:c r="Y26" s="55" t="str">
        <x:v>None; prerequisites confirmed in this fictional scenario.</x:v>
      </x:c>
      <x:c r="Z26" s="55" t="str">
        <x:v>Pump downtime reduced output.</x:v>
      </x:c>
      <x:c r="AA26" s="55" t="str">
        <x:v>RMC/Ajax, Concrete Pump</x:v>
      </x:c>
      <x:c r="AB26" s="55" t="str">
        <x:v>One standby concrete pump required.</x:v>
      </x:c>
      <x:c r="AC26" s="55" t="str">
        <x:v>Mobilise the listed resource and confirm readiness before start.</x:v>
      </x:c>
      <x:c r="AD26" s="57" t="n">
        <x:v>15</x:v>
      </x:c>
      <x:c r="AE26" s="55" t="str">
        <x:v>Demo Construction Lead P3</x:v>
      </x:c>
      <x:c r="AF26" s="56" t="n">
        <x:v>46280</x:v>
      </x:c>
      <x:c r="AG26" s="63" t="n">
        <x:v>270</x:v>
      </x:c>
      <x:c r="AH26" s="55" t="str">
        <x:v>S25WMP01-DEC-02</x:v>
      </x:c>
      <x:c r="AI26" s="56" t="n">
        <x:v>46285</x:v>
      </x:c>
      <x:c r="AJ26" s="55" t="str">
        <x:v>FICTIONAL TEST DATA. All people, quantities, money, dates and statuses are invented; not project records.</x:v>
      </x:c>
    </x:row>
    <x:row r="27" ht="102" customHeight="1">
      <x:c r="A27" s="55" t="str">
        <x:v>S25WMP01</x:v>
      </x:c>
      <x:c r="B27" s="55" t="str">
        <x:v>P3-SITE-1</x:v>
      </x:c>
      <x:c r="C27" s="60" t="n">
        <x:v>46266</x:v>
      </x:c>
      <x:c r="D27" s="55" t="str">
        <x:v>S25WMP01-ACT-03</x:v>
      </x:c>
      <x:c r="E27" s="55" t="str">
        <x:v>Pump house</x:v>
      </x:c>
      <x:c r="F27" s="55" t="str">
        <x:v>RCC concreting</x:v>
      </x:c>
      <x:c r="G27" s="56" t="n">
        <x:v>46286</x:v>
      </x:c>
      <x:c r="H27" s="55" t="str">
        <x:v>m3</x:v>
      </x:c>
      <x:c r="I27" s="63" t="n">
        <x:v>290</x:v>
      </x:c>
      <x:c r="J27" s="63" t="n">
        <x:v>0</x:v>
      </x:c>
      <x:c r="K27" s="65" t="n">
        <x:f>IF(COUNT(I27:J27)&lt;2,"",MAX(I27-J27,0))</x:f>
        <x:v>290</x:v>
      </x:c>
      <x:c r="L27" s="63" t="n">
        <x:v>120</x:v>
      </x:c>
      <x:c r="M27" s="68" t="n">
        <x:v>44</x:v>
      </x:c>
      <x:c r="N27" s="68" t="n">
        <x:v>22</x:v>
      </x:c>
      <x:c r="O27" s="55" t="str">
        <x:v>NO</x:v>
      </x:c>
      <x:c r="P27" s="55" t="str">
        <x:v>NO</x:v>
      </x:c>
      <x:c r="Q27" s="56" t="n">
        <x:v>46284</x:v>
      </x:c>
      <x:c r="R27" s="56" t="str">
        <x:v>Not yet occurred</x:v>
      </x:c>
      <x:c r="S27" s="55" t="str">
        <x:v>NO</x:v>
      </x:c>
      <x:c r="T27" s="55" t="str">
        <x:v>NO</x:v>
      </x:c>
      <x:c r="U27" s="63" t="n">
        <x:v>30</x:v>
      </x:c>
      <x:c r="V27" s="63" t="n">
        <x:v>12</x:v>
      </x:c>
      <x:c r="W27" s="55" t="str">
        <x:v>tonnes</x:v>
      </x:c>
      <x:c r="X27" s="55" t="str">
        <x:v>Blocked</x:v>
      </x:c>
      <x:c r="Y27" s="55" t="str">
        <x:v>Approved drawing and reinforcement delivery.</x:v>
      </x:c>
      <x:c r="Z27" s="55" t="str">
        <x:v>Future week; execution has not started.</x:v>
      </x:c>
      <x:c r="AA27" s="55" t="str">
        <x:v>Shuttering, Hydra/Crane</x:v>
      </x:c>
      <x:c r="AB27" s="55" t="str">
        <x:v>Mobilise one crane and 150 m2 shuttering.</x:v>
      </x:c>
      <x:c r="AC27" s="55" t="str">
        <x:v>Mobilise the listed resource and confirm readiness before start.</x:v>
      </x:c>
      <x:c r="AD27" s="57" t="n">
        <x:v>20</x:v>
      </x:c>
      <x:c r="AE27" s="55" t="str">
        <x:v>Demo Construction Lead P3</x:v>
      </x:c>
      <x:c r="AF27" s="56" t="n">
        <x:v>46287</x:v>
      </x:c>
      <x:c r="AG27" s="63" t="n">
        <x:v>290</x:v>
      </x:c>
      <x:c r="AH27" s="55" t="str">
        <x:v>S25WMP01-DEC-03</x:v>
      </x:c>
      <x:c r="AI27" s="56" t="n">
        <x:v>46285</x:v>
      </x:c>
      <x:c r="AJ27" s="55" t="str">
        <x:v>FICTIONAL TEST DATA. All people, quantities, money, dates and statuses are invented; not project records.</x:v>
      </x:c>
    </x:row>
    <x:row r="28" ht="102" customHeight="1">
      <x:c r="A28" s="55" t="str">
        <x:v>S25WMP01</x:v>
      </x:c>
      <x:c r="B28" s="55" t="str">
        <x:v>P3-SITE-2</x:v>
      </x:c>
      <x:c r="C28" s="60" t="n">
        <x:v>46266</x:v>
      </x:c>
      <x:c r="D28" s="55" t="str">
        <x:v>S25WMP01-ACT-04</x:v>
      </x:c>
      <x:c r="E28" s="55" t="str">
        <x:v>Water treatment plant</x:v>
      </x:c>
      <x:c r="F28" s="55" t="str">
        <x:v>Earth excavation</x:v>
      </x:c>
      <x:c r="G28" s="56" t="n">
        <x:v>46293</x:v>
      </x:c>
      <x:c r="H28" s="55" t="str">
        <x:v>m3</x:v>
      </x:c>
      <x:c r="I28" s="63" t="n">
        <x:v>310</x:v>
      </x:c>
      <x:c r="J28" s="63" t="n">
        <x:v>0</x:v>
      </x:c>
      <x:c r="K28" s="65" t="n">
        <x:f>IF(COUNT(I28:J28)&lt;2,"",MAX(I28-J28,0))</x:f>
        <x:v>310</x:v>
      </x:c>
      <x:c r="L28" s="63" t="n">
        <x:v>310</x:v>
      </x:c>
      <x:c r="M28" s="68" t="n">
        <x:v>49</x:v>
      </x:c>
      <x:c r="N28" s="68" t="n">
        <x:v>49</x:v>
      </x:c>
      <x:c r="O28" s="55" t="str">
        <x:v>YES</x:v>
      </x:c>
      <x:c r="P28" s="55" t="str">
        <x:v>YES</x:v>
      </x:c>
      <x:c r="Q28" s="56" t="n">
        <x:v>46289</x:v>
      </x:c>
      <x:c r="R28" s="56" t="n">
        <x:v>46283</x:v>
      </x:c>
      <x:c r="S28" s="55" t="str">
        <x:v>NA</x:v>
      </x:c>
      <x:c r="T28" s="55" t="str">
        <x:v>NA</x:v>
      </x:c>
      <x:c r="U28" s="63" t="n">
        <x:v>0</x:v>
      </x:c>
      <x:c r="V28" s="63" t="n">
        <x:v>0</x:v>
      </x:c>
      <x:c r="W28" s="55" t="str">
        <x:v>tonnes</x:v>
      </x:c>
      <x:c r="X28" s="55" t="str">
        <x:v>Ready</x:v>
      </x:c>
      <x:c r="Y28" s="55" t="str">
        <x:v>None; prerequisites confirmed in this fictional scenario.</x:v>
      </x:c>
      <x:c r="Z28" s="55" t="str">
        <x:v>Future week; execution has not started.</x:v>
      </x:c>
      <x:c r="AA28" s="55" t="str">
        <x:v>Excavator, Truck/Dumper</x:v>
      </x:c>
      <x:c r="AB28" s="55" t="str">
        <x:v>Reserve one excavator and two dumpers.</x:v>
      </x:c>
      <x:c r="AC28" s="55" t="str">
        <x:v>Mobilise the listed resource and confirm readiness before start.</x:v>
      </x:c>
      <x:c r="AD28" s="57" t="n">
        <x:v>25</x:v>
      </x:c>
      <x:c r="AE28" s="55" t="str">
        <x:v>Demo Construction Lead P3</x:v>
      </x:c>
      <x:c r="AF28" s="56" t="n">
        <x:v>46294</x:v>
      </x:c>
      <x:c r="AG28" s="63" t="n">
        <x:v>310</x:v>
      </x:c>
      <x:c r="AH28" s="55" t="str">
        <x:v>S25WMP01-DEC-04</x:v>
      </x:c>
      <x:c r="AI28" s="56" t="n">
        <x:v>46285</x:v>
      </x:c>
      <x:c r="AJ28" s="55" t="str">
        <x:v>FICTIONAL TEST DATA. All people, quantities, money, dates and statuses are invented; not project records.</x:v>
      </x:c>
    </x:row>
    <x:row r="29" ht="102" customHeight="1">
      <x:c r="A29" s="55" t="str">
        <x:v>S26BBI01</x:v>
      </x:c>
      <x:c r="B29" s="55" t="str">
        <x:v>P4-SITE-1</x:v>
      </x:c>
      <x:c r="C29" s="60" t="n">
        <x:v>46266</x:v>
      </x:c>
      <x:c r="D29" s="55" t="str">
        <x:v>S26BBI01-ACT-01</x:v>
      </x:c>
      <x:c r="E29" s="55" t="str">
        <x:v>Cooling water structure</x:v>
      </x:c>
      <x:c r="F29" s="55" t="str">
        <x:v>RCC concreting</x:v>
      </x:c>
      <x:c r="G29" s="56" t="n">
        <x:v>46272</x:v>
      </x:c>
      <x:c r="H29" s="55" t="str">
        <x:v>m3</x:v>
      </x:c>
      <x:c r="I29" s="63" t="n">
        <x:v>275</x:v>
      </x:c>
      <x:c r="J29" s="63" t="n">
        <x:v>275</x:v>
      </x:c>
      <x:c r="K29" s="65" t="n">
        <x:f>IF(COUNT(I29:J29)&lt;2,"",MAX(I29-J29,0))</x:f>
        <x:v>0</x:v>
      </x:c>
      <x:c r="L29" s="63" t="n">
        <x:v>275</x:v>
      </x:c>
      <x:c r="M29" s="68" t="n">
        <x:v>36</x:v>
      </x:c>
      <x:c r="N29" s="68" t="n">
        <x:v>36</x:v>
      </x:c>
      <x:c r="O29" s="55" t="str">
        <x:v>YES</x:v>
      </x:c>
      <x:c r="P29" s="55" t="str">
        <x:v>YES</x:v>
      </x:c>
      <x:c r="Q29" s="56" t="n">
        <x:v>46270</x:v>
      </x:c>
      <x:c r="R29" s="56" t="n">
        <x:v>46270</x:v>
      </x:c>
      <x:c r="S29" s="55" t="str">
        <x:v>YES</x:v>
      </x:c>
      <x:c r="T29" s="55" t="str">
        <x:v>YES</x:v>
      </x:c>
      <x:c r="U29" s="63" t="n">
        <x:v>20</x:v>
      </x:c>
      <x:c r="V29" s="63" t="n">
        <x:v>20</x:v>
      </x:c>
      <x:c r="W29" s="55" t="str">
        <x:v>tonnes</x:v>
      </x:c>
      <x:c r="X29" s="55" t="str">
        <x:v>Ready</x:v>
      </x:c>
      <x:c r="Y29" s="55" t="str">
        <x:v>None; prerequisites confirmed in this fictional scenario.</x:v>
      </x:c>
      <x:c r="Z29" s="55" t="str">
        <x:v>Target achieved.</x:v>
      </x:c>
      <x:c r="AA29" s="55" t="str">
        <x:v>Concrete Pump</x:v>
      </x:c>
      <x:c r="AB29" s="55" t="str">
        <x:v>No current shortage; resolved test item.</x:v>
      </x:c>
      <x:c r="AC29" s="55" t="str">
        <x:v>Close action and retain productivity record.</x:v>
      </x:c>
      <x:c r="AD29" s="57" t="n">
        <x:v>0</x:v>
      </x:c>
      <x:c r="AE29" s="55" t="str">
        <x:v>Demo Construction Lead P4</x:v>
      </x:c>
      <x:c r="AF29" s="56" t="n">
        <x:v>46273</x:v>
      </x:c>
      <x:c r="AG29" s="63" t="n">
        <x:v>275</x:v>
      </x:c>
      <x:c r="AH29" s="55" t="str">
        <x:v>S26BBI01-DEC-01</x:v>
      </x:c>
      <x:c r="AI29" s="56" t="n">
        <x:v>46285</x:v>
      </x:c>
      <x:c r="AJ29" s="55" t="str">
        <x:v>FICTIONAL TEST DATA. All people, quantities, money, dates and statuses are invented; not project records.</x:v>
      </x:c>
    </x:row>
    <x:row r="30" ht="102" customHeight="1">
      <x:c r="A30" s="55" t="str">
        <x:v>S26BBI01</x:v>
      </x:c>
      <x:c r="B30" s="55" t="str">
        <x:v>P4-SITE-2</x:v>
      </x:c>
      <x:c r="C30" s="60" t="n">
        <x:v>46266</x:v>
      </x:c>
      <x:c r="D30" s="55" t="str">
        <x:v>S26BBI01-ACT-02</x:v>
      </x:c>
      <x:c r="E30" s="55" t="str">
        <x:v>Utility corridor</x:v>
      </x:c>
      <x:c r="F30" s="55" t="str">
        <x:v>RCC concreting</x:v>
      </x:c>
      <x:c r="G30" s="56" t="n">
        <x:v>46279</x:v>
      </x:c>
      <x:c r="H30" s="55" t="str">
        <x:v>m3</x:v>
      </x:c>
      <x:c r="I30" s="63" t="n">
        <x:v>295</x:v>
      </x:c>
      <x:c r="J30" s="63" t="n">
        <x:v>192</x:v>
      </x:c>
      <x:c r="K30" s="65" t="n">
        <x:f>IF(COUNT(I30:J30)&lt;2,"",MAX(I30-J30,0))</x:f>
        <x:v>103</x:v>
      </x:c>
      <x:c r="L30" s="63" t="n">
        <x:v>295</x:v>
      </x:c>
      <x:c r="M30" s="68" t="n">
        <x:v>41</x:v>
      </x:c>
      <x:c r="N30" s="68" t="n">
        <x:v>41</x:v>
      </x:c>
      <x:c r="O30" s="55" t="str">
        <x:v>YES</x:v>
      </x:c>
      <x:c r="P30" s="55" t="str">
        <x:v>YES</x:v>
      </x:c>
      <x:c r="Q30" s="56" t="n">
        <x:v>46277</x:v>
      </x:c>
      <x:c r="R30" s="56" t="n">
        <x:v>46278</x:v>
      </x:c>
      <x:c r="S30" s="55" t="str">
        <x:v>YES</x:v>
      </x:c>
      <x:c r="T30" s="55" t="str">
        <x:v>YES</x:v>
      </x:c>
      <x:c r="U30" s="63" t="n">
        <x:v>25</x:v>
      </x:c>
      <x:c r="V30" s="63" t="n">
        <x:v>25</x:v>
      </x:c>
      <x:c r="W30" s="55" t="str">
        <x:v>tonnes</x:v>
      </x:c>
      <x:c r="X30" s="55" t="str">
        <x:v>Ready</x:v>
      </x:c>
      <x:c r="Y30" s="55" t="str">
        <x:v>None; prerequisites confirmed in this fictional scenario.</x:v>
      </x:c>
      <x:c r="Z30" s="55" t="str">
        <x:v>Pump downtime reduced output.</x:v>
      </x:c>
      <x:c r="AA30" s="55" t="str">
        <x:v>RMC/Ajax, Concrete Pump</x:v>
      </x:c>
      <x:c r="AB30" s="55" t="str">
        <x:v>One standby concrete pump required.</x:v>
      </x:c>
      <x:c r="AC30" s="55" t="str">
        <x:v>Mobilise the listed resource and confirm readiness before start.</x:v>
      </x:c>
      <x:c r="AD30" s="57" t="n">
        <x:v>15</x:v>
      </x:c>
      <x:c r="AE30" s="55" t="str">
        <x:v>Demo Construction Lead P4</x:v>
      </x:c>
      <x:c r="AF30" s="56" t="n">
        <x:v>46280</x:v>
      </x:c>
      <x:c r="AG30" s="63" t="n">
        <x:v>295</x:v>
      </x:c>
      <x:c r="AH30" s="55" t="str">
        <x:v>S26BBI01-DEC-02</x:v>
      </x:c>
      <x:c r="AI30" s="56" t="n">
        <x:v>46285</x:v>
      </x:c>
      <x:c r="AJ30" s="55" t="str">
        <x:v>FICTIONAL TEST DATA. All people, quantities, money, dates and statuses are invented; not project records.</x:v>
      </x:c>
    </x:row>
    <x:row r="31" ht="102" customHeight="1">
      <x:c r="A31" s="55" t="str">
        <x:v>S26BBI01</x:v>
      </x:c>
      <x:c r="B31" s="55" t="str">
        <x:v>P4-SITE-1</x:v>
      </x:c>
      <x:c r="C31" s="60" t="n">
        <x:v>46266</x:v>
      </x:c>
      <x:c r="D31" s="55" t="str">
        <x:v>S26BBI01-ACT-03</x:v>
      </x:c>
      <x:c r="E31" s="55" t="str">
        <x:v>Pump foundation</x:v>
      </x:c>
      <x:c r="F31" s="55" t="str">
        <x:v>RCC concreting</x:v>
      </x:c>
      <x:c r="G31" s="56" t="n">
        <x:v>46286</x:v>
      </x:c>
      <x:c r="H31" s="55" t="str">
        <x:v>m3</x:v>
      </x:c>
      <x:c r="I31" s="63" t="n">
        <x:v>315</x:v>
      </x:c>
      <x:c r="J31" s="63" t="n">
        <x:v>0</x:v>
      </x:c>
      <x:c r="K31" s="65" t="n">
        <x:f>IF(COUNT(I31:J31)&lt;2,"",MAX(I31-J31,0))</x:f>
        <x:v>315</x:v>
      </x:c>
      <x:c r="L31" s="63" t="n">
        <x:v>120</x:v>
      </x:c>
      <x:c r="M31" s="68" t="n">
        <x:v>46</x:v>
      </x:c>
      <x:c r="N31" s="68" t="n">
        <x:v>22</x:v>
      </x:c>
      <x:c r="O31" s="55" t="str">
        <x:v>NO</x:v>
      </x:c>
      <x:c r="P31" s="55" t="str">
        <x:v>NO</x:v>
      </x:c>
      <x:c r="Q31" s="56" t="n">
        <x:v>46284</x:v>
      </x:c>
      <x:c r="R31" s="56" t="str">
        <x:v>Not yet occurred</x:v>
      </x:c>
      <x:c r="S31" s="55" t="str">
        <x:v>NO</x:v>
      </x:c>
      <x:c r="T31" s="55" t="str">
        <x:v>NO</x:v>
      </x:c>
      <x:c r="U31" s="63" t="n">
        <x:v>30</x:v>
      </x:c>
      <x:c r="V31" s="63" t="n">
        <x:v>12</x:v>
      </x:c>
      <x:c r="W31" s="55" t="str">
        <x:v>tonnes</x:v>
      </x:c>
      <x:c r="X31" s="55" t="str">
        <x:v>Blocked</x:v>
      </x:c>
      <x:c r="Y31" s="55" t="str">
        <x:v>Approved drawing and reinforcement delivery.</x:v>
      </x:c>
      <x:c r="Z31" s="55" t="str">
        <x:v>Future week; execution has not started.</x:v>
      </x:c>
      <x:c r="AA31" s="55" t="str">
        <x:v>Shuttering, Hydra/Crane</x:v>
      </x:c>
      <x:c r="AB31" s="55" t="str">
        <x:v>Mobilise one crane and 150 m2 shuttering.</x:v>
      </x:c>
      <x:c r="AC31" s="55" t="str">
        <x:v>Mobilise the listed resource and confirm readiness before start.</x:v>
      </x:c>
      <x:c r="AD31" s="57" t="n">
        <x:v>20</x:v>
      </x:c>
      <x:c r="AE31" s="55" t="str">
        <x:v>Demo Construction Lead P4</x:v>
      </x:c>
      <x:c r="AF31" s="56" t="n">
        <x:v>46287</x:v>
      </x:c>
      <x:c r="AG31" s="63" t="n">
        <x:v>315</x:v>
      </x:c>
      <x:c r="AH31" s="55" t="str">
        <x:v>S26BBI01-DEC-03</x:v>
      </x:c>
      <x:c r="AI31" s="56" t="n">
        <x:v>46285</x:v>
      </x:c>
      <x:c r="AJ31" s="55" t="str">
        <x:v>FICTIONAL TEST DATA. All people, quantities, money, dates and statuses are invented; not project records.</x:v>
      </x:c>
    </x:row>
    <x:row r="32" ht="102" customHeight="1">
      <x:c r="A32" s="55" t="str">
        <x:v>S26BBI01</x:v>
      </x:c>
      <x:c r="B32" s="55" t="str">
        <x:v>P4-SITE-2</x:v>
      </x:c>
      <x:c r="C32" s="60" t="n">
        <x:v>46266</x:v>
      </x:c>
      <x:c r="D32" s="55" t="str">
        <x:v>S26BBI01-ACT-04</x:v>
      </x:c>
      <x:c r="E32" s="55" t="str">
        <x:v>Service building</x:v>
      </x:c>
      <x:c r="F32" s="55" t="str">
        <x:v>Earth excavation</x:v>
      </x:c>
      <x:c r="G32" s="56" t="n">
        <x:v>46293</x:v>
      </x:c>
      <x:c r="H32" s="55" t="str">
        <x:v>m3</x:v>
      </x:c>
      <x:c r="I32" s="63" t="n">
        <x:v>335</x:v>
      </x:c>
      <x:c r="J32" s="63" t="n">
        <x:v>0</x:v>
      </x:c>
      <x:c r="K32" s="65" t="n">
        <x:f>IF(COUNT(I32:J32)&lt;2,"",MAX(I32-J32,0))</x:f>
        <x:v>335</x:v>
      </x:c>
      <x:c r="L32" s="63" t="n">
        <x:v>335</x:v>
      </x:c>
      <x:c r="M32" s="68" t="n">
        <x:v>51</x:v>
      </x:c>
      <x:c r="N32" s="68" t="n">
        <x:v>51</x:v>
      </x:c>
      <x:c r="O32" s="55" t="str">
        <x:v>YES</x:v>
      </x:c>
      <x:c r="P32" s="55" t="str">
        <x:v>YES</x:v>
      </x:c>
      <x:c r="Q32" s="56" t="n">
        <x:v>46289</x:v>
      </x:c>
      <x:c r="R32" s="56" t="n">
        <x:v>46283</x:v>
      </x:c>
      <x:c r="S32" s="55" t="str">
        <x:v>NA</x:v>
      </x:c>
      <x:c r="T32" s="55" t="str">
        <x:v>NA</x:v>
      </x:c>
      <x:c r="U32" s="63" t="n">
        <x:v>0</x:v>
      </x:c>
      <x:c r="V32" s="63" t="n">
        <x:v>0</x:v>
      </x:c>
      <x:c r="W32" s="55" t="str">
        <x:v>tonnes</x:v>
      </x:c>
      <x:c r="X32" s="55" t="str">
        <x:v>Ready</x:v>
      </x:c>
      <x:c r="Y32" s="55" t="str">
        <x:v>None; prerequisites confirmed in this fictional scenario.</x:v>
      </x:c>
      <x:c r="Z32" s="55" t="str">
        <x:v>Future week; execution has not started.</x:v>
      </x:c>
      <x:c r="AA32" s="55" t="str">
        <x:v>Excavator, Truck/Dumper</x:v>
      </x:c>
      <x:c r="AB32" s="55" t="str">
        <x:v>Reserve one excavator and two dumpers.</x:v>
      </x:c>
      <x:c r="AC32" s="55" t="str">
        <x:v>Mobilise the listed resource and confirm readiness before start.</x:v>
      </x:c>
      <x:c r="AD32" s="57" t="n">
        <x:v>25</x:v>
      </x:c>
      <x:c r="AE32" s="55" t="str">
        <x:v>Demo Construction Lead P4</x:v>
      </x:c>
      <x:c r="AF32" s="56" t="n">
        <x:v>46294</x:v>
      </x:c>
      <x:c r="AG32" s="63" t="n">
        <x:v>335</x:v>
      </x:c>
      <x:c r="AH32" s="55" t="str">
        <x:v>S26BBI01-DEC-04</x:v>
      </x:c>
      <x:c r="AI32" s="56" t="n">
        <x:v>46285</x:v>
      </x:c>
      <x:c r="AJ32" s="55" t="str">
        <x:v>FICTIONAL TEST DATA. All people, quantities, money, dates and statuses are invented; not project records.</x:v>
      </x:c>
    </x:row>
    <x:row r="33" ht="102" customHeight="1">
      <x:c r="A33" s="55" t="str">
        <x:v>S26PRJ01</x:v>
      </x:c>
      <x:c r="B33" s="55" t="str">
        <x:v>P5-SITE-1</x:v>
      </x:c>
      <x:c r="C33" s="60" t="n">
        <x:v>46266</x:v>
      </x:c>
      <x:c r="D33" s="55" t="str">
        <x:v>S26PRJ01-ACT-01</x:v>
      </x:c>
      <x:c r="E33" s="55" t="str">
        <x:v>Transformer foundation</x:v>
      </x:c>
      <x:c r="F33" s="55" t="str">
        <x:v>RCC concreting</x:v>
      </x:c>
      <x:c r="G33" s="56" t="n">
        <x:v>46272</x:v>
      </x:c>
      <x:c r="H33" s="55" t="str">
        <x:v>m3</x:v>
      </x:c>
      <x:c r="I33" s="63" t="n">
        <x:v>300</x:v>
      </x:c>
      <x:c r="J33" s="63" t="n">
        <x:v>300</x:v>
      </x:c>
      <x:c r="K33" s="65" t="n">
        <x:f>IF(COUNT(I33:J33)&lt;2,"",MAX(I33-J33,0))</x:f>
        <x:v>0</x:v>
      </x:c>
      <x:c r="L33" s="63" t="n">
        <x:v>300</x:v>
      </x:c>
      <x:c r="M33" s="68" t="n">
        <x:v>38</x:v>
      </x:c>
      <x:c r="N33" s="68" t="n">
        <x:v>38</x:v>
      </x:c>
      <x:c r="O33" s="55" t="str">
        <x:v>YES</x:v>
      </x:c>
      <x:c r="P33" s="55" t="str">
        <x:v>YES</x:v>
      </x:c>
      <x:c r="Q33" s="56" t="n">
        <x:v>46270</x:v>
      </x:c>
      <x:c r="R33" s="56" t="n">
        <x:v>46270</x:v>
      </x:c>
      <x:c r="S33" s="55" t="str">
        <x:v>YES</x:v>
      </x:c>
      <x:c r="T33" s="55" t="str">
        <x:v>YES</x:v>
      </x:c>
      <x:c r="U33" s="63" t="n">
        <x:v>20</x:v>
      </x:c>
      <x:c r="V33" s="63" t="n">
        <x:v>20</x:v>
      </x:c>
      <x:c r="W33" s="55" t="str">
        <x:v>tonnes</x:v>
      </x:c>
      <x:c r="X33" s="55" t="str">
        <x:v>Ready</x:v>
      </x:c>
      <x:c r="Y33" s="55" t="str">
        <x:v>None; prerequisites confirmed in this fictional scenario.</x:v>
      </x:c>
      <x:c r="Z33" s="55" t="str">
        <x:v>Target achieved.</x:v>
      </x:c>
      <x:c r="AA33" s="55" t="str">
        <x:v>Concrete Pump</x:v>
      </x:c>
      <x:c r="AB33" s="55" t="str">
        <x:v>No current shortage; resolved test item.</x:v>
      </x:c>
      <x:c r="AC33" s="55" t="str">
        <x:v>Close action and retain productivity record.</x:v>
      </x:c>
      <x:c r="AD33" s="57" t="n">
        <x:v>0</x:v>
      </x:c>
      <x:c r="AE33" s="55" t="str">
        <x:v>Demo Construction Lead P5</x:v>
      </x:c>
      <x:c r="AF33" s="56" t="n">
        <x:v>46273</x:v>
      </x:c>
      <x:c r="AG33" s="63" t="n">
        <x:v>300</x:v>
      </x:c>
      <x:c r="AH33" s="55" t="str">
        <x:v>S26PRJ01-DEC-01</x:v>
      </x:c>
      <x:c r="AI33" s="56" t="n">
        <x:v>46285</x:v>
      </x:c>
      <x:c r="AJ33" s="55" t="str">
        <x:v>FICTIONAL TEST DATA. All people, quantities, money, dates and statuses are invented; not project records.</x:v>
      </x:c>
    </x:row>
    <x:row r="34" ht="102" customHeight="1">
      <x:c r="A34" s="55" t="str">
        <x:v>S26PRJ01</x:v>
      </x:c>
      <x:c r="B34" s="55" t="str">
        <x:v>P5-SITE-2</x:v>
      </x:c>
      <x:c r="C34" s="60" t="n">
        <x:v>46266</x:v>
      </x:c>
      <x:c r="D34" s="55" t="str">
        <x:v>S26PRJ01-ACT-02</x:v>
      </x:c>
      <x:c r="E34" s="55" t="str">
        <x:v>Cable trench</x:v>
      </x:c>
      <x:c r="F34" s="55" t="str">
        <x:v>RCC concreting</x:v>
      </x:c>
      <x:c r="G34" s="56" t="n">
        <x:v>46279</x:v>
      </x:c>
      <x:c r="H34" s="55" t="str">
        <x:v>m3</x:v>
      </x:c>
      <x:c r="I34" s="63" t="n">
        <x:v>320</x:v>
      </x:c>
      <x:c r="J34" s="63" t="n">
        <x:v>208</x:v>
      </x:c>
      <x:c r="K34" s="65" t="n">
        <x:f>IF(COUNT(I34:J34)&lt;2,"",MAX(I34-J34,0))</x:f>
        <x:v>112</x:v>
      </x:c>
      <x:c r="L34" s="63" t="n">
        <x:v>320</x:v>
      </x:c>
      <x:c r="M34" s="68" t="n">
        <x:v>43</x:v>
      </x:c>
      <x:c r="N34" s="68" t="n">
        <x:v>43</x:v>
      </x:c>
      <x:c r="O34" s="55" t="str">
        <x:v>YES</x:v>
      </x:c>
      <x:c r="P34" s="55" t="str">
        <x:v>YES</x:v>
      </x:c>
      <x:c r="Q34" s="56" t="n">
        <x:v>46277</x:v>
      </x:c>
      <x:c r="R34" s="56" t="n">
        <x:v>46278</x:v>
      </x:c>
      <x:c r="S34" s="55" t="str">
        <x:v>YES</x:v>
      </x:c>
      <x:c r="T34" s="55" t="str">
        <x:v>YES</x:v>
      </x:c>
      <x:c r="U34" s="63" t="n">
        <x:v>25</x:v>
      </x:c>
      <x:c r="V34" s="63" t="n">
        <x:v>25</x:v>
      </x:c>
      <x:c r="W34" s="55" t="str">
        <x:v>tonnes</x:v>
      </x:c>
      <x:c r="X34" s="55" t="str">
        <x:v>Ready</x:v>
      </x:c>
      <x:c r="Y34" s="55" t="str">
        <x:v>None; prerequisites confirmed in this fictional scenario.</x:v>
      </x:c>
      <x:c r="Z34" s="55" t="str">
        <x:v>Pump downtime reduced output.</x:v>
      </x:c>
      <x:c r="AA34" s="55" t="str">
        <x:v>RMC/Ajax, Concrete Pump</x:v>
      </x:c>
      <x:c r="AB34" s="55" t="str">
        <x:v>One standby concrete pump required.</x:v>
      </x:c>
      <x:c r="AC34" s="55" t="str">
        <x:v>Mobilise the listed resource and confirm readiness before start.</x:v>
      </x:c>
      <x:c r="AD34" s="57" t="n">
        <x:v>15</x:v>
      </x:c>
      <x:c r="AE34" s="55" t="str">
        <x:v>Demo Construction Lead P5</x:v>
      </x:c>
      <x:c r="AF34" s="56" t="n">
        <x:v>46280</x:v>
      </x:c>
      <x:c r="AG34" s="63" t="n">
        <x:v>320</x:v>
      </x:c>
      <x:c r="AH34" s="55" t="str">
        <x:v>S26PRJ01-DEC-02</x:v>
      </x:c>
      <x:c r="AI34" s="56" t="n">
        <x:v>46285</x:v>
      </x:c>
      <x:c r="AJ34" s="55" t="str">
        <x:v>FICTIONAL TEST DATA. All people, quantities, money, dates and statuses are invented; not project records.</x:v>
      </x:c>
    </x:row>
    <x:row r="35" ht="102" customHeight="1">
      <x:c r="A35" s="55" t="str">
        <x:v>S26PRJ01</x:v>
      </x:c>
      <x:c r="B35" s="55" t="str">
        <x:v>P5-SITE-1</x:v>
      </x:c>
      <x:c r="C35" s="60" t="n">
        <x:v>46266</x:v>
      </x:c>
      <x:c r="D35" s="55" t="str">
        <x:v>S26PRJ01-ACT-03</x:v>
      </x:c>
      <x:c r="E35" s="55" t="str">
        <x:v>Control room</x:v>
      </x:c>
      <x:c r="F35" s="55" t="str">
        <x:v>RCC concreting</x:v>
      </x:c>
      <x:c r="G35" s="56" t="n">
        <x:v>46286</x:v>
      </x:c>
      <x:c r="H35" s="55" t="str">
        <x:v>m3</x:v>
      </x:c>
      <x:c r="I35" s="63" t="n">
        <x:v>340</x:v>
      </x:c>
      <x:c r="J35" s="63" t="n">
        <x:v>0</x:v>
      </x:c>
      <x:c r="K35" s="65" t="n">
        <x:f>IF(COUNT(I35:J35)&lt;2,"",MAX(I35-J35,0))</x:f>
        <x:v>340</x:v>
      </x:c>
      <x:c r="L35" s="63" t="n">
        <x:v>120</x:v>
      </x:c>
      <x:c r="M35" s="68" t="n">
        <x:v>48</x:v>
      </x:c>
      <x:c r="N35" s="68" t="n">
        <x:v>22</x:v>
      </x:c>
      <x:c r="O35" s="55" t="str">
        <x:v>NO</x:v>
      </x:c>
      <x:c r="P35" s="55" t="str">
        <x:v>NO</x:v>
      </x:c>
      <x:c r="Q35" s="56" t="n">
        <x:v>46284</x:v>
      </x:c>
      <x:c r="R35" s="56" t="str">
        <x:v>Not yet occurred</x:v>
      </x:c>
      <x:c r="S35" s="55" t="str">
        <x:v>NO</x:v>
      </x:c>
      <x:c r="T35" s="55" t="str">
        <x:v>NO</x:v>
      </x:c>
      <x:c r="U35" s="63" t="n">
        <x:v>30</x:v>
      </x:c>
      <x:c r="V35" s="63" t="n">
        <x:v>12</x:v>
      </x:c>
      <x:c r="W35" s="55" t="str">
        <x:v>tonnes</x:v>
      </x:c>
      <x:c r="X35" s="55" t="str">
        <x:v>Blocked</x:v>
      </x:c>
      <x:c r="Y35" s="55" t="str">
        <x:v>Approved drawing and reinforcement delivery.</x:v>
      </x:c>
      <x:c r="Z35" s="55" t="str">
        <x:v>Future week; execution has not started.</x:v>
      </x:c>
      <x:c r="AA35" s="55" t="str">
        <x:v>Shuttering, Hydra/Crane</x:v>
      </x:c>
      <x:c r="AB35" s="55" t="str">
        <x:v>Mobilise one crane and 150 m2 shuttering.</x:v>
      </x:c>
      <x:c r="AC35" s="55" t="str">
        <x:v>Mobilise the listed resource and confirm readiness before start.</x:v>
      </x:c>
      <x:c r="AD35" s="57" t="n">
        <x:v>20</x:v>
      </x:c>
      <x:c r="AE35" s="55" t="str">
        <x:v>Demo Construction Lead P5</x:v>
      </x:c>
      <x:c r="AF35" s="56" t="n">
        <x:v>46287</x:v>
      </x:c>
      <x:c r="AG35" s="63" t="n">
        <x:v>340</x:v>
      </x:c>
      <x:c r="AH35" s="55" t="str">
        <x:v>S26PRJ01-DEC-03</x:v>
      </x:c>
      <x:c r="AI35" s="56" t="n">
        <x:v>46285</x:v>
      </x:c>
      <x:c r="AJ35" s="55" t="str">
        <x:v>FICTIONAL TEST DATA. All people, quantities, money, dates and statuses are invented; not project records.</x:v>
      </x:c>
    </x:row>
    <x:row r="36" ht="102" customHeight="1">
      <x:c r="A36" s="55" t="str">
        <x:v>S26PRJ01</x:v>
      </x:c>
      <x:c r="B36" s="55" t="str">
        <x:v>P5-SITE-2</x:v>
      </x:c>
      <x:c r="C36" s="60" t="n">
        <x:v>46266</x:v>
      </x:c>
      <x:c r="D36" s="55" t="str">
        <x:v>S26PRJ01-ACT-04</x:v>
      </x:c>
      <x:c r="E36" s="55" t="str">
        <x:v>Switchyard road</x:v>
      </x:c>
      <x:c r="F36" s="55" t="str">
        <x:v>Earth excavation</x:v>
      </x:c>
      <x:c r="G36" s="56" t="n">
        <x:v>46293</x:v>
      </x:c>
      <x:c r="H36" s="55" t="str">
        <x:v>m3</x:v>
      </x:c>
      <x:c r="I36" s="63" t="n">
        <x:v>360</x:v>
      </x:c>
      <x:c r="J36" s="63" t="n">
        <x:v>0</x:v>
      </x:c>
      <x:c r="K36" s="65" t="n">
        <x:f>IF(COUNT(I36:J36)&lt;2,"",MAX(I36-J36,0))</x:f>
        <x:v>360</x:v>
      </x:c>
      <x:c r="L36" s="63" t="n">
        <x:v>360</x:v>
      </x:c>
      <x:c r="M36" s="68" t="n">
        <x:v>53</x:v>
      </x:c>
      <x:c r="N36" s="68" t="n">
        <x:v>53</x:v>
      </x:c>
      <x:c r="O36" s="55" t="str">
        <x:v>YES</x:v>
      </x:c>
      <x:c r="P36" s="55" t="str">
        <x:v>YES</x:v>
      </x:c>
      <x:c r="Q36" s="56" t="n">
        <x:v>46289</x:v>
      </x:c>
      <x:c r="R36" s="56" t="n">
        <x:v>46283</x:v>
      </x:c>
      <x:c r="S36" s="55" t="str">
        <x:v>NA</x:v>
      </x:c>
      <x:c r="T36" s="55" t="str">
        <x:v>NA</x:v>
      </x:c>
      <x:c r="U36" s="63" t="n">
        <x:v>0</x:v>
      </x:c>
      <x:c r="V36" s="63" t="n">
        <x:v>0</x:v>
      </x:c>
      <x:c r="W36" s="55" t="str">
        <x:v>tonnes</x:v>
      </x:c>
      <x:c r="X36" s="55" t="str">
        <x:v>Ready</x:v>
      </x:c>
      <x:c r="Y36" s="55" t="str">
        <x:v>None; prerequisites confirmed in this fictional scenario.</x:v>
      </x:c>
      <x:c r="Z36" s="55" t="str">
        <x:v>Future week; execution has not started.</x:v>
      </x:c>
      <x:c r="AA36" s="55" t="str">
        <x:v>Excavator, Truck/Dumper</x:v>
      </x:c>
      <x:c r="AB36" s="55" t="str">
        <x:v>Reserve one excavator and two dumpers.</x:v>
      </x:c>
      <x:c r="AC36" s="55" t="str">
        <x:v>Mobilise the listed resource and confirm readiness before start.</x:v>
      </x:c>
      <x:c r="AD36" s="57" t="n">
        <x:v>25</x:v>
      </x:c>
      <x:c r="AE36" s="55" t="str">
        <x:v>Demo Construction Lead P5</x:v>
      </x:c>
      <x:c r="AF36" s="56" t="n">
        <x:v>46294</x:v>
      </x:c>
      <x:c r="AG36" s="63" t="n">
        <x:v>360</x:v>
      </x:c>
      <x:c r="AH36" s="55" t="str">
        <x:v>S26PRJ01-DEC-04</x:v>
      </x:c>
      <x:c r="AI36" s="56" t="n">
        <x:v>46285</x:v>
      </x:c>
      <x:c r="AJ36" s="55" t="str">
        <x:v>FICTIONAL TEST DATA. All people, quantities, money, dates and statuses are invented; not project records.</x:v>
      </x:c>
    </x:row>
    <x:row r="37" ht="28" customHeight="1">
      <x:c r="A37" s="55"/>
      <x:c r="B37" s="55"/>
      <x:c r="C37" s="60"/>
      <x:c r="D37" s="55"/>
      <x:c r="E37" s="55"/>
      <x:c r="F37" s="55"/>
      <x:c r="G37" s="56"/>
      <x:c r="H37" s="55"/>
      <x:c r="I37" s="63"/>
      <x:c r="J37" s="63"/>
      <x:c r="K37" s="65" t="str">
        <x:f>IF(COUNT(I37:J37)&lt;2,"",MAX(I37-J37,0))</x:f>
      </x:c>
      <x:c r="L37" s="63"/>
      <x:c r="M37" s="68"/>
      <x:c r="N37" s="68"/>
      <x:c r="O37" s="55"/>
      <x:c r="P37" s="55"/>
      <x:c r="Q37" s="56"/>
      <x:c r="R37" s="56"/>
      <x:c r="S37" s="55"/>
      <x:c r="T37" s="55"/>
      <x:c r="U37" s="63"/>
      <x:c r="V37" s="63"/>
      <x:c r="W37" s="55"/>
      <x:c r="X37" s="55"/>
      <x:c r="Y37" s="55"/>
      <x:c r="Z37" s="55"/>
      <x:c r="AA37" s="55"/>
      <x:c r="AB37" s="55"/>
      <x:c r="AC37" s="55"/>
      <x:c r="AD37" s="57"/>
      <x:c r="AE37" s="55"/>
      <x:c r="AF37" s="56"/>
      <x:c r="AG37" s="63"/>
      <x:c r="AH37" s="55"/>
      <x:c r="AI37" s="56"/>
      <x:c r="AJ37" s="55"/>
    </x:row>
    <x:row r="38" ht="28" customHeight="1">
      <x:c r="A38" s="55"/>
      <x:c r="B38" s="55"/>
      <x:c r="C38" s="60"/>
      <x:c r="D38" s="55"/>
      <x:c r="E38" s="55"/>
      <x:c r="F38" s="55"/>
      <x:c r="G38" s="56"/>
      <x:c r="H38" s="55"/>
      <x:c r="I38" s="63"/>
      <x:c r="J38" s="63"/>
      <x:c r="K38" s="65" t="str">
        <x:f>IF(COUNT(I38:J38)&lt;2,"",MAX(I38-J38,0))</x:f>
      </x:c>
      <x:c r="L38" s="63"/>
      <x:c r="M38" s="68"/>
      <x:c r="N38" s="68"/>
      <x:c r="O38" s="55"/>
      <x:c r="P38" s="55"/>
      <x:c r="Q38" s="56"/>
      <x:c r="R38" s="56"/>
      <x:c r="S38" s="55"/>
      <x:c r="T38" s="55"/>
      <x:c r="U38" s="63"/>
      <x:c r="V38" s="63"/>
      <x:c r="W38" s="55"/>
      <x:c r="X38" s="55"/>
      <x:c r="Y38" s="55"/>
      <x:c r="Z38" s="55"/>
      <x:c r="AA38" s="55"/>
      <x:c r="AB38" s="55"/>
      <x:c r="AC38" s="55"/>
      <x:c r="AD38" s="57"/>
      <x:c r="AE38" s="55"/>
      <x:c r="AF38" s="56"/>
      <x:c r="AG38" s="63"/>
      <x:c r="AH38" s="55"/>
      <x:c r="AI38" s="56"/>
      <x:c r="AJ38" s="55"/>
    </x:row>
    <x:row r="39" ht="28" customHeight="1">
      <x:c r="A39" s="55"/>
      <x:c r="B39" s="55"/>
      <x:c r="C39" s="60"/>
      <x:c r="D39" s="55"/>
      <x:c r="E39" s="55"/>
      <x:c r="F39" s="55"/>
      <x:c r="G39" s="56"/>
      <x:c r="H39" s="55"/>
      <x:c r="I39" s="63"/>
      <x:c r="J39" s="63"/>
      <x:c r="K39" s="65" t="str">
        <x:f>IF(COUNT(I39:J39)&lt;2,"",MAX(I39-J39,0))</x:f>
      </x:c>
      <x:c r="L39" s="63"/>
      <x:c r="M39" s="68"/>
      <x:c r="N39" s="68"/>
      <x:c r="O39" s="55"/>
      <x:c r="P39" s="55"/>
      <x:c r="Q39" s="56"/>
      <x:c r="R39" s="56"/>
      <x:c r="S39" s="55"/>
      <x:c r="T39" s="55"/>
      <x:c r="U39" s="63"/>
      <x:c r="V39" s="63"/>
      <x:c r="W39" s="55"/>
      <x:c r="X39" s="55"/>
      <x:c r="Y39" s="55"/>
      <x:c r="Z39" s="55"/>
      <x:c r="AA39" s="55"/>
      <x:c r="AB39" s="55"/>
      <x:c r="AC39" s="55"/>
      <x:c r="AD39" s="57"/>
      <x:c r="AE39" s="55"/>
      <x:c r="AF39" s="56"/>
      <x:c r="AG39" s="63"/>
      <x:c r="AH39" s="55"/>
      <x:c r="AI39" s="56"/>
      <x:c r="AJ39" s="55"/>
    </x:row>
    <x:row r="40" ht="28" customHeight="1">
      <x:c r="A40" s="55"/>
      <x:c r="B40" s="55"/>
      <x:c r="C40" s="60"/>
      <x:c r="D40" s="55"/>
      <x:c r="E40" s="55"/>
      <x:c r="F40" s="55"/>
      <x:c r="G40" s="56"/>
      <x:c r="H40" s="55"/>
      <x:c r="I40" s="63"/>
      <x:c r="J40" s="63"/>
      <x:c r="K40" s="65" t="str">
        <x:f>IF(COUNT(I40:J40)&lt;2,"",MAX(I40-J40,0))</x:f>
      </x:c>
      <x:c r="L40" s="63"/>
      <x:c r="M40" s="68"/>
      <x:c r="N40" s="68"/>
      <x:c r="O40" s="55"/>
      <x:c r="P40" s="55"/>
      <x:c r="Q40" s="56"/>
      <x:c r="R40" s="56"/>
      <x:c r="S40" s="55"/>
      <x:c r="T40" s="55"/>
      <x:c r="U40" s="63"/>
      <x:c r="V40" s="63"/>
      <x:c r="W40" s="55"/>
      <x:c r="X40" s="55"/>
      <x:c r="Y40" s="55"/>
      <x:c r="Z40" s="55"/>
      <x:c r="AA40" s="55"/>
      <x:c r="AB40" s="55"/>
      <x:c r="AC40" s="55"/>
      <x:c r="AD40" s="57"/>
      <x:c r="AE40" s="55"/>
      <x:c r="AF40" s="56"/>
      <x:c r="AG40" s="63"/>
      <x:c r="AH40" s="55"/>
      <x:c r="AI40" s="56"/>
      <x:c r="AJ40" s="55"/>
    </x:row>
    <x:row r="41" ht="28" customHeight="1">
      <x:c r="A41" s="55"/>
      <x:c r="B41" s="55"/>
      <x:c r="C41" s="60"/>
      <x:c r="D41" s="55"/>
      <x:c r="E41" s="55"/>
      <x:c r="F41" s="55"/>
      <x:c r="G41" s="56"/>
      <x:c r="H41" s="55"/>
      <x:c r="I41" s="63"/>
      <x:c r="J41" s="63"/>
      <x:c r="K41" s="65" t="str">
        <x:f>IF(COUNT(I41:J41)&lt;2,"",MAX(I41-J41,0))</x:f>
      </x:c>
      <x:c r="L41" s="63"/>
      <x:c r="M41" s="68"/>
      <x:c r="N41" s="68"/>
      <x:c r="O41" s="55"/>
      <x:c r="P41" s="55"/>
      <x:c r="Q41" s="56"/>
      <x:c r="R41" s="56"/>
      <x:c r="S41" s="55"/>
      <x:c r="T41" s="55"/>
      <x:c r="U41" s="63"/>
      <x:c r="V41" s="63"/>
      <x:c r="W41" s="55"/>
      <x:c r="X41" s="55"/>
      <x:c r="Y41" s="55"/>
      <x:c r="Z41" s="55"/>
      <x:c r="AA41" s="55"/>
      <x:c r="AB41" s="55"/>
      <x:c r="AC41" s="55"/>
      <x:c r="AD41" s="57"/>
      <x:c r="AE41" s="55"/>
      <x:c r="AF41" s="56"/>
      <x:c r="AG41" s="63"/>
      <x:c r="AH41" s="55"/>
      <x:c r="AI41" s="56"/>
      <x:c r="AJ41" s="55"/>
    </x:row>
    <x:row r="42" ht="28" customHeight="1">
      <x:c r="A42" s="55"/>
      <x:c r="B42" s="55"/>
      <x:c r="C42" s="60"/>
      <x:c r="D42" s="55"/>
      <x:c r="E42" s="55"/>
      <x:c r="F42" s="55"/>
      <x:c r="G42" s="56"/>
      <x:c r="H42" s="55"/>
      <x:c r="I42" s="63"/>
      <x:c r="J42" s="63"/>
      <x:c r="K42" s="65" t="str">
        <x:f>IF(COUNT(I42:J42)&lt;2,"",MAX(I42-J42,0))</x:f>
      </x:c>
      <x:c r="L42" s="63"/>
      <x:c r="M42" s="68"/>
      <x:c r="N42" s="68"/>
      <x:c r="O42" s="55"/>
      <x:c r="P42" s="55"/>
      <x:c r="Q42" s="56"/>
      <x:c r="R42" s="56"/>
      <x:c r="S42" s="55"/>
      <x:c r="T42" s="55"/>
      <x:c r="U42" s="63"/>
      <x:c r="V42" s="63"/>
      <x:c r="W42" s="55"/>
      <x:c r="X42" s="55"/>
      <x:c r="Y42" s="55"/>
      <x:c r="Z42" s="55"/>
      <x:c r="AA42" s="55"/>
      <x:c r="AB42" s="55"/>
      <x:c r="AC42" s="55"/>
      <x:c r="AD42" s="57"/>
      <x:c r="AE42" s="55"/>
      <x:c r="AF42" s="56"/>
      <x:c r="AG42" s="63"/>
      <x:c r="AH42" s="55"/>
      <x:c r="AI42" s="56"/>
      <x:c r="AJ42" s="55"/>
    </x:row>
    <x:row r="43" ht="28" customHeight="1">
      <x:c r="A43" s="55"/>
      <x:c r="B43" s="55"/>
      <x:c r="C43" s="60"/>
      <x:c r="D43" s="55"/>
      <x:c r="E43" s="55"/>
      <x:c r="F43" s="55"/>
      <x:c r="G43" s="56"/>
      <x:c r="H43" s="55"/>
      <x:c r="I43" s="63"/>
      <x:c r="J43" s="63"/>
      <x:c r="K43" s="65" t="str">
        <x:f>IF(COUNT(I43:J43)&lt;2,"",MAX(I43-J43,0))</x:f>
      </x:c>
      <x:c r="L43" s="63"/>
      <x:c r="M43" s="68"/>
      <x:c r="N43" s="68"/>
      <x:c r="O43" s="55"/>
      <x:c r="P43" s="55"/>
      <x:c r="Q43" s="56"/>
      <x:c r="R43" s="56"/>
      <x:c r="S43" s="55"/>
      <x:c r="T43" s="55"/>
      <x:c r="U43" s="63"/>
      <x:c r="V43" s="63"/>
      <x:c r="W43" s="55"/>
      <x:c r="X43" s="55"/>
      <x:c r="Y43" s="55"/>
      <x:c r="Z43" s="55"/>
      <x:c r="AA43" s="55"/>
      <x:c r="AB43" s="55"/>
      <x:c r="AC43" s="55"/>
      <x:c r="AD43" s="57"/>
      <x:c r="AE43" s="55"/>
      <x:c r="AF43" s="56"/>
      <x:c r="AG43" s="63"/>
      <x:c r="AH43" s="55"/>
      <x:c r="AI43" s="56"/>
      <x:c r="AJ43" s="55"/>
    </x:row>
    <x:row r="44" ht="28" customHeight="1">
      <x:c r="A44" s="55"/>
      <x:c r="B44" s="55"/>
      <x:c r="C44" s="60"/>
      <x:c r="D44" s="55"/>
      <x:c r="E44" s="55"/>
      <x:c r="F44" s="55"/>
      <x:c r="G44" s="56"/>
      <x:c r="H44" s="55"/>
      <x:c r="I44" s="63"/>
      <x:c r="J44" s="63"/>
      <x:c r="K44" s="65" t="str">
        <x:f>IF(COUNT(I44:J44)&lt;2,"",MAX(I44-J44,0))</x:f>
      </x:c>
      <x:c r="L44" s="63"/>
      <x:c r="M44" s="68"/>
      <x:c r="N44" s="68"/>
      <x:c r="O44" s="55"/>
      <x:c r="P44" s="55"/>
      <x:c r="Q44" s="56"/>
      <x:c r="R44" s="56"/>
      <x:c r="S44" s="55"/>
      <x:c r="T44" s="55"/>
      <x:c r="U44" s="63"/>
      <x:c r="V44" s="63"/>
      <x:c r="W44" s="55"/>
      <x:c r="X44" s="55"/>
      <x:c r="Y44" s="55"/>
      <x:c r="Z44" s="55"/>
      <x:c r="AA44" s="55"/>
      <x:c r="AB44" s="55"/>
      <x:c r="AC44" s="55"/>
      <x:c r="AD44" s="57"/>
      <x:c r="AE44" s="55"/>
      <x:c r="AF44" s="56"/>
      <x:c r="AG44" s="63"/>
      <x:c r="AH44" s="55"/>
      <x:c r="AI44" s="56"/>
      <x:c r="AJ44" s="55"/>
    </x:row>
    <x:row r="45" ht="28" customHeight="1">
      <x:c r="A45" s="55"/>
      <x:c r="B45" s="55"/>
      <x:c r="C45" s="60"/>
      <x:c r="D45" s="55"/>
      <x:c r="E45" s="55"/>
      <x:c r="F45" s="55"/>
      <x:c r="G45" s="56"/>
      <x:c r="H45" s="55"/>
      <x:c r="I45" s="63"/>
      <x:c r="J45" s="63"/>
      <x:c r="K45" s="65" t="str">
        <x:f>IF(COUNT(I45:J45)&lt;2,"",MAX(I45-J45,0))</x:f>
      </x:c>
      <x:c r="L45" s="63"/>
      <x:c r="M45" s="68"/>
      <x:c r="N45" s="68"/>
      <x:c r="O45" s="55"/>
      <x:c r="P45" s="55"/>
      <x:c r="Q45" s="56"/>
      <x:c r="R45" s="56"/>
      <x:c r="S45" s="55"/>
      <x:c r="T45" s="55"/>
      <x:c r="U45" s="63"/>
      <x:c r="V45" s="63"/>
      <x:c r="W45" s="55"/>
      <x:c r="X45" s="55"/>
      <x:c r="Y45" s="55"/>
      <x:c r="Z45" s="55"/>
      <x:c r="AA45" s="55"/>
      <x:c r="AB45" s="55"/>
      <x:c r="AC45" s="55"/>
      <x:c r="AD45" s="57"/>
      <x:c r="AE45" s="55"/>
      <x:c r="AF45" s="56"/>
      <x:c r="AG45" s="63"/>
      <x:c r="AH45" s="55"/>
      <x:c r="AI45" s="56"/>
      <x:c r="AJ45" s="55"/>
    </x:row>
    <x:row r="46" ht="28" customHeight="1">
      <x:c r="A46" s="55"/>
      <x:c r="B46" s="55"/>
      <x:c r="C46" s="60"/>
      <x:c r="D46" s="55"/>
      <x:c r="E46" s="55"/>
      <x:c r="F46" s="55"/>
      <x:c r="G46" s="56"/>
      <x:c r="H46" s="55"/>
      <x:c r="I46" s="63"/>
      <x:c r="J46" s="63"/>
      <x:c r="K46" s="65" t="str">
        <x:f>IF(COUNT(I46:J46)&lt;2,"",MAX(I46-J46,0))</x:f>
      </x:c>
      <x:c r="L46" s="63"/>
      <x:c r="M46" s="68"/>
      <x:c r="N46" s="68"/>
      <x:c r="O46" s="55"/>
      <x:c r="P46" s="55"/>
      <x:c r="Q46" s="56"/>
      <x:c r="R46" s="56"/>
      <x:c r="S46" s="55"/>
      <x:c r="T46" s="55"/>
      <x:c r="U46" s="63"/>
      <x:c r="V46" s="63"/>
      <x:c r="W46" s="55"/>
      <x:c r="X46" s="55"/>
      <x:c r="Y46" s="55"/>
      <x:c r="Z46" s="55"/>
      <x:c r="AA46" s="55"/>
      <x:c r="AB46" s="55"/>
      <x:c r="AC46" s="55"/>
      <x:c r="AD46" s="57"/>
      <x:c r="AE46" s="55"/>
      <x:c r="AF46" s="56"/>
      <x:c r="AG46" s="63"/>
      <x:c r="AH46" s="55"/>
      <x:c r="AI46" s="56"/>
      <x:c r="AJ46" s="55"/>
    </x:row>
    <x:row r="47" ht="28" customHeight="1">
      <x:c r="A47" s="55"/>
      <x:c r="B47" s="55"/>
      <x:c r="C47" s="60"/>
      <x:c r="D47" s="55"/>
      <x:c r="E47" s="55"/>
      <x:c r="F47" s="55"/>
      <x:c r="G47" s="56"/>
      <x:c r="H47" s="55"/>
      <x:c r="I47" s="63"/>
      <x:c r="J47" s="63"/>
      <x:c r="K47" s="65" t="str">
        <x:f>IF(COUNT(I47:J47)&lt;2,"",MAX(I47-J47,0))</x:f>
      </x:c>
      <x:c r="L47" s="63"/>
      <x:c r="M47" s="68"/>
      <x:c r="N47" s="68"/>
      <x:c r="O47" s="55"/>
      <x:c r="P47" s="55"/>
      <x:c r="Q47" s="56"/>
      <x:c r="R47" s="56"/>
      <x:c r="S47" s="55"/>
      <x:c r="T47" s="55"/>
      <x:c r="U47" s="63"/>
      <x:c r="V47" s="63"/>
      <x:c r="W47" s="55"/>
      <x:c r="X47" s="55"/>
      <x:c r="Y47" s="55"/>
      <x:c r="Z47" s="55"/>
      <x:c r="AA47" s="55"/>
      <x:c r="AB47" s="55"/>
      <x:c r="AC47" s="55"/>
      <x:c r="AD47" s="57"/>
      <x:c r="AE47" s="55"/>
      <x:c r="AF47" s="56"/>
      <x:c r="AG47" s="63"/>
      <x:c r="AH47" s="55"/>
      <x:c r="AI47" s="56"/>
      <x:c r="AJ47" s="55"/>
    </x:row>
    <x:row r="48" ht="28" customHeight="1">
      <x:c r="A48" s="55"/>
      <x:c r="B48" s="55"/>
      <x:c r="C48" s="60"/>
      <x:c r="D48" s="55"/>
      <x:c r="E48" s="55"/>
      <x:c r="F48" s="55"/>
      <x:c r="G48" s="56"/>
      <x:c r="H48" s="55"/>
      <x:c r="I48" s="63"/>
      <x:c r="J48" s="63"/>
      <x:c r="K48" s="65" t="str">
        <x:f>IF(COUNT(I48:J48)&lt;2,"",MAX(I48-J48,0))</x:f>
      </x:c>
      <x:c r="L48" s="63"/>
      <x:c r="M48" s="68"/>
      <x:c r="N48" s="68"/>
      <x:c r="O48" s="55"/>
      <x:c r="P48" s="55"/>
      <x:c r="Q48" s="56"/>
      <x:c r="R48" s="56"/>
      <x:c r="S48" s="55"/>
      <x:c r="T48" s="55"/>
      <x:c r="U48" s="63"/>
      <x:c r="V48" s="63"/>
      <x:c r="W48" s="55"/>
      <x:c r="X48" s="55"/>
      <x:c r="Y48" s="55"/>
      <x:c r="Z48" s="55"/>
      <x:c r="AA48" s="55"/>
      <x:c r="AB48" s="55"/>
      <x:c r="AC48" s="55"/>
      <x:c r="AD48" s="57"/>
      <x:c r="AE48" s="55"/>
      <x:c r="AF48" s="56"/>
      <x:c r="AG48" s="63"/>
      <x:c r="AH48" s="55"/>
      <x:c r="AI48" s="56"/>
      <x:c r="AJ48" s="55"/>
    </x:row>
    <x:row r="49" ht="28" customHeight="1">
      <x:c r="A49" s="55"/>
      <x:c r="B49" s="55"/>
      <x:c r="C49" s="60"/>
      <x:c r="D49" s="55"/>
      <x:c r="E49" s="55"/>
      <x:c r="F49" s="55"/>
      <x:c r="G49" s="56"/>
      <x:c r="H49" s="55"/>
      <x:c r="I49" s="63"/>
      <x:c r="J49" s="63"/>
      <x:c r="K49" s="65" t="str">
        <x:f>IF(COUNT(I49:J49)&lt;2,"",MAX(I49-J49,0))</x:f>
      </x:c>
      <x:c r="L49" s="63"/>
      <x:c r="M49" s="68"/>
      <x:c r="N49" s="68"/>
      <x:c r="O49" s="55"/>
      <x:c r="P49" s="55"/>
      <x:c r="Q49" s="56"/>
      <x:c r="R49" s="56"/>
      <x:c r="S49" s="55"/>
      <x:c r="T49" s="55"/>
      <x:c r="U49" s="63"/>
      <x:c r="V49" s="63"/>
      <x:c r="W49" s="55"/>
      <x:c r="X49" s="55"/>
      <x:c r="Y49" s="55"/>
      <x:c r="Z49" s="55"/>
      <x:c r="AA49" s="55"/>
      <x:c r="AB49" s="55"/>
      <x:c r="AC49" s="55"/>
      <x:c r="AD49" s="57"/>
      <x:c r="AE49" s="55"/>
      <x:c r="AF49" s="56"/>
      <x:c r="AG49" s="63"/>
      <x:c r="AH49" s="55"/>
      <x:c r="AI49" s="56"/>
      <x:c r="AJ49" s="55"/>
    </x:row>
    <x:row r="50" ht="28" customHeight="1">
      <x:c r="A50" s="55"/>
      <x:c r="B50" s="55"/>
      <x:c r="C50" s="60"/>
      <x:c r="D50" s="55"/>
      <x:c r="E50" s="55"/>
      <x:c r="F50" s="55"/>
      <x:c r="G50" s="56"/>
      <x:c r="H50" s="55"/>
      <x:c r="I50" s="63"/>
      <x:c r="J50" s="63"/>
      <x:c r="K50" s="65" t="str">
        <x:f>IF(COUNT(I50:J50)&lt;2,"",MAX(I50-J50,0))</x:f>
      </x:c>
      <x:c r="L50" s="63"/>
      <x:c r="M50" s="68"/>
      <x:c r="N50" s="68"/>
      <x:c r="O50" s="55"/>
      <x:c r="P50" s="55"/>
      <x:c r="Q50" s="56"/>
      <x:c r="R50" s="56"/>
      <x:c r="S50" s="55"/>
      <x:c r="T50" s="55"/>
      <x:c r="U50" s="63"/>
      <x:c r="V50" s="63"/>
      <x:c r="W50" s="55"/>
      <x:c r="X50" s="55"/>
      <x:c r="Y50" s="55"/>
      <x:c r="Z50" s="55"/>
      <x:c r="AA50" s="55"/>
      <x:c r="AB50" s="55"/>
      <x:c r="AC50" s="55"/>
      <x:c r="AD50" s="57"/>
      <x:c r="AE50" s="55"/>
      <x:c r="AF50" s="56"/>
      <x:c r="AG50" s="63"/>
      <x:c r="AH50" s="55"/>
      <x:c r="AI50" s="56"/>
      <x:c r="AJ50" s="55"/>
    </x:row>
    <x:row r="51" ht="28" customHeight="1">
      <x:c r="A51" s="55"/>
      <x:c r="B51" s="55"/>
      <x:c r="C51" s="60"/>
      <x:c r="D51" s="55"/>
      <x:c r="E51" s="55"/>
      <x:c r="F51" s="55"/>
      <x:c r="G51" s="56"/>
      <x:c r="H51" s="55"/>
      <x:c r="I51" s="63"/>
      <x:c r="J51" s="63"/>
      <x:c r="K51" s="65" t="str">
        <x:f>IF(COUNT(I51:J51)&lt;2,"",MAX(I51-J51,0))</x:f>
      </x:c>
      <x:c r="L51" s="63"/>
      <x:c r="M51" s="68"/>
      <x:c r="N51" s="68"/>
      <x:c r="O51" s="55"/>
      <x:c r="P51" s="55"/>
      <x:c r="Q51" s="56"/>
      <x:c r="R51" s="56"/>
      <x:c r="S51" s="55"/>
      <x:c r="T51" s="55"/>
      <x:c r="U51" s="63"/>
      <x:c r="V51" s="63"/>
      <x:c r="W51" s="55"/>
      <x:c r="X51" s="55"/>
      <x:c r="Y51" s="55"/>
      <x:c r="Z51" s="55"/>
      <x:c r="AA51" s="55"/>
      <x:c r="AB51" s="55"/>
      <x:c r="AC51" s="55"/>
      <x:c r="AD51" s="57"/>
      <x:c r="AE51" s="55"/>
      <x:c r="AF51" s="56"/>
      <x:c r="AG51" s="63"/>
      <x:c r="AH51" s="55"/>
      <x:c r="AI51" s="56"/>
      <x:c r="AJ51" s="55"/>
    </x:row>
    <x:row r="52" ht="28" customHeight="1">
      <x:c r="A52" s="55"/>
      <x:c r="B52" s="55"/>
      <x:c r="C52" s="60"/>
      <x:c r="D52" s="55"/>
      <x:c r="E52" s="55"/>
      <x:c r="F52" s="55"/>
      <x:c r="G52" s="56"/>
      <x:c r="H52" s="55"/>
      <x:c r="I52" s="63"/>
      <x:c r="J52" s="63"/>
      <x:c r="K52" s="65" t="str">
        <x:f>IF(COUNT(I52:J52)&lt;2,"",MAX(I52-J52,0))</x:f>
      </x:c>
      <x:c r="L52" s="63"/>
      <x:c r="M52" s="68"/>
      <x:c r="N52" s="68"/>
      <x:c r="O52" s="55"/>
      <x:c r="P52" s="55"/>
      <x:c r="Q52" s="56"/>
      <x:c r="R52" s="56"/>
      <x:c r="S52" s="55"/>
      <x:c r="T52" s="55"/>
      <x:c r="U52" s="63"/>
      <x:c r="V52" s="63"/>
      <x:c r="W52" s="55"/>
      <x:c r="X52" s="55"/>
      <x:c r="Y52" s="55"/>
      <x:c r="Z52" s="55"/>
      <x:c r="AA52" s="55"/>
      <x:c r="AB52" s="55"/>
      <x:c r="AC52" s="55"/>
      <x:c r="AD52" s="57"/>
      <x:c r="AE52" s="55"/>
      <x:c r="AF52" s="56"/>
      <x:c r="AG52" s="63"/>
      <x:c r="AH52" s="55"/>
      <x:c r="AI52" s="56"/>
      <x:c r="AJ52" s="55"/>
    </x:row>
    <x:row r="53" ht="28" customHeight="1">
      <x:c r="A53" s="55"/>
      <x:c r="B53" s="55"/>
      <x:c r="C53" s="60"/>
      <x:c r="D53" s="55"/>
      <x:c r="E53" s="55"/>
      <x:c r="F53" s="55"/>
      <x:c r="G53" s="56"/>
      <x:c r="H53" s="55"/>
      <x:c r="I53" s="63"/>
      <x:c r="J53" s="63"/>
      <x:c r="K53" s="65" t="str">
        <x:f>IF(COUNT(I53:J53)&lt;2,"",MAX(I53-J53,0))</x:f>
      </x:c>
      <x:c r="L53" s="63"/>
      <x:c r="M53" s="68"/>
      <x:c r="N53" s="68"/>
      <x:c r="O53" s="55"/>
      <x:c r="P53" s="55"/>
      <x:c r="Q53" s="56"/>
      <x:c r="R53" s="56"/>
      <x:c r="S53" s="55"/>
      <x:c r="T53" s="55"/>
      <x:c r="U53" s="63"/>
      <x:c r="V53" s="63"/>
      <x:c r="W53" s="55"/>
      <x:c r="X53" s="55"/>
      <x:c r="Y53" s="55"/>
      <x:c r="Z53" s="55"/>
      <x:c r="AA53" s="55"/>
      <x:c r="AB53" s="55"/>
      <x:c r="AC53" s="55"/>
      <x:c r="AD53" s="57"/>
      <x:c r="AE53" s="55"/>
      <x:c r="AF53" s="56"/>
      <x:c r="AG53" s="63"/>
      <x:c r="AH53" s="55"/>
      <x:c r="AI53" s="56"/>
      <x:c r="AJ53" s="55"/>
    </x:row>
    <x:row r="54" ht="28" customHeight="1">
      <x:c r="A54" s="55"/>
      <x:c r="B54" s="55"/>
      <x:c r="C54" s="60"/>
      <x:c r="D54" s="55"/>
      <x:c r="E54" s="55"/>
      <x:c r="F54" s="55"/>
      <x:c r="G54" s="56"/>
      <x:c r="H54" s="55"/>
      <x:c r="I54" s="63"/>
      <x:c r="J54" s="63"/>
      <x:c r="K54" s="65" t="str">
        <x:f>IF(COUNT(I54:J54)&lt;2,"",MAX(I54-J54,0))</x:f>
      </x:c>
      <x:c r="L54" s="63"/>
      <x:c r="M54" s="68"/>
      <x:c r="N54" s="68"/>
      <x:c r="O54" s="55"/>
      <x:c r="P54" s="55"/>
      <x:c r="Q54" s="56"/>
      <x:c r="R54" s="56"/>
      <x:c r="S54" s="55"/>
      <x:c r="T54" s="55"/>
      <x:c r="U54" s="63"/>
      <x:c r="V54" s="63"/>
      <x:c r="W54" s="55"/>
      <x:c r="X54" s="55"/>
      <x:c r="Y54" s="55"/>
      <x:c r="Z54" s="55"/>
      <x:c r="AA54" s="55"/>
      <x:c r="AB54" s="55"/>
      <x:c r="AC54" s="55"/>
      <x:c r="AD54" s="57"/>
      <x:c r="AE54" s="55"/>
      <x:c r="AF54" s="56"/>
      <x:c r="AG54" s="63"/>
      <x:c r="AH54" s="55"/>
      <x:c r="AI54" s="56"/>
      <x:c r="AJ54" s="55"/>
    </x:row>
    <x:row r="55" ht="28" customHeight="1">
      <x:c r="A55" s="55"/>
      <x:c r="B55" s="55"/>
      <x:c r="C55" s="60"/>
      <x:c r="D55" s="55"/>
      <x:c r="E55" s="55"/>
      <x:c r="F55" s="55"/>
      <x:c r="G55" s="56"/>
      <x:c r="H55" s="55"/>
      <x:c r="I55" s="63"/>
      <x:c r="J55" s="63"/>
      <x:c r="K55" s="65" t="str">
        <x:f>IF(COUNT(I55:J55)&lt;2,"",MAX(I55-J55,0))</x:f>
      </x:c>
      <x:c r="L55" s="63"/>
      <x:c r="M55" s="68"/>
      <x:c r="N55" s="68"/>
      <x:c r="O55" s="55"/>
      <x:c r="P55" s="55"/>
      <x:c r="Q55" s="56"/>
      <x:c r="R55" s="56"/>
      <x:c r="S55" s="55"/>
      <x:c r="T55" s="55"/>
      <x:c r="U55" s="63"/>
      <x:c r="V55" s="63"/>
      <x:c r="W55" s="55"/>
      <x:c r="X55" s="55"/>
      <x:c r="Y55" s="55"/>
      <x:c r="Z55" s="55"/>
      <x:c r="AA55" s="55"/>
      <x:c r="AB55" s="55"/>
      <x:c r="AC55" s="55"/>
      <x:c r="AD55" s="57"/>
      <x:c r="AE55" s="55"/>
      <x:c r="AF55" s="56"/>
      <x:c r="AG55" s="63"/>
      <x:c r="AH55" s="55"/>
      <x:c r="AI55" s="56"/>
      <x:c r="AJ55" s="55"/>
    </x:row>
    <x:row r="56" ht="28" customHeight="1">
      <x:c r="A56" s="55"/>
      <x:c r="B56" s="55"/>
      <x:c r="C56" s="60"/>
      <x:c r="D56" s="55"/>
      <x:c r="E56" s="55"/>
      <x:c r="F56" s="55"/>
      <x:c r="G56" s="56"/>
      <x:c r="H56" s="55"/>
      <x:c r="I56" s="63"/>
      <x:c r="J56" s="63"/>
      <x:c r="K56" s="65" t="str">
        <x:f>IF(COUNT(I56:J56)&lt;2,"",MAX(I56-J56,0))</x:f>
      </x:c>
      <x:c r="L56" s="63"/>
      <x:c r="M56" s="68"/>
      <x:c r="N56" s="68"/>
      <x:c r="O56" s="55"/>
      <x:c r="P56" s="55"/>
      <x:c r="Q56" s="56"/>
      <x:c r="R56" s="56"/>
      <x:c r="S56" s="55"/>
      <x:c r="T56" s="55"/>
      <x:c r="U56" s="63"/>
      <x:c r="V56" s="63"/>
      <x:c r="W56" s="55"/>
      <x:c r="X56" s="55"/>
      <x:c r="Y56" s="55"/>
      <x:c r="Z56" s="55"/>
      <x:c r="AA56" s="55"/>
      <x:c r="AB56" s="55"/>
      <x:c r="AC56" s="55"/>
      <x:c r="AD56" s="57"/>
      <x:c r="AE56" s="55"/>
      <x:c r="AF56" s="56"/>
      <x:c r="AG56" s="63"/>
      <x:c r="AH56" s="55"/>
      <x:c r="AI56" s="56"/>
      <x:c r="AJ56" s="55"/>
    </x:row>
    <x:row r="57" ht="28" customHeight="1">
      <x:c r="A57" s="55"/>
      <x:c r="B57" s="55"/>
      <x:c r="C57" s="60"/>
      <x:c r="D57" s="55"/>
      <x:c r="E57" s="55"/>
      <x:c r="F57" s="55"/>
      <x:c r="G57" s="56"/>
      <x:c r="H57" s="55"/>
      <x:c r="I57" s="63"/>
      <x:c r="J57" s="63"/>
      <x:c r="K57" s="65" t="str">
        <x:f>IF(COUNT(I57:J57)&lt;2,"",MAX(I57-J57,0))</x:f>
      </x:c>
      <x:c r="L57" s="63"/>
      <x:c r="M57" s="68"/>
      <x:c r="N57" s="68"/>
      <x:c r="O57" s="55"/>
      <x:c r="P57" s="55"/>
      <x:c r="Q57" s="56"/>
      <x:c r="R57" s="56"/>
      <x:c r="S57" s="55"/>
      <x:c r="T57" s="55"/>
      <x:c r="U57" s="63"/>
      <x:c r="V57" s="63"/>
      <x:c r="W57" s="55"/>
      <x:c r="X57" s="55"/>
      <x:c r="Y57" s="55"/>
      <x:c r="Z57" s="55"/>
      <x:c r="AA57" s="55"/>
      <x:c r="AB57" s="55"/>
      <x:c r="AC57" s="55"/>
      <x:c r="AD57" s="57"/>
      <x:c r="AE57" s="55"/>
      <x:c r="AF57" s="56"/>
      <x:c r="AG57" s="63"/>
      <x:c r="AH57" s="55"/>
      <x:c r="AI57" s="56"/>
      <x:c r="AJ57" s="55"/>
    </x:row>
    <x:row r="58" ht="28" customHeight="1">
      <x:c r="A58" s="55"/>
      <x:c r="B58" s="55"/>
      <x:c r="C58" s="60"/>
      <x:c r="D58" s="55"/>
      <x:c r="E58" s="55"/>
      <x:c r="F58" s="55"/>
      <x:c r="G58" s="56"/>
      <x:c r="H58" s="55"/>
      <x:c r="I58" s="63"/>
      <x:c r="J58" s="63"/>
      <x:c r="K58" s="65" t="str">
        <x:f>IF(COUNT(I58:J58)&lt;2,"",MAX(I58-J58,0))</x:f>
      </x:c>
      <x:c r="L58" s="63"/>
      <x:c r="M58" s="68"/>
      <x:c r="N58" s="68"/>
      <x:c r="O58" s="55"/>
      <x:c r="P58" s="55"/>
      <x:c r="Q58" s="56"/>
      <x:c r="R58" s="56"/>
      <x:c r="S58" s="55"/>
      <x:c r="T58" s="55"/>
      <x:c r="U58" s="63"/>
      <x:c r="V58" s="63"/>
      <x:c r="W58" s="55"/>
      <x:c r="X58" s="55"/>
      <x:c r="Y58" s="55"/>
      <x:c r="Z58" s="55"/>
      <x:c r="AA58" s="55"/>
      <x:c r="AB58" s="55"/>
      <x:c r="AC58" s="55"/>
      <x:c r="AD58" s="57"/>
      <x:c r="AE58" s="55"/>
      <x:c r="AF58" s="56"/>
      <x:c r="AG58" s="63"/>
      <x:c r="AH58" s="55"/>
      <x:c r="AI58" s="56"/>
      <x:c r="AJ58" s="55"/>
    </x:row>
    <x:row r="59" ht="28" customHeight="1">
      <x:c r="A59" s="55"/>
      <x:c r="B59" s="55"/>
      <x:c r="C59" s="60"/>
      <x:c r="D59" s="55"/>
      <x:c r="E59" s="55"/>
      <x:c r="F59" s="55"/>
      <x:c r="G59" s="56"/>
      <x:c r="H59" s="55"/>
      <x:c r="I59" s="63"/>
      <x:c r="J59" s="63"/>
      <x:c r="K59" s="65" t="str">
        <x:f>IF(COUNT(I59:J59)&lt;2,"",MAX(I59-J59,0))</x:f>
      </x:c>
      <x:c r="L59" s="63"/>
      <x:c r="M59" s="68"/>
      <x:c r="N59" s="68"/>
      <x:c r="O59" s="55"/>
      <x:c r="P59" s="55"/>
      <x:c r="Q59" s="56"/>
      <x:c r="R59" s="56"/>
      <x:c r="S59" s="55"/>
      <x:c r="T59" s="55"/>
      <x:c r="U59" s="63"/>
      <x:c r="V59" s="63"/>
      <x:c r="W59" s="55"/>
      <x:c r="X59" s="55"/>
      <x:c r="Y59" s="55"/>
      <x:c r="Z59" s="55"/>
      <x:c r="AA59" s="55"/>
      <x:c r="AB59" s="55"/>
      <x:c r="AC59" s="55"/>
      <x:c r="AD59" s="57"/>
      <x:c r="AE59" s="55"/>
      <x:c r="AF59" s="56"/>
      <x:c r="AG59" s="63"/>
      <x:c r="AH59" s="55"/>
      <x:c r="AI59" s="56"/>
      <x:c r="AJ59" s="55"/>
    </x:row>
    <x:row r="60" ht="28" customHeight="1">
      <x:c r="A60" s="55"/>
      <x:c r="B60" s="55"/>
      <x:c r="C60" s="60"/>
      <x:c r="D60" s="55"/>
      <x:c r="E60" s="55"/>
      <x:c r="F60" s="55"/>
      <x:c r="G60" s="56"/>
      <x:c r="H60" s="55"/>
      <x:c r="I60" s="63"/>
      <x:c r="J60" s="63"/>
      <x:c r="K60" s="65" t="str">
        <x:f>IF(COUNT(I60:J60)&lt;2,"",MAX(I60-J60,0))</x:f>
      </x:c>
      <x:c r="L60" s="63"/>
      <x:c r="M60" s="68"/>
      <x:c r="N60" s="68"/>
      <x:c r="O60" s="55"/>
      <x:c r="P60" s="55"/>
      <x:c r="Q60" s="56"/>
      <x:c r="R60" s="56"/>
      <x:c r="S60" s="55"/>
      <x:c r="T60" s="55"/>
      <x:c r="U60" s="63"/>
      <x:c r="V60" s="63"/>
      <x:c r="W60" s="55"/>
      <x:c r="X60" s="55"/>
      <x:c r="Y60" s="55"/>
      <x:c r="Z60" s="55"/>
      <x:c r="AA60" s="55"/>
      <x:c r="AB60" s="55"/>
      <x:c r="AC60" s="55"/>
      <x:c r="AD60" s="57"/>
      <x:c r="AE60" s="55"/>
      <x:c r="AF60" s="56"/>
      <x:c r="AG60" s="63"/>
      <x:c r="AH60" s="55"/>
      <x:c r="AI60" s="56"/>
      <x:c r="AJ60" s="55"/>
    </x:row>
    <x:row r="61" ht="28" customHeight="1">
      <x:c r="A61" s="55"/>
      <x:c r="B61" s="55"/>
      <x:c r="C61" s="60"/>
      <x:c r="D61" s="55"/>
      <x:c r="E61" s="55"/>
      <x:c r="F61" s="55"/>
      <x:c r="G61" s="56"/>
      <x:c r="H61" s="55"/>
      <x:c r="I61" s="63"/>
      <x:c r="J61" s="63"/>
      <x:c r="K61" s="65" t="str">
        <x:f>IF(COUNT(I61:J61)&lt;2,"",MAX(I61-J61,0))</x:f>
      </x:c>
      <x:c r="L61" s="63"/>
      <x:c r="M61" s="68"/>
      <x:c r="N61" s="68"/>
      <x:c r="O61" s="55"/>
      <x:c r="P61" s="55"/>
      <x:c r="Q61" s="56"/>
      <x:c r="R61" s="56"/>
      <x:c r="S61" s="55"/>
      <x:c r="T61" s="55"/>
      <x:c r="U61" s="63"/>
      <x:c r="V61" s="63"/>
      <x:c r="W61" s="55"/>
      <x:c r="X61" s="55"/>
      <x:c r="Y61" s="55"/>
      <x:c r="Z61" s="55"/>
      <x:c r="AA61" s="55"/>
      <x:c r="AB61" s="55"/>
      <x:c r="AC61" s="55"/>
      <x:c r="AD61" s="57"/>
      <x:c r="AE61" s="55"/>
      <x:c r="AF61" s="56"/>
      <x:c r="AG61" s="63"/>
      <x:c r="AH61" s="55"/>
      <x:c r="AI61" s="56"/>
      <x:c r="AJ61" s="55"/>
    </x:row>
    <x:row r="62" ht="28" customHeight="1">
      <x:c r="A62" s="55"/>
      <x:c r="B62" s="55"/>
      <x:c r="C62" s="60"/>
      <x:c r="D62" s="55"/>
      <x:c r="E62" s="55"/>
      <x:c r="F62" s="55"/>
      <x:c r="G62" s="56"/>
      <x:c r="H62" s="55"/>
      <x:c r="I62" s="63"/>
      <x:c r="J62" s="63"/>
      <x:c r="K62" s="65" t="str">
        <x:f>IF(COUNT(I62:J62)&lt;2,"",MAX(I62-J62,0))</x:f>
      </x:c>
      <x:c r="L62" s="63"/>
      <x:c r="M62" s="68"/>
      <x:c r="N62" s="68"/>
      <x:c r="O62" s="55"/>
      <x:c r="P62" s="55"/>
      <x:c r="Q62" s="56"/>
      <x:c r="R62" s="56"/>
      <x:c r="S62" s="55"/>
      <x:c r="T62" s="55"/>
      <x:c r="U62" s="63"/>
      <x:c r="V62" s="63"/>
      <x:c r="W62" s="55"/>
      <x:c r="X62" s="55"/>
      <x:c r="Y62" s="55"/>
      <x:c r="Z62" s="55"/>
      <x:c r="AA62" s="55"/>
      <x:c r="AB62" s="55"/>
      <x:c r="AC62" s="55"/>
      <x:c r="AD62" s="57"/>
      <x:c r="AE62" s="55"/>
      <x:c r="AF62" s="56"/>
      <x:c r="AG62" s="63"/>
      <x:c r="AH62" s="55"/>
      <x:c r="AI62" s="56"/>
      <x:c r="AJ62" s="55"/>
    </x:row>
    <x:row r="63" ht="28" customHeight="1">
      <x:c r="A63" s="55"/>
      <x:c r="B63" s="55"/>
      <x:c r="C63" s="60"/>
      <x:c r="D63" s="55"/>
      <x:c r="E63" s="55"/>
      <x:c r="F63" s="55"/>
      <x:c r="G63" s="56"/>
      <x:c r="H63" s="55"/>
      <x:c r="I63" s="63"/>
      <x:c r="J63" s="63"/>
      <x:c r="K63" s="65" t="str">
        <x:f>IF(COUNT(I63:J63)&lt;2,"",MAX(I63-J63,0))</x:f>
      </x:c>
      <x:c r="L63" s="63"/>
      <x:c r="M63" s="68"/>
      <x:c r="N63" s="68"/>
      <x:c r="O63" s="55"/>
      <x:c r="P63" s="55"/>
      <x:c r="Q63" s="56"/>
      <x:c r="R63" s="56"/>
      <x:c r="S63" s="55"/>
      <x:c r="T63" s="55"/>
      <x:c r="U63" s="63"/>
      <x:c r="V63" s="63"/>
      <x:c r="W63" s="55"/>
      <x:c r="X63" s="55"/>
      <x:c r="Y63" s="55"/>
      <x:c r="Z63" s="55"/>
      <x:c r="AA63" s="55"/>
      <x:c r="AB63" s="55"/>
      <x:c r="AC63" s="55"/>
      <x:c r="AD63" s="57"/>
      <x:c r="AE63" s="55"/>
      <x:c r="AF63" s="56"/>
      <x:c r="AG63" s="63"/>
      <x:c r="AH63" s="55"/>
      <x:c r="AI63" s="56"/>
      <x:c r="AJ63" s="55"/>
    </x:row>
    <x:row r="64" ht="28" customHeight="1">
      <x:c r="A64" s="55"/>
      <x:c r="B64" s="55"/>
      <x:c r="C64" s="60"/>
      <x:c r="D64" s="55"/>
      <x:c r="E64" s="55"/>
      <x:c r="F64" s="55"/>
      <x:c r="G64" s="56"/>
      <x:c r="H64" s="55"/>
      <x:c r="I64" s="63"/>
      <x:c r="J64" s="63"/>
      <x:c r="K64" s="65" t="str">
        <x:f>IF(COUNT(I64:J64)&lt;2,"",MAX(I64-J64,0))</x:f>
      </x:c>
      <x:c r="L64" s="63"/>
      <x:c r="M64" s="68"/>
      <x:c r="N64" s="68"/>
      <x:c r="O64" s="55"/>
      <x:c r="P64" s="55"/>
      <x:c r="Q64" s="56"/>
      <x:c r="R64" s="56"/>
      <x:c r="S64" s="55"/>
      <x:c r="T64" s="55"/>
      <x:c r="U64" s="63"/>
      <x:c r="V64" s="63"/>
      <x:c r="W64" s="55"/>
      <x:c r="X64" s="55"/>
      <x:c r="Y64" s="55"/>
      <x:c r="Z64" s="55"/>
      <x:c r="AA64" s="55"/>
      <x:c r="AB64" s="55"/>
      <x:c r="AC64" s="55"/>
      <x:c r="AD64" s="57"/>
      <x:c r="AE64" s="55"/>
      <x:c r="AF64" s="56"/>
      <x:c r="AG64" s="63"/>
      <x:c r="AH64" s="55"/>
      <x:c r="AI64" s="56"/>
      <x:c r="AJ64" s="55"/>
    </x:row>
    <x:row r="65" ht="28" customHeight="1">
      <x:c r="A65" s="55"/>
      <x:c r="B65" s="55"/>
      <x:c r="C65" s="60"/>
      <x:c r="D65" s="55"/>
      <x:c r="E65" s="55"/>
      <x:c r="F65" s="55"/>
      <x:c r="G65" s="56"/>
      <x:c r="H65" s="55"/>
      <x:c r="I65" s="63"/>
      <x:c r="J65" s="63"/>
      <x:c r="K65" s="65" t="str">
        <x:f>IF(COUNT(I65:J65)&lt;2,"",MAX(I65-J65,0))</x:f>
      </x:c>
      <x:c r="L65" s="63"/>
      <x:c r="M65" s="68"/>
      <x:c r="N65" s="68"/>
      <x:c r="O65" s="55"/>
      <x:c r="P65" s="55"/>
      <x:c r="Q65" s="56"/>
      <x:c r="R65" s="56"/>
      <x:c r="S65" s="55"/>
      <x:c r="T65" s="55"/>
      <x:c r="U65" s="63"/>
      <x:c r="V65" s="63"/>
      <x:c r="W65" s="55"/>
      <x:c r="X65" s="55"/>
      <x:c r="Y65" s="55"/>
      <x:c r="Z65" s="55"/>
      <x:c r="AA65" s="55"/>
      <x:c r="AB65" s="55"/>
      <x:c r="AC65" s="55"/>
      <x:c r="AD65" s="57"/>
      <x:c r="AE65" s="55"/>
      <x:c r="AF65" s="56"/>
      <x:c r="AG65" s="63"/>
      <x:c r="AH65" s="55"/>
      <x:c r="AI65" s="56"/>
      <x:c r="AJ65" s="55"/>
    </x:row>
    <x:row r="66" ht="28" customHeight="1">
      <x:c r="A66" s="55"/>
      <x:c r="B66" s="55"/>
      <x:c r="C66" s="60"/>
      <x:c r="D66" s="55"/>
      <x:c r="E66" s="55"/>
      <x:c r="F66" s="55"/>
      <x:c r="G66" s="56"/>
      <x:c r="H66" s="55"/>
      <x:c r="I66" s="63"/>
      <x:c r="J66" s="63"/>
      <x:c r="K66" s="65" t="str">
        <x:f>IF(COUNT(I66:J66)&lt;2,"",MAX(I66-J66,0))</x:f>
      </x:c>
      <x:c r="L66" s="63"/>
      <x:c r="M66" s="68"/>
      <x:c r="N66" s="68"/>
      <x:c r="O66" s="55"/>
      <x:c r="P66" s="55"/>
      <x:c r="Q66" s="56"/>
      <x:c r="R66" s="56"/>
      <x:c r="S66" s="55"/>
      <x:c r="T66" s="55"/>
      <x:c r="U66" s="63"/>
      <x:c r="V66" s="63"/>
      <x:c r="W66" s="55"/>
      <x:c r="X66" s="55"/>
      <x:c r="Y66" s="55"/>
      <x:c r="Z66" s="55"/>
      <x:c r="AA66" s="55"/>
      <x:c r="AB66" s="55"/>
      <x:c r="AC66" s="55"/>
      <x:c r="AD66" s="57"/>
      <x:c r="AE66" s="55"/>
      <x:c r="AF66" s="56"/>
      <x:c r="AG66" s="63"/>
      <x:c r="AH66" s="55"/>
      <x:c r="AI66" s="56"/>
      <x:c r="AJ66" s="55"/>
    </x:row>
    <x:row r="67" ht="28" customHeight="1">
      <x:c r="A67" s="55"/>
      <x:c r="B67" s="55"/>
      <x:c r="C67" s="60"/>
      <x:c r="D67" s="55"/>
      <x:c r="E67" s="55"/>
      <x:c r="F67" s="55"/>
      <x:c r="G67" s="56"/>
      <x:c r="H67" s="55"/>
      <x:c r="I67" s="63"/>
      <x:c r="J67" s="63"/>
      <x:c r="K67" s="65" t="str">
        <x:f>IF(COUNT(I67:J67)&lt;2,"",MAX(I67-J67,0))</x:f>
      </x:c>
      <x:c r="L67" s="63"/>
      <x:c r="M67" s="68"/>
      <x:c r="N67" s="68"/>
      <x:c r="O67" s="55"/>
      <x:c r="P67" s="55"/>
      <x:c r="Q67" s="56"/>
      <x:c r="R67" s="56"/>
      <x:c r="S67" s="55"/>
      <x:c r="T67" s="55"/>
      <x:c r="U67" s="63"/>
      <x:c r="V67" s="63"/>
      <x:c r="W67" s="55"/>
      <x:c r="X67" s="55"/>
      <x:c r="Y67" s="55"/>
      <x:c r="Z67" s="55"/>
      <x:c r="AA67" s="55"/>
      <x:c r="AB67" s="55"/>
      <x:c r="AC67" s="55"/>
      <x:c r="AD67" s="57"/>
      <x:c r="AE67" s="55"/>
      <x:c r="AF67" s="56"/>
      <x:c r="AG67" s="63"/>
      <x:c r="AH67" s="55"/>
      <x:c r="AI67" s="56"/>
      <x:c r="AJ67" s="55"/>
    </x:row>
    <x:row r="68" ht="28" customHeight="1">
      <x:c r="A68" s="55"/>
      <x:c r="B68" s="55"/>
      <x:c r="C68" s="60"/>
      <x:c r="D68" s="55"/>
      <x:c r="E68" s="55"/>
      <x:c r="F68" s="55"/>
      <x:c r="G68" s="56"/>
      <x:c r="H68" s="55"/>
      <x:c r="I68" s="63"/>
      <x:c r="J68" s="63"/>
      <x:c r="K68" s="65" t="str">
        <x:f>IF(COUNT(I68:J68)&lt;2,"",MAX(I68-J68,0))</x:f>
      </x:c>
      <x:c r="L68" s="63"/>
      <x:c r="M68" s="68"/>
      <x:c r="N68" s="68"/>
      <x:c r="O68" s="55"/>
      <x:c r="P68" s="55"/>
      <x:c r="Q68" s="56"/>
      <x:c r="R68" s="56"/>
      <x:c r="S68" s="55"/>
      <x:c r="T68" s="55"/>
      <x:c r="U68" s="63"/>
      <x:c r="V68" s="63"/>
      <x:c r="W68" s="55"/>
      <x:c r="X68" s="55"/>
      <x:c r="Y68" s="55"/>
      <x:c r="Z68" s="55"/>
      <x:c r="AA68" s="55"/>
      <x:c r="AB68" s="55"/>
      <x:c r="AC68" s="55"/>
      <x:c r="AD68" s="57"/>
      <x:c r="AE68" s="55"/>
      <x:c r="AF68" s="56"/>
      <x:c r="AG68" s="63"/>
      <x:c r="AH68" s="55"/>
      <x:c r="AI68" s="56"/>
      <x:c r="AJ68" s="55"/>
    </x:row>
    <x:row r="69" ht="28" customHeight="1">
      <x:c r="A69" s="55"/>
      <x:c r="B69" s="55"/>
      <x:c r="C69" s="60"/>
      <x:c r="D69" s="55"/>
      <x:c r="E69" s="55"/>
      <x:c r="F69" s="55"/>
      <x:c r="G69" s="56"/>
      <x:c r="H69" s="55"/>
      <x:c r="I69" s="63"/>
      <x:c r="J69" s="63"/>
      <x:c r="K69" s="65" t="str">
        <x:f>IF(COUNT(I69:J69)&lt;2,"",MAX(I69-J69,0))</x:f>
      </x:c>
      <x:c r="L69" s="63"/>
      <x:c r="M69" s="68"/>
      <x:c r="N69" s="68"/>
      <x:c r="O69" s="55"/>
      <x:c r="P69" s="55"/>
      <x:c r="Q69" s="56"/>
      <x:c r="R69" s="56"/>
      <x:c r="S69" s="55"/>
      <x:c r="T69" s="55"/>
      <x:c r="U69" s="63"/>
      <x:c r="V69" s="63"/>
      <x:c r="W69" s="55"/>
      <x:c r="X69" s="55"/>
      <x:c r="Y69" s="55"/>
      <x:c r="Z69" s="55"/>
      <x:c r="AA69" s="55"/>
      <x:c r="AB69" s="55"/>
      <x:c r="AC69" s="55"/>
      <x:c r="AD69" s="57"/>
      <x:c r="AE69" s="55"/>
      <x:c r="AF69" s="56"/>
      <x:c r="AG69" s="63"/>
      <x:c r="AH69" s="55"/>
      <x:c r="AI69" s="56"/>
      <x:c r="AJ69" s="55"/>
    </x:row>
    <x:row r="70" ht="28" customHeight="1">
      <x:c r="A70" s="55"/>
      <x:c r="B70" s="55"/>
      <x:c r="C70" s="60"/>
      <x:c r="D70" s="55"/>
      <x:c r="E70" s="55"/>
      <x:c r="F70" s="55"/>
      <x:c r="G70" s="56"/>
      <x:c r="H70" s="55"/>
      <x:c r="I70" s="63"/>
      <x:c r="J70" s="63"/>
      <x:c r="K70" s="65" t="str">
        <x:f>IF(COUNT(I70:J70)&lt;2,"",MAX(I70-J70,0))</x:f>
      </x:c>
      <x:c r="L70" s="63"/>
      <x:c r="M70" s="68"/>
      <x:c r="N70" s="68"/>
      <x:c r="O70" s="55"/>
      <x:c r="P70" s="55"/>
      <x:c r="Q70" s="56"/>
      <x:c r="R70" s="56"/>
      <x:c r="S70" s="55"/>
      <x:c r="T70" s="55"/>
      <x:c r="U70" s="63"/>
      <x:c r="V70" s="63"/>
      <x:c r="W70" s="55"/>
      <x:c r="X70" s="55"/>
      <x:c r="Y70" s="55"/>
      <x:c r="Z70" s="55"/>
      <x:c r="AA70" s="55"/>
      <x:c r="AB70" s="55"/>
      <x:c r="AC70" s="55"/>
      <x:c r="AD70" s="57"/>
      <x:c r="AE70" s="55"/>
      <x:c r="AF70" s="56"/>
      <x:c r="AG70" s="63"/>
      <x:c r="AH70" s="55"/>
      <x:c r="AI70" s="56"/>
      <x:c r="AJ70" s="55"/>
    </x:row>
    <x:row r="71" ht="28" customHeight="1">
      <x:c r="A71" s="55"/>
      <x:c r="B71" s="55"/>
      <x:c r="C71" s="60"/>
      <x:c r="D71" s="55"/>
      <x:c r="E71" s="55"/>
      <x:c r="F71" s="55"/>
      <x:c r="G71" s="56"/>
      <x:c r="H71" s="55"/>
      <x:c r="I71" s="63"/>
      <x:c r="J71" s="63"/>
      <x:c r="K71" s="65" t="str">
        <x:f>IF(COUNT(I71:J71)&lt;2,"",MAX(I71-J71,0))</x:f>
      </x:c>
      <x:c r="L71" s="63"/>
      <x:c r="M71" s="68"/>
      <x:c r="N71" s="68"/>
      <x:c r="O71" s="55"/>
      <x:c r="P71" s="55"/>
      <x:c r="Q71" s="56"/>
      <x:c r="R71" s="56"/>
      <x:c r="S71" s="55"/>
      <x:c r="T71" s="55"/>
      <x:c r="U71" s="63"/>
      <x:c r="V71" s="63"/>
      <x:c r="W71" s="55"/>
      <x:c r="X71" s="55"/>
      <x:c r="Y71" s="55"/>
      <x:c r="Z71" s="55"/>
      <x:c r="AA71" s="55"/>
      <x:c r="AB71" s="55"/>
      <x:c r="AC71" s="55"/>
      <x:c r="AD71" s="57"/>
      <x:c r="AE71" s="55"/>
      <x:c r="AF71" s="56"/>
      <x:c r="AG71" s="63"/>
      <x:c r="AH71" s="55"/>
      <x:c r="AI71" s="56"/>
      <x:c r="AJ71" s="55"/>
    </x:row>
    <x:row r="72" ht="28" customHeight="1">
      <x:c r="A72" s="55"/>
      <x:c r="B72" s="55"/>
      <x:c r="C72" s="60"/>
      <x:c r="D72" s="55"/>
      <x:c r="E72" s="55"/>
      <x:c r="F72" s="55"/>
      <x:c r="G72" s="56"/>
      <x:c r="H72" s="55"/>
      <x:c r="I72" s="63"/>
      <x:c r="J72" s="63"/>
      <x:c r="K72" s="65" t="str">
        <x:f>IF(COUNT(I72:J72)&lt;2,"",MAX(I72-J72,0))</x:f>
      </x:c>
      <x:c r="L72" s="63"/>
      <x:c r="M72" s="68"/>
      <x:c r="N72" s="68"/>
      <x:c r="O72" s="55"/>
      <x:c r="P72" s="55"/>
      <x:c r="Q72" s="56"/>
      <x:c r="R72" s="56"/>
      <x:c r="S72" s="55"/>
      <x:c r="T72" s="55"/>
      <x:c r="U72" s="63"/>
      <x:c r="V72" s="63"/>
      <x:c r="W72" s="55"/>
      <x:c r="X72" s="55"/>
      <x:c r="Y72" s="55"/>
      <x:c r="Z72" s="55"/>
      <x:c r="AA72" s="55"/>
      <x:c r="AB72" s="55"/>
      <x:c r="AC72" s="55"/>
      <x:c r="AD72" s="57"/>
      <x:c r="AE72" s="55"/>
      <x:c r="AF72" s="56"/>
      <x:c r="AG72" s="63"/>
      <x:c r="AH72" s="55"/>
      <x:c r="AI72" s="56"/>
      <x:c r="AJ72" s="55"/>
    </x:row>
    <x:row r="73" ht="28" customHeight="1">
      <x:c r="A73" s="55"/>
      <x:c r="B73" s="55"/>
      <x:c r="C73" s="60"/>
      <x:c r="D73" s="55"/>
      <x:c r="E73" s="55"/>
      <x:c r="F73" s="55"/>
      <x:c r="G73" s="56"/>
      <x:c r="H73" s="55"/>
      <x:c r="I73" s="63"/>
      <x:c r="J73" s="63"/>
      <x:c r="K73" s="65" t="str">
        <x:f>IF(COUNT(I73:J73)&lt;2,"",MAX(I73-J73,0))</x:f>
      </x:c>
      <x:c r="L73" s="63"/>
      <x:c r="M73" s="68"/>
      <x:c r="N73" s="68"/>
      <x:c r="O73" s="55"/>
      <x:c r="P73" s="55"/>
      <x:c r="Q73" s="56"/>
      <x:c r="R73" s="56"/>
      <x:c r="S73" s="55"/>
      <x:c r="T73" s="55"/>
      <x:c r="U73" s="63"/>
      <x:c r="V73" s="63"/>
      <x:c r="W73" s="55"/>
      <x:c r="X73" s="55"/>
      <x:c r="Y73" s="55"/>
      <x:c r="Z73" s="55"/>
      <x:c r="AA73" s="55"/>
      <x:c r="AB73" s="55"/>
      <x:c r="AC73" s="55"/>
      <x:c r="AD73" s="57"/>
      <x:c r="AE73" s="55"/>
      <x:c r="AF73" s="56"/>
      <x:c r="AG73" s="63"/>
      <x:c r="AH73" s="55"/>
      <x:c r="AI73" s="56"/>
      <x:c r="AJ73" s="55"/>
    </x:row>
    <x:row r="74" ht="28" customHeight="1">
      <x:c r="A74" s="55"/>
      <x:c r="B74" s="55"/>
      <x:c r="C74" s="60"/>
      <x:c r="D74" s="55"/>
      <x:c r="E74" s="55"/>
      <x:c r="F74" s="55"/>
      <x:c r="G74" s="56"/>
      <x:c r="H74" s="55"/>
      <x:c r="I74" s="63"/>
      <x:c r="J74" s="63"/>
      <x:c r="K74" s="65" t="str">
        <x:f>IF(COUNT(I74:J74)&lt;2,"",MAX(I74-J74,0))</x:f>
      </x:c>
      <x:c r="L74" s="63"/>
      <x:c r="M74" s="68"/>
      <x:c r="N74" s="68"/>
      <x:c r="O74" s="55"/>
      <x:c r="P74" s="55"/>
      <x:c r="Q74" s="56"/>
      <x:c r="R74" s="56"/>
      <x:c r="S74" s="55"/>
      <x:c r="T74" s="55"/>
      <x:c r="U74" s="63"/>
      <x:c r="V74" s="63"/>
      <x:c r="W74" s="55"/>
      <x:c r="X74" s="55"/>
      <x:c r="Y74" s="55"/>
      <x:c r="Z74" s="55"/>
      <x:c r="AA74" s="55"/>
      <x:c r="AB74" s="55"/>
      <x:c r="AC74" s="55"/>
      <x:c r="AD74" s="57"/>
      <x:c r="AE74" s="55"/>
      <x:c r="AF74" s="56"/>
      <x:c r="AG74" s="63"/>
      <x:c r="AH74" s="55"/>
      <x:c r="AI74" s="56"/>
      <x:c r="AJ74" s="55"/>
    </x:row>
    <x:row r="75" ht="28" customHeight="1">
      <x:c r="A75" s="55"/>
      <x:c r="B75" s="55"/>
      <x:c r="C75" s="60"/>
      <x:c r="D75" s="55"/>
      <x:c r="E75" s="55"/>
      <x:c r="F75" s="55"/>
      <x:c r="G75" s="56"/>
      <x:c r="H75" s="55"/>
      <x:c r="I75" s="63"/>
      <x:c r="J75" s="63"/>
      <x:c r="K75" s="65" t="str">
        <x:f>IF(COUNT(I75:J75)&lt;2,"",MAX(I75-J75,0))</x:f>
      </x:c>
      <x:c r="L75" s="63"/>
      <x:c r="M75" s="68"/>
      <x:c r="N75" s="68"/>
      <x:c r="O75" s="55"/>
      <x:c r="P75" s="55"/>
      <x:c r="Q75" s="56"/>
      <x:c r="R75" s="56"/>
      <x:c r="S75" s="55"/>
      <x:c r="T75" s="55"/>
      <x:c r="U75" s="63"/>
      <x:c r="V75" s="63"/>
      <x:c r="W75" s="55"/>
      <x:c r="X75" s="55"/>
      <x:c r="Y75" s="55"/>
      <x:c r="Z75" s="55"/>
      <x:c r="AA75" s="55"/>
      <x:c r="AB75" s="55"/>
      <x:c r="AC75" s="55"/>
      <x:c r="AD75" s="57"/>
      <x:c r="AE75" s="55"/>
      <x:c r="AF75" s="56"/>
      <x:c r="AG75" s="63"/>
      <x:c r="AH75" s="55"/>
      <x:c r="AI75" s="56"/>
      <x:c r="AJ75" s="55"/>
    </x:row>
    <x:row r="76" ht="28" customHeight="1">
      <x:c r="A76" s="55"/>
      <x:c r="B76" s="55"/>
      <x:c r="C76" s="60"/>
      <x:c r="D76" s="55"/>
      <x:c r="E76" s="55"/>
      <x:c r="F76" s="55"/>
      <x:c r="G76" s="56"/>
      <x:c r="H76" s="55"/>
      <x:c r="I76" s="63"/>
      <x:c r="J76" s="63"/>
      <x:c r="K76" s="65" t="str">
        <x:f>IF(COUNT(I76:J76)&lt;2,"",MAX(I76-J76,0))</x:f>
      </x:c>
      <x:c r="L76" s="63"/>
      <x:c r="M76" s="68"/>
      <x:c r="N76" s="68"/>
      <x:c r="O76" s="55"/>
      <x:c r="P76" s="55"/>
      <x:c r="Q76" s="56"/>
      <x:c r="R76" s="56"/>
      <x:c r="S76" s="55"/>
      <x:c r="T76" s="55"/>
      <x:c r="U76" s="63"/>
      <x:c r="V76" s="63"/>
      <x:c r="W76" s="55"/>
      <x:c r="X76" s="55"/>
      <x:c r="Y76" s="55"/>
      <x:c r="Z76" s="55"/>
      <x:c r="AA76" s="55"/>
      <x:c r="AB76" s="55"/>
      <x:c r="AC76" s="55"/>
      <x:c r="AD76" s="57"/>
      <x:c r="AE76" s="55"/>
      <x:c r="AF76" s="56"/>
      <x:c r="AG76" s="63"/>
      <x:c r="AH76" s="55"/>
      <x:c r="AI76" s="56"/>
      <x:c r="AJ76" s="55"/>
    </x:row>
    <x:row r="77" ht="28" customHeight="1">
      <x:c r="A77" s="55"/>
      <x:c r="B77" s="55"/>
      <x:c r="C77" s="60"/>
      <x:c r="D77" s="55"/>
      <x:c r="E77" s="55"/>
      <x:c r="F77" s="55"/>
      <x:c r="G77" s="56"/>
      <x:c r="H77" s="55"/>
      <x:c r="I77" s="63"/>
      <x:c r="J77" s="63"/>
      <x:c r="K77" s="65" t="str">
        <x:f>IF(COUNT(I77:J77)&lt;2,"",MAX(I77-J77,0))</x:f>
      </x:c>
      <x:c r="L77" s="63"/>
      <x:c r="M77" s="68"/>
      <x:c r="N77" s="68"/>
      <x:c r="O77" s="55"/>
      <x:c r="P77" s="55"/>
      <x:c r="Q77" s="56"/>
      <x:c r="R77" s="56"/>
      <x:c r="S77" s="55"/>
      <x:c r="T77" s="55"/>
      <x:c r="U77" s="63"/>
      <x:c r="V77" s="63"/>
      <x:c r="W77" s="55"/>
      <x:c r="X77" s="55"/>
      <x:c r="Y77" s="55"/>
      <x:c r="Z77" s="55"/>
      <x:c r="AA77" s="55"/>
      <x:c r="AB77" s="55"/>
      <x:c r="AC77" s="55"/>
      <x:c r="AD77" s="57"/>
      <x:c r="AE77" s="55"/>
      <x:c r="AF77" s="56"/>
      <x:c r="AG77" s="63"/>
      <x:c r="AH77" s="55"/>
      <x:c r="AI77" s="56"/>
      <x:c r="AJ77" s="55"/>
    </x:row>
    <x:row r="78" ht="28" customHeight="1">
      <x:c r="A78" s="55"/>
      <x:c r="B78" s="55"/>
      <x:c r="C78" s="60"/>
      <x:c r="D78" s="55"/>
      <x:c r="E78" s="55"/>
      <x:c r="F78" s="55"/>
      <x:c r="G78" s="56"/>
      <x:c r="H78" s="55"/>
      <x:c r="I78" s="63"/>
      <x:c r="J78" s="63"/>
      <x:c r="K78" s="65" t="str">
        <x:f>IF(COUNT(I78:J78)&lt;2,"",MAX(I78-J78,0))</x:f>
      </x:c>
      <x:c r="L78" s="63"/>
      <x:c r="M78" s="68"/>
      <x:c r="N78" s="68"/>
      <x:c r="O78" s="55"/>
      <x:c r="P78" s="55"/>
      <x:c r="Q78" s="56"/>
      <x:c r="R78" s="56"/>
      <x:c r="S78" s="55"/>
      <x:c r="T78" s="55"/>
      <x:c r="U78" s="63"/>
      <x:c r="V78" s="63"/>
      <x:c r="W78" s="55"/>
      <x:c r="X78" s="55"/>
      <x:c r="Y78" s="55"/>
      <x:c r="Z78" s="55"/>
      <x:c r="AA78" s="55"/>
      <x:c r="AB78" s="55"/>
      <x:c r="AC78" s="55"/>
      <x:c r="AD78" s="57"/>
      <x:c r="AE78" s="55"/>
      <x:c r="AF78" s="56"/>
      <x:c r="AG78" s="63"/>
      <x:c r="AH78" s="55"/>
      <x:c r="AI78" s="56"/>
      <x:c r="AJ78" s="55"/>
    </x:row>
    <x:row r="79" ht="28" customHeight="1">
      <x:c r="A79" s="55"/>
      <x:c r="B79" s="55"/>
      <x:c r="C79" s="60"/>
      <x:c r="D79" s="55"/>
      <x:c r="E79" s="55"/>
      <x:c r="F79" s="55"/>
      <x:c r="G79" s="56"/>
      <x:c r="H79" s="55"/>
      <x:c r="I79" s="63"/>
      <x:c r="J79" s="63"/>
      <x:c r="K79" s="65" t="str">
        <x:f>IF(COUNT(I79:J79)&lt;2,"",MAX(I79-J79,0))</x:f>
      </x:c>
      <x:c r="L79" s="63"/>
      <x:c r="M79" s="68"/>
      <x:c r="N79" s="68"/>
      <x:c r="O79" s="55"/>
      <x:c r="P79" s="55"/>
      <x:c r="Q79" s="56"/>
      <x:c r="R79" s="56"/>
      <x:c r="S79" s="55"/>
      <x:c r="T79" s="55"/>
      <x:c r="U79" s="63"/>
      <x:c r="V79" s="63"/>
      <x:c r="W79" s="55"/>
      <x:c r="X79" s="55"/>
      <x:c r="Y79" s="55"/>
      <x:c r="Z79" s="55"/>
      <x:c r="AA79" s="55"/>
      <x:c r="AB79" s="55"/>
      <x:c r="AC79" s="55"/>
      <x:c r="AD79" s="57"/>
      <x:c r="AE79" s="55"/>
      <x:c r="AF79" s="56"/>
      <x:c r="AG79" s="63"/>
      <x:c r="AH79" s="55"/>
      <x:c r="AI79" s="56"/>
      <x:c r="AJ79" s="55"/>
    </x:row>
    <x:row r="80" ht="28" customHeight="1">
      <x:c r="A80" s="55"/>
      <x:c r="B80" s="55"/>
      <x:c r="C80" s="60"/>
      <x:c r="D80" s="55"/>
      <x:c r="E80" s="55"/>
      <x:c r="F80" s="55"/>
      <x:c r="G80" s="56"/>
      <x:c r="H80" s="55"/>
      <x:c r="I80" s="63"/>
      <x:c r="J80" s="63"/>
      <x:c r="K80" s="65" t="str">
        <x:f>IF(COUNT(I80:J80)&lt;2,"",MAX(I80-J80,0))</x:f>
      </x:c>
      <x:c r="L80" s="63"/>
      <x:c r="M80" s="68"/>
      <x:c r="N80" s="68"/>
      <x:c r="O80" s="55"/>
      <x:c r="P80" s="55"/>
      <x:c r="Q80" s="56"/>
      <x:c r="R80" s="56"/>
      <x:c r="S80" s="55"/>
      <x:c r="T80" s="55"/>
      <x:c r="U80" s="63"/>
      <x:c r="V80" s="63"/>
      <x:c r="W80" s="55"/>
      <x:c r="X80" s="55"/>
      <x:c r="Y80" s="55"/>
      <x:c r="Z80" s="55"/>
      <x:c r="AA80" s="55"/>
      <x:c r="AB80" s="55"/>
      <x:c r="AC80" s="55"/>
      <x:c r="AD80" s="57"/>
      <x:c r="AE80" s="55"/>
      <x:c r="AF80" s="56"/>
      <x:c r="AG80" s="63"/>
      <x:c r="AH80" s="55"/>
      <x:c r="AI80" s="56"/>
      <x:c r="AJ80" s="55"/>
    </x:row>
    <x:row r="81" ht="28" customHeight="1">
      <x:c r="A81" s="55"/>
      <x:c r="B81" s="55"/>
      <x:c r="C81" s="60"/>
      <x:c r="D81" s="55"/>
      <x:c r="E81" s="55"/>
      <x:c r="F81" s="55"/>
      <x:c r="G81" s="56"/>
      <x:c r="H81" s="55"/>
      <x:c r="I81" s="63"/>
      <x:c r="J81" s="63"/>
      <x:c r="K81" s="65" t="str">
        <x:f>IF(COUNT(I81:J81)&lt;2,"",MAX(I81-J81,0))</x:f>
      </x:c>
      <x:c r="L81" s="63"/>
      <x:c r="M81" s="68"/>
      <x:c r="N81" s="68"/>
      <x:c r="O81" s="55"/>
      <x:c r="P81" s="55"/>
      <x:c r="Q81" s="56"/>
      <x:c r="R81" s="56"/>
      <x:c r="S81" s="55"/>
      <x:c r="T81" s="55"/>
      <x:c r="U81" s="63"/>
      <x:c r="V81" s="63"/>
      <x:c r="W81" s="55"/>
      <x:c r="X81" s="55"/>
      <x:c r="Y81" s="55"/>
      <x:c r="Z81" s="55"/>
      <x:c r="AA81" s="55"/>
      <x:c r="AB81" s="55"/>
      <x:c r="AC81" s="55"/>
      <x:c r="AD81" s="57"/>
      <x:c r="AE81" s="55"/>
      <x:c r="AF81" s="56"/>
      <x:c r="AG81" s="63"/>
      <x:c r="AH81" s="55"/>
      <x:c r="AI81" s="56"/>
      <x:c r="AJ81" s="55"/>
    </x:row>
    <x:row r="82" ht="28" customHeight="1">
      <x:c r="A82" s="55"/>
      <x:c r="B82" s="55"/>
      <x:c r="C82" s="60"/>
      <x:c r="D82" s="55"/>
      <x:c r="E82" s="55"/>
      <x:c r="F82" s="55"/>
      <x:c r="G82" s="56"/>
      <x:c r="H82" s="55"/>
      <x:c r="I82" s="63"/>
      <x:c r="J82" s="63"/>
      <x:c r="K82" s="65" t="str">
        <x:f>IF(COUNT(I82:J82)&lt;2,"",MAX(I82-J82,0))</x:f>
      </x:c>
      <x:c r="L82" s="63"/>
      <x:c r="M82" s="68"/>
      <x:c r="N82" s="68"/>
      <x:c r="O82" s="55"/>
      <x:c r="P82" s="55"/>
      <x:c r="Q82" s="56"/>
      <x:c r="R82" s="56"/>
      <x:c r="S82" s="55"/>
      <x:c r="T82" s="55"/>
      <x:c r="U82" s="63"/>
      <x:c r="V82" s="63"/>
      <x:c r="W82" s="55"/>
      <x:c r="X82" s="55"/>
      <x:c r="Y82" s="55"/>
      <x:c r="Z82" s="55"/>
      <x:c r="AA82" s="55"/>
      <x:c r="AB82" s="55"/>
      <x:c r="AC82" s="55"/>
      <x:c r="AD82" s="57"/>
      <x:c r="AE82" s="55"/>
      <x:c r="AF82" s="56"/>
      <x:c r="AG82" s="63"/>
      <x:c r="AH82" s="55"/>
      <x:c r="AI82" s="56"/>
      <x:c r="AJ82" s="55"/>
    </x:row>
    <x:row r="83" ht="28" customHeight="1">
      <x:c r="A83" s="55"/>
      <x:c r="B83" s="55"/>
      <x:c r="C83" s="60"/>
      <x:c r="D83" s="55"/>
      <x:c r="E83" s="55"/>
      <x:c r="F83" s="55"/>
      <x:c r="G83" s="56"/>
      <x:c r="H83" s="55"/>
      <x:c r="I83" s="63"/>
      <x:c r="J83" s="63"/>
      <x:c r="K83" s="65" t="str">
        <x:f>IF(COUNT(I83:J83)&lt;2,"",MAX(I83-J83,0))</x:f>
      </x:c>
      <x:c r="L83" s="63"/>
      <x:c r="M83" s="68"/>
      <x:c r="N83" s="68"/>
      <x:c r="O83" s="55"/>
      <x:c r="P83" s="55"/>
      <x:c r="Q83" s="56"/>
      <x:c r="R83" s="56"/>
      <x:c r="S83" s="55"/>
      <x:c r="T83" s="55"/>
      <x:c r="U83" s="63"/>
      <x:c r="V83" s="63"/>
      <x:c r="W83" s="55"/>
      <x:c r="X83" s="55"/>
      <x:c r="Y83" s="55"/>
      <x:c r="Z83" s="55"/>
      <x:c r="AA83" s="55"/>
      <x:c r="AB83" s="55"/>
      <x:c r="AC83" s="55"/>
      <x:c r="AD83" s="57"/>
      <x:c r="AE83" s="55"/>
      <x:c r="AF83" s="56"/>
      <x:c r="AG83" s="63"/>
      <x:c r="AH83" s="55"/>
      <x:c r="AI83" s="56"/>
      <x:c r="AJ83" s="55"/>
    </x:row>
    <x:row r="84" ht="28" customHeight="1">
      <x:c r="A84" s="55"/>
      <x:c r="B84" s="55"/>
      <x:c r="C84" s="60"/>
      <x:c r="D84" s="55"/>
      <x:c r="E84" s="55"/>
      <x:c r="F84" s="55"/>
      <x:c r="G84" s="56"/>
      <x:c r="H84" s="55"/>
      <x:c r="I84" s="63"/>
      <x:c r="J84" s="63"/>
      <x:c r="K84" s="65" t="str">
        <x:f>IF(COUNT(I84:J84)&lt;2,"",MAX(I84-J84,0))</x:f>
      </x:c>
      <x:c r="L84" s="63"/>
      <x:c r="M84" s="68"/>
      <x:c r="N84" s="68"/>
      <x:c r="O84" s="55"/>
      <x:c r="P84" s="55"/>
      <x:c r="Q84" s="56"/>
      <x:c r="R84" s="56"/>
      <x:c r="S84" s="55"/>
      <x:c r="T84" s="55"/>
      <x:c r="U84" s="63"/>
      <x:c r="V84" s="63"/>
      <x:c r="W84" s="55"/>
      <x:c r="X84" s="55"/>
      <x:c r="Y84" s="55"/>
      <x:c r="Z84" s="55"/>
      <x:c r="AA84" s="55"/>
      <x:c r="AB84" s="55"/>
      <x:c r="AC84" s="55"/>
      <x:c r="AD84" s="57"/>
      <x:c r="AE84" s="55"/>
      <x:c r="AF84" s="56"/>
      <x:c r="AG84" s="63"/>
      <x:c r="AH84" s="55"/>
      <x:c r="AI84" s="56"/>
      <x:c r="AJ84" s="55"/>
    </x:row>
    <x:row r="85" ht="28" customHeight="1">
      <x:c r="A85" s="55"/>
      <x:c r="B85" s="55"/>
      <x:c r="C85" s="60"/>
      <x:c r="D85" s="55"/>
      <x:c r="E85" s="55"/>
      <x:c r="F85" s="55"/>
      <x:c r="G85" s="56"/>
      <x:c r="H85" s="55"/>
      <x:c r="I85" s="63"/>
      <x:c r="J85" s="63"/>
      <x:c r="K85" s="65" t="str">
        <x:f>IF(COUNT(I85:J85)&lt;2,"",MAX(I85-J85,0))</x:f>
      </x:c>
      <x:c r="L85" s="63"/>
      <x:c r="M85" s="68"/>
      <x:c r="N85" s="68"/>
      <x:c r="O85" s="55"/>
      <x:c r="P85" s="55"/>
      <x:c r="Q85" s="56"/>
      <x:c r="R85" s="56"/>
      <x:c r="S85" s="55"/>
      <x:c r="T85" s="55"/>
      <x:c r="U85" s="63"/>
      <x:c r="V85" s="63"/>
      <x:c r="W85" s="55"/>
      <x:c r="X85" s="55"/>
      <x:c r="Y85" s="55"/>
      <x:c r="Z85" s="55"/>
      <x:c r="AA85" s="55"/>
      <x:c r="AB85" s="55"/>
      <x:c r="AC85" s="55"/>
      <x:c r="AD85" s="57"/>
      <x:c r="AE85" s="55"/>
      <x:c r="AF85" s="56"/>
      <x:c r="AG85" s="63"/>
      <x:c r="AH85" s="55"/>
      <x:c r="AI85" s="56"/>
      <x:c r="AJ85" s="55"/>
    </x:row>
    <x:row r="86" ht="28" customHeight="1">
      <x:c r="A86" s="55"/>
      <x:c r="B86" s="55"/>
      <x:c r="C86" s="60"/>
      <x:c r="D86" s="55"/>
      <x:c r="E86" s="55"/>
      <x:c r="F86" s="55"/>
      <x:c r="G86" s="56"/>
      <x:c r="H86" s="55"/>
      <x:c r="I86" s="63"/>
      <x:c r="J86" s="63"/>
      <x:c r="K86" s="65" t="str">
        <x:f>IF(COUNT(I86:J86)&lt;2,"",MAX(I86-J86,0))</x:f>
      </x:c>
      <x:c r="L86" s="63"/>
      <x:c r="M86" s="68"/>
      <x:c r="N86" s="68"/>
      <x:c r="O86" s="55"/>
      <x:c r="P86" s="55"/>
      <x:c r="Q86" s="56"/>
      <x:c r="R86" s="56"/>
      <x:c r="S86" s="55"/>
      <x:c r="T86" s="55"/>
      <x:c r="U86" s="63"/>
      <x:c r="V86" s="63"/>
      <x:c r="W86" s="55"/>
      <x:c r="X86" s="55"/>
      <x:c r="Y86" s="55"/>
      <x:c r="Z86" s="55"/>
      <x:c r="AA86" s="55"/>
      <x:c r="AB86" s="55"/>
      <x:c r="AC86" s="55"/>
      <x:c r="AD86" s="57"/>
      <x:c r="AE86" s="55"/>
      <x:c r="AF86" s="56"/>
      <x:c r="AG86" s="63"/>
      <x:c r="AH86" s="55"/>
      <x:c r="AI86" s="56"/>
      <x:c r="AJ86" s="55"/>
    </x:row>
    <x:row r="87" ht="28" customHeight="1">
      <x:c r="A87" s="55"/>
      <x:c r="B87" s="55"/>
      <x:c r="C87" s="60"/>
      <x:c r="D87" s="55"/>
      <x:c r="E87" s="55"/>
      <x:c r="F87" s="55"/>
      <x:c r="G87" s="56"/>
      <x:c r="H87" s="55"/>
      <x:c r="I87" s="63"/>
      <x:c r="J87" s="63"/>
      <x:c r="K87" s="65" t="str">
        <x:f>IF(COUNT(I87:J87)&lt;2,"",MAX(I87-J87,0))</x:f>
      </x:c>
      <x:c r="L87" s="63"/>
      <x:c r="M87" s="68"/>
      <x:c r="N87" s="68"/>
      <x:c r="O87" s="55"/>
      <x:c r="P87" s="55"/>
      <x:c r="Q87" s="56"/>
      <x:c r="R87" s="56"/>
      <x:c r="S87" s="55"/>
      <x:c r="T87" s="55"/>
      <x:c r="U87" s="63"/>
      <x:c r="V87" s="63"/>
      <x:c r="W87" s="55"/>
      <x:c r="X87" s="55"/>
      <x:c r="Y87" s="55"/>
      <x:c r="Z87" s="55"/>
      <x:c r="AA87" s="55"/>
      <x:c r="AB87" s="55"/>
      <x:c r="AC87" s="55"/>
      <x:c r="AD87" s="57"/>
      <x:c r="AE87" s="55"/>
      <x:c r="AF87" s="56"/>
      <x:c r="AG87" s="63"/>
      <x:c r="AH87" s="55"/>
      <x:c r="AI87" s="56"/>
      <x:c r="AJ87" s="55"/>
    </x:row>
    <x:row r="88" ht="28" customHeight="1">
      <x:c r="A88" s="55"/>
      <x:c r="B88" s="55"/>
      <x:c r="C88" s="60"/>
      <x:c r="D88" s="55"/>
      <x:c r="E88" s="55"/>
      <x:c r="F88" s="55"/>
      <x:c r="G88" s="56"/>
      <x:c r="H88" s="55"/>
      <x:c r="I88" s="63"/>
      <x:c r="J88" s="63"/>
      <x:c r="K88" s="65" t="str">
        <x:f>IF(COUNT(I88:J88)&lt;2,"",MAX(I88-J88,0))</x:f>
      </x:c>
      <x:c r="L88" s="63"/>
      <x:c r="M88" s="68"/>
      <x:c r="N88" s="68"/>
      <x:c r="O88" s="55"/>
      <x:c r="P88" s="55"/>
      <x:c r="Q88" s="56"/>
      <x:c r="R88" s="56"/>
      <x:c r="S88" s="55"/>
      <x:c r="T88" s="55"/>
      <x:c r="U88" s="63"/>
      <x:c r="V88" s="63"/>
      <x:c r="W88" s="55"/>
      <x:c r="X88" s="55"/>
      <x:c r="Y88" s="55"/>
      <x:c r="Z88" s="55"/>
      <x:c r="AA88" s="55"/>
      <x:c r="AB88" s="55"/>
      <x:c r="AC88" s="55"/>
      <x:c r="AD88" s="57"/>
      <x:c r="AE88" s="55"/>
      <x:c r="AF88" s="56"/>
      <x:c r="AG88" s="63"/>
      <x:c r="AH88" s="55"/>
      <x:c r="AI88" s="56"/>
      <x:c r="AJ88" s="55"/>
    </x:row>
    <x:row r="89" ht="28" customHeight="1">
      <x:c r="A89" s="55"/>
      <x:c r="B89" s="55"/>
      <x:c r="C89" s="60"/>
      <x:c r="D89" s="55"/>
      <x:c r="E89" s="55"/>
      <x:c r="F89" s="55"/>
      <x:c r="G89" s="56"/>
      <x:c r="H89" s="55"/>
      <x:c r="I89" s="63"/>
      <x:c r="J89" s="63"/>
      <x:c r="K89" s="65" t="str">
        <x:f>IF(COUNT(I89:J89)&lt;2,"",MAX(I89-J89,0))</x:f>
      </x:c>
      <x:c r="L89" s="63"/>
      <x:c r="M89" s="68"/>
      <x:c r="N89" s="68"/>
      <x:c r="O89" s="55"/>
      <x:c r="P89" s="55"/>
      <x:c r="Q89" s="56"/>
      <x:c r="R89" s="56"/>
      <x:c r="S89" s="55"/>
      <x:c r="T89" s="55"/>
      <x:c r="U89" s="63"/>
      <x:c r="V89" s="63"/>
      <x:c r="W89" s="55"/>
      <x:c r="X89" s="55"/>
      <x:c r="Y89" s="55"/>
      <x:c r="Z89" s="55"/>
      <x:c r="AA89" s="55"/>
      <x:c r="AB89" s="55"/>
      <x:c r="AC89" s="55"/>
      <x:c r="AD89" s="57"/>
      <x:c r="AE89" s="55"/>
      <x:c r="AF89" s="56"/>
      <x:c r="AG89" s="63"/>
      <x:c r="AH89" s="55"/>
      <x:c r="AI89" s="56"/>
      <x:c r="AJ89" s="55"/>
    </x:row>
    <x:row r="90" ht="28" customHeight="1">
      <x:c r="A90" s="55"/>
      <x:c r="B90" s="55"/>
      <x:c r="C90" s="60"/>
      <x:c r="D90" s="55"/>
      <x:c r="E90" s="55"/>
      <x:c r="F90" s="55"/>
      <x:c r="G90" s="56"/>
      <x:c r="H90" s="55"/>
      <x:c r="I90" s="63"/>
      <x:c r="J90" s="63"/>
      <x:c r="K90" s="65" t="str">
        <x:f>IF(COUNT(I90:J90)&lt;2,"",MAX(I90-J90,0))</x:f>
      </x:c>
      <x:c r="L90" s="63"/>
      <x:c r="M90" s="68"/>
      <x:c r="N90" s="68"/>
      <x:c r="O90" s="55"/>
      <x:c r="P90" s="55"/>
      <x:c r="Q90" s="56"/>
      <x:c r="R90" s="56"/>
      <x:c r="S90" s="55"/>
      <x:c r="T90" s="55"/>
      <x:c r="U90" s="63"/>
      <x:c r="V90" s="63"/>
      <x:c r="W90" s="55"/>
      <x:c r="X90" s="55"/>
      <x:c r="Y90" s="55"/>
      <x:c r="Z90" s="55"/>
      <x:c r="AA90" s="55"/>
      <x:c r="AB90" s="55"/>
      <x:c r="AC90" s="55"/>
      <x:c r="AD90" s="57"/>
      <x:c r="AE90" s="55"/>
      <x:c r="AF90" s="56"/>
      <x:c r="AG90" s="63"/>
      <x:c r="AH90" s="55"/>
      <x:c r="AI90" s="56"/>
      <x:c r="AJ90" s="55"/>
    </x:row>
    <x:row r="91" ht="28" customHeight="1">
      <x:c r="A91" s="55"/>
      <x:c r="B91" s="55"/>
      <x:c r="C91" s="60"/>
      <x:c r="D91" s="55"/>
      <x:c r="E91" s="55"/>
      <x:c r="F91" s="55"/>
      <x:c r="G91" s="56"/>
      <x:c r="H91" s="55"/>
      <x:c r="I91" s="63"/>
      <x:c r="J91" s="63"/>
      <x:c r="K91" s="65" t="str">
        <x:f>IF(COUNT(I91:J91)&lt;2,"",MAX(I91-J91,0))</x:f>
      </x:c>
      <x:c r="L91" s="63"/>
      <x:c r="M91" s="68"/>
      <x:c r="N91" s="68"/>
      <x:c r="O91" s="55"/>
      <x:c r="P91" s="55"/>
      <x:c r="Q91" s="56"/>
      <x:c r="R91" s="56"/>
      <x:c r="S91" s="55"/>
      <x:c r="T91" s="55"/>
      <x:c r="U91" s="63"/>
      <x:c r="V91" s="63"/>
      <x:c r="W91" s="55"/>
      <x:c r="X91" s="55"/>
      <x:c r="Y91" s="55"/>
      <x:c r="Z91" s="55"/>
      <x:c r="AA91" s="55"/>
      <x:c r="AB91" s="55"/>
      <x:c r="AC91" s="55"/>
      <x:c r="AD91" s="57"/>
      <x:c r="AE91" s="55"/>
      <x:c r="AF91" s="56"/>
      <x:c r="AG91" s="63"/>
      <x:c r="AH91" s="55"/>
      <x:c r="AI91" s="56"/>
      <x:c r="AJ91" s="55"/>
    </x:row>
    <x:row r="92" ht="28" customHeight="1">
      <x:c r="A92" s="55"/>
      <x:c r="B92" s="55"/>
      <x:c r="C92" s="60"/>
      <x:c r="D92" s="55"/>
      <x:c r="E92" s="55"/>
      <x:c r="F92" s="55"/>
      <x:c r="G92" s="56"/>
      <x:c r="H92" s="55"/>
      <x:c r="I92" s="63"/>
      <x:c r="J92" s="63"/>
      <x:c r="K92" s="65" t="str">
        <x:f>IF(COUNT(I92:J92)&lt;2,"",MAX(I92-J92,0))</x:f>
      </x:c>
      <x:c r="L92" s="63"/>
      <x:c r="M92" s="68"/>
      <x:c r="N92" s="68"/>
      <x:c r="O92" s="55"/>
      <x:c r="P92" s="55"/>
      <x:c r="Q92" s="56"/>
      <x:c r="R92" s="56"/>
      <x:c r="S92" s="55"/>
      <x:c r="T92" s="55"/>
      <x:c r="U92" s="63"/>
      <x:c r="V92" s="63"/>
      <x:c r="W92" s="55"/>
      <x:c r="X92" s="55"/>
      <x:c r="Y92" s="55"/>
      <x:c r="Z92" s="55"/>
      <x:c r="AA92" s="55"/>
      <x:c r="AB92" s="55"/>
      <x:c r="AC92" s="55"/>
      <x:c r="AD92" s="57"/>
      <x:c r="AE92" s="55"/>
      <x:c r="AF92" s="56"/>
      <x:c r="AG92" s="63"/>
      <x:c r="AH92" s="55"/>
      <x:c r="AI92" s="56"/>
      <x:c r="AJ92" s="55"/>
    </x:row>
    <x:row r="93" ht="28" customHeight="1">
      <x:c r="A93" s="55"/>
      <x:c r="B93" s="55"/>
      <x:c r="C93" s="60"/>
      <x:c r="D93" s="55"/>
      <x:c r="E93" s="55"/>
      <x:c r="F93" s="55"/>
      <x:c r="G93" s="56"/>
      <x:c r="H93" s="55"/>
      <x:c r="I93" s="63"/>
      <x:c r="J93" s="63"/>
      <x:c r="K93" s="65" t="str">
        <x:f>IF(COUNT(I93:J93)&lt;2,"",MAX(I93-J93,0))</x:f>
      </x:c>
      <x:c r="L93" s="63"/>
      <x:c r="M93" s="68"/>
      <x:c r="N93" s="68"/>
      <x:c r="O93" s="55"/>
      <x:c r="P93" s="55"/>
      <x:c r="Q93" s="56"/>
      <x:c r="R93" s="56"/>
      <x:c r="S93" s="55"/>
      <x:c r="T93" s="55"/>
      <x:c r="U93" s="63"/>
      <x:c r="V93" s="63"/>
      <x:c r="W93" s="55"/>
      <x:c r="X93" s="55"/>
      <x:c r="Y93" s="55"/>
      <x:c r="Z93" s="55"/>
      <x:c r="AA93" s="55"/>
      <x:c r="AB93" s="55"/>
      <x:c r="AC93" s="55"/>
      <x:c r="AD93" s="57"/>
      <x:c r="AE93" s="55"/>
      <x:c r="AF93" s="56"/>
      <x:c r="AG93" s="63"/>
      <x:c r="AH93" s="55"/>
      <x:c r="AI93" s="56"/>
      <x:c r="AJ93" s="55"/>
    </x:row>
    <x:row r="94" ht="28" customHeight="1">
      <x:c r="A94" s="55"/>
      <x:c r="B94" s="55"/>
      <x:c r="C94" s="60"/>
      <x:c r="D94" s="55"/>
      <x:c r="E94" s="55"/>
      <x:c r="F94" s="55"/>
      <x:c r="G94" s="56"/>
      <x:c r="H94" s="55"/>
      <x:c r="I94" s="63"/>
      <x:c r="J94" s="63"/>
      <x:c r="K94" s="65" t="str">
        <x:f>IF(COUNT(I94:J94)&lt;2,"",MAX(I94-J94,0))</x:f>
      </x:c>
      <x:c r="L94" s="63"/>
      <x:c r="M94" s="68"/>
      <x:c r="N94" s="68"/>
      <x:c r="O94" s="55"/>
      <x:c r="P94" s="55"/>
      <x:c r="Q94" s="56"/>
      <x:c r="R94" s="56"/>
      <x:c r="S94" s="55"/>
      <x:c r="T94" s="55"/>
      <x:c r="U94" s="63"/>
      <x:c r="V94" s="63"/>
      <x:c r="W94" s="55"/>
      <x:c r="X94" s="55"/>
      <x:c r="Y94" s="55"/>
      <x:c r="Z94" s="55"/>
      <x:c r="AA94" s="55"/>
      <x:c r="AB94" s="55"/>
      <x:c r="AC94" s="55"/>
      <x:c r="AD94" s="57"/>
      <x:c r="AE94" s="55"/>
      <x:c r="AF94" s="56"/>
      <x:c r="AG94" s="63"/>
      <x:c r="AH94" s="55"/>
      <x:c r="AI94" s="56"/>
      <x:c r="AJ94" s="55"/>
    </x:row>
    <x:row r="95" ht="28" customHeight="1">
      <x:c r="A95" s="55"/>
      <x:c r="B95" s="55"/>
      <x:c r="C95" s="60"/>
      <x:c r="D95" s="55"/>
      <x:c r="E95" s="55"/>
      <x:c r="F95" s="55"/>
      <x:c r="G95" s="56"/>
      <x:c r="H95" s="55"/>
      <x:c r="I95" s="63"/>
      <x:c r="J95" s="63"/>
      <x:c r="K95" s="65" t="str">
        <x:f>IF(COUNT(I95:J95)&lt;2,"",MAX(I95-J95,0))</x:f>
      </x:c>
      <x:c r="L95" s="63"/>
      <x:c r="M95" s="68"/>
      <x:c r="N95" s="68"/>
      <x:c r="O95" s="55"/>
      <x:c r="P95" s="55"/>
      <x:c r="Q95" s="56"/>
      <x:c r="R95" s="56"/>
      <x:c r="S95" s="55"/>
      <x:c r="T95" s="55"/>
      <x:c r="U95" s="63"/>
      <x:c r="V95" s="63"/>
      <x:c r="W95" s="55"/>
      <x:c r="X95" s="55"/>
      <x:c r="Y95" s="55"/>
      <x:c r="Z95" s="55"/>
      <x:c r="AA95" s="55"/>
      <x:c r="AB95" s="55"/>
      <x:c r="AC95" s="55"/>
      <x:c r="AD95" s="57"/>
      <x:c r="AE95" s="55"/>
      <x:c r="AF95" s="56"/>
      <x:c r="AG95" s="63"/>
      <x:c r="AH95" s="55"/>
      <x:c r="AI95" s="56"/>
      <x:c r="AJ95" s="55"/>
    </x:row>
    <x:row r="96" ht="28" customHeight="1">
      <x:c r="A96" s="55"/>
      <x:c r="B96" s="55"/>
      <x:c r="C96" s="60"/>
      <x:c r="D96" s="55"/>
      <x:c r="E96" s="55"/>
      <x:c r="F96" s="55"/>
      <x:c r="G96" s="56"/>
      <x:c r="H96" s="55"/>
      <x:c r="I96" s="63"/>
      <x:c r="J96" s="63"/>
      <x:c r="K96" s="65" t="str">
        <x:f>IF(COUNT(I96:J96)&lt;2,"",MAX(I96-J96,0))</x:f>
      </x:c>
      <x:c r="L96" s="63"/>
      <x:c r="M96" s="68"/>
      <x:c r="N96" s="68"/>
      <x:c r="O96" s="55"/>
      <x:c r="P96" s="55"/>
      <x:c r="Q96" s="56"/>
      <x:c r="R96" s="56"/>
      <x:c r="S96" s="55"/>
      <x:c r="T96" s="55"/>
      <x:c r="U96" s="63"/>
      <x:c r="V96" s="63"/>
      <x:c r="W96" s="55"/>
      <x:c r="X96" s="55"/>
      <x:c r="Y96" s="55"/>
      <x:c r="Z96" s="55"/>
      <x:c r="AA96" s="55"/>
      <x:c r="AB96" s="55"/>
      <x:c r="AC96" s="55"/>
      <x:c r="AD96" s="57"/>
      <x:c r="AE96" s="55"/>
      <x:c r="AF96" s="56"/>
      <x:c r="AG96" s="63"/>
      <x:c r="AH96" s="55"/>
      <x:c r="AI96" s="56"/>
      <x:c r="AJ96" s="55"/>
    </x:row>
    <x:row r="97" ht="28" customHeight="1">
      <x:c r="A97" s="55"/>
      <x:c r="B97" s="55"/>
      <x:c r="C97" s="60"/>
      <x:c r="D97" s="55"/>
      <x:c r="E97" s="55"/>
      <x:c r="F97" s="55"/>
      <x:c r="G97" s="56"/>
      <x:c r="H97" s="55"/>
      <x:c r="I97" s="63"/>
      <x:c r="J97" s="63"/>
      <x:c r="K97" s="65" t="str">
        <x:f>IF(COUNT(I97:J97)&lt;2,"",MAX(I97-J97,0))</x:f>
      </x:c>
      <x:c r="L97" s="63"/>
      <x:c r="M97" s="68"/>
      <x:c r="N97" s="68"/>
      <x:c r="O97" s="55"/>
      <x:c r="P97" s="55"/>
      <x:c r="Q97" s="56"/>
      <x:c r="R97" s="56"/>
      <x:c r="S97" s="55"/>
      <x:c r="T97" s="55"/>
      <x:c r="U97" s="63"/>
      <x:c r="V97" s="63"/>
      <x:c r="W97" s="55"/>
      <x:c r="X97" s="55"/>
      <x:c r="Y97" s="55"/>
      <x:c r="Z97" s="55"/>
      <x:c r="AA97" s="55"/>
      <x:c r="AB97" s="55"/>
      <x:c r="AC97" s="55"/>
      <x:c r="AD97" s="57"/>
      <x:c r="AE97" s="55"/>
      <x:c r="AF97" s="56"/>
      <x:c r="AG97" s="63"/>
      <x:c r="AH97" s="55"/>
      <x:c r="AI97" s="56"/>
      <x:c r="AJ97" s="55"/>
    </x:row>
    <x:row r="98" ht="28" customHeight="1">
      <x:c r="A98" s="55"/>
      <x:c r="B98" s="55"/>
      <x:c r="C98" s="60"/>
      <x:c r="D98" s="55"/>
      <x:c r="E98" s="55"/>
      <x:c r="F98" s="55"/>
      <x:c r="G98" s="56"/>
      <x:c r="H98" s="55"/>
      <x:c r="I98" s="63"/>
      <x:c r="J98" s="63"/>
      <x:c r="K98" s="65" t="str">
        <x:f>IF(COUNT(I98:J98)&lt;2,"",MAX(I98-J98,0))</x:f>
      </x:c>
      <x:c r="L98" s="63"/>
      <x:c r="M98" s="68"/>
      <x:c r="N98" s="68"/>
      <x:c r="O98" s="55"/>
      <x:c r="P98" s="55"/>
      <x:c r="Q98" s="56"/>
      <x:c r="R98" s="56"/>
      <x:c r="S98" s="55"/>
      <x:c r="T98" s="55"/>
      <x:c r="U98" s="63"/>
      <x:c r="V98" s="63"/>
      <x:c r="W98" s="55"/>
      <x:c r="X98" s="55"/>
      <x:c r="Y98" s="55"/>
      <x:c r="Z98" s="55"/>
      <x:c r="AA98" s="55"/>
      <x:c r="AB98" s="55"/>
      <x:c r="AC98" s="55"/>
      <x:c r="AD98" s="57"/>
      <x:c r="AE98" s="55"/>
      <x:c r="AF98" s="56"/>
      <x:c r="AG98" s="63"/>
      <x:c r="AH98" s="55"/>
      <x:c r="AI98" s="56"/>
      <x:c r="AJ98" s="55"/>
    </x:row>
    <x:row r="99" ht="28" customHeight="1">
      <x:c r="A99" s="55"/>
      <x:c r="B99" s="55"/>
      <x:c r="C99" s="60"/>
      <x:c r="D99" s="55"/>
      <x:c r="E99" s="55"/>
      <x:c r="F99" s="55"/>
      <x:c r="G99" s="56"/>
      <x:c r="H99" s="55"/>
      <x:c r="I99" s="63"/>
      <x:c r="J99" s="63"/>
      <x:c r="K99" s="65" t="str">
        <x:f>IF(COUNT(I99:J99)&lt;2,"",MAX(I99-J99,0))</x:f>
      </x:c>
      <x:c r="L99" s="63"/>
      <x:c r="M99" s="68"/>
      <x:c r="N99" s="68"/>
      <x:c r="O99" s="55"/>
      <x:c r="P99" s="55"/>
      <x:c r="Q99" s="56"/>
      <x:c r="R99" s="56"/>
      <x:c r="S99" s="55"/>
      <x:c r="T99" s="55"/>
      <x:c r="U99" s="63"/>
      <x:c r="V99" s="63"/>
      <x:c r="W99" s="55"/>
      <x:c r="X99" s="55"/>
      <x:c r="Y99" s="55"/>
      <x:c r="Z99" s="55"/>
      <x:c r="AA99" s="55"/>
      <x:c r="AB99" s="55"/>
      <x:c r="AC99" s="55"/>
      <x:c r="AD99" s="57"/>
      <x:c r="AE99" s="55"/>
      <x:c r="AF99" s="56"/>
      <x:c r="AG99" s="63"/>
      <x:c r="AH99" s="55"/>
      <x:c r="AI99" s="56"/>
      <x:c r="AJ99" s="55"/>
    </x:row>
    <x:row r="100" ht="28" customHeight="1">
      <x:c r="A100" s="55"/>
      <x:c r="B100" s="55"/>
      <x:c r="C100" s="60"/>
      <x:c r="D100" s="55"/>
      <x:c r="E100" s="55"/>
      <x:c r="F100" s="55"/>
      <x:c r="G100" s="56"/>
      <x:c r="H100" s="55"/>
      <x:c r="I100" s="63"/>
      <x:c r="J100" s="63"/>
      <x:c r="K100" s="65" t="str">
        <x:f>IF(COUNT(I100:J100)&lt;2,"",MAX(I100-J100,0))</x:f>
      </x:c>
      <x:c r="L100" s="63"/>
      <x:c r="M100" s="68"/>
      <x:c r="N100" s="68"/>
      <x:c r="O100" s="55"/>
      <x:c r="P100" s="55"/>
      <x:c r="Q100" s="56"/>
      <x:c r="R100" s="56"/>
      <x:c r="S100" s="55"/>
      <x:c r="T100" s="55"/>
      <x:c r="U100" s="63"/>
      <x:c r="V100" s="63"/>
      <x:c r="W100" s="55"/>
      <x:c r="X100" s="55"/>
      <x:c r="Y100" s="55"/>
      <x:c r="Z100" s="55"/>
      <x:c r="AA100" s="55"/>
      <x:c r="AB100" s="55"/>
      <x:c r="AC100" s="55"/>
      <x:c r="AD100" s="57"/>
      <x:c r="AE100" s="55"/>
      <x:c r="AF100" s="56"/>
      <x:c r="AG100" s="63"/>
      <x:c r="AH100" s="55"/>
      <x:c r="AI100" s="56"/>
      <x:c r="AJ100" s="55"/>
    </x:row>
    <x:row r="101" ht="28" customHeight="1">
      <x:c r="A101" s="55"/>
      <x:c r="B101" s="55"/>
      <x:c r="C101" s="60"/>
      <x:c r="D101" s="55"/>
      <x:c r="E101" s="55"/>
      <x:c r="F101" s="55"/>
      <x:c r="G101" s="56"/>
      <x:c r="H101" s="55"/>
      <x:c r="I101" s="63"/>
      <x:c r="J101" s="63"/>
      <x:c r="K101" s="65" t="str">
        <x:f>IF(COUNT(I101:J101)&lt;2,"",MAX(I101-J101,0))</x:f>
      </x:c>
      <x:c r="L101" s="63"/>
      <x:c r="M101" s="68"/>
      <x:c r="N101" s="68"/>
      <x:c r="O101" s="55"/>
      <x:c r="P101" s="55"/>
      <x:c r="Q101" s="56"/>
      <x:c r="R101" s="56"/>
      <x:c r="S101" s="55"/>
      <x:c r="T101" s="55"/>
      <x:c r="U101" s="63"/>
      <x:c r="V101" s="63"/>
      <x:c r="W101" s="55"/>
      <x:c r="X101" s="55"/>
      <x:c r="Y101" s="55"/>
      <x:c r="Z101" s="55"/>
      <x:c r="AA101" s="55"/>
      <x:c r="AB101" s="55"/>
      <x:c r="AC101" s="55"/>
      <x:c r="AD101" s="57"/>
      <x:c r="AE101" s="55"/>
      <x:c r="AF101" s="56"/>
      <x:c r="AG101" s="63"/>
      <x:c r="AH101" s="55"/>
      <x:c r="AI101" s="56"/>
      <x:c r="AJ101" s="55"/>
    </x:row>
    <x:row r="102" ht="28" customHeight="1">
      <x:c r="A102" s="55"/>
      <x:c r="B102" s="55"/>
      <x:c r="C102" s="60"/>
      <x:c r="D102" s="55"/>
      <x:c r="E102" s="55"/>
      <x:c r="F102" s="55"/>
      <x:c r="G102" s="56"/>
      <x:c r="H102" s="55"/>
      <x:c r="I102" s="63"/>
      <x:c r="J102" s="63"/>
      <x:c r="K102" s="65" t="str">
        <x:f>IF(COUNT(I102:J102)&lt;2,"",MAX(I102-J102,0))</x:f>
      </x:c>
      <x:c r="L102" s="63"/>
      <x:c r="M102" s="68"/>
      <x:c r="N102" s="68"/>
      <x:c r="O102" s="55"/>
      <x:c r="P102" s="55"/>
      <x:c r="Q102" s="56"/>
      <x:c r="R102" s="56"/>
      <x:c r="S102" s="55"/>
      <x:c r="T102" s="55"/>
      <x:c r="U102" s="63"/>
      <x:c r="V102" s="63"/>
      <x:c r="W102" s="55"/>
      <x:c r="X102" s="55"/>
      <x:c r="Y102" s="55"/>
      <x:c r="Z102" s="55"/>
      <x:c r="AA102" s="55"/>
      <x:c r="AB102" s="55"/>
      <x:c r="AC102" s="55"/>
      <x:c r="AD102" s="57"/>
      <x:c r="AE102" s="55"/>
      <x:c r="AF102" s="56"/>
      <x:c r="AG102" s="63"/>
      <x:c r="AH102" s="55"/>
      <x:c r="AI102" s="56"/>
      <x:c r="AJ102" s="55"/>
    </x:row>
    <x:row r="103" ht="28" customHeight="1">
      <x:c r="A103" s="55"/>
      <x:c r="B103" s="55"/>
      <x:c r="C103" s="60"/>
      <x:c r="D103" s="55"/>
      <x:c r="E103" s="55"/>
      <x:c r="F103" s="55"/>
      <x:c r="G103" s="56"/>
      <x:c r="H103" s="55"/>
      <x:c r="I103" s="63"/>
      <x:c r="J103" s="63"/>
      <x:c r="K103" s="65" t="str">
        <x:f>IF(COUNT(I103:J103)&lt;2,"",MAX(I103-J103,0))</x:f>
      </x:c>
      <x:c r="L103" s="63"/>
      <x:c r="M103" s="68"/>
      <x:c r="N103" s="68"/>
      <x:c r="O103" s="55"/>
      <x:c r="P103" s="55"/>
      <x:c r="Q103" s="56"/>
      <x:c r="R103" s="56"/>
      <x:c r="S103" s="55"/>
      <x:c r="T103" s="55"/>
      <x:c r="U103" s="63"/>
      <x:c r="V103" s="63"/>
      <x:c r="W103" s="55"/>
      <x:c r="X103" s="55"/>
      <x:c r="Y103" s="55"/>
      <x:c r="Z103" s="55"/>
      <x:c r="AA103" s="55"/>
      <x:c r="AB103" s="55"/>
      <x:c r="AC103" s="55"/>
      <x:c r="AD103" s="57"/>
      <x:c r="AE103" s="55"/>
      <x:c r="AF103" s="56"/>
      <x:c r="AG103" s="63"/>
      <x:c r="AH103" s="55"/>
      <x:c r="AI103" s="56"/>
      <x:c r="AJ103" s="55"/>
    </x:row>
    <x:row r="104" ht="28" customHeight="1">
      <x:c r="A104" s="55"/>
      <x:c r="B104" s="55"/>
      <x:c r="C104" s="60"/>
      <x:c r="D104" s="55"/>
      <x:c r="E104" s="55"/>
      <x:c r="F104" s="55"/>
      <x:c r="G104" s="56"/>
      <x:c r="H104" s="55"/>
      <x:c r="I104" s="63"/>
      <x:c r="J104" s="63"/>
      <x:c r="K104" s="65" t="str">
        <x:f>IF(COUNT(I104:J104)&lt;2,"",MAX(I104-J104,0))</x:f>
      </x:c>
      <x:c r="L104" s="63"/>
      <x:c r="M104" s="68"/>
      <x:c r="N104" s="68"/>
      <x:c r="O104" s="55"/>
      <x:c r="P104" s="55"/>
      <x:c r="Q104" s="56"/>
      <x:c r="R104" s="56"/>
      <x:c r="S104" s="55"/>
      <x:c r="T104" s="55"/>
      <x:c r="U104" s="63"/>
      <x:c r="V104" s="63"/>
      <x:c r="W104" s="55"/>
      <x:c r="X104" s="55"/>
      <x:c r="Y104" s="55"/>
      <x:c r="Z104" s="55"/>
      <x:c r="AA104" s="55"/>
      <x:c r="AB104" s="55"/>
      <x:c r="AC104" s="55"/>
      <x:c r="AD104" s="57"/>
      <x:c r="AE104" s="55"/>
      <x:c r="AF104" s="56"/>
      <x:c r="AG104" s="63"/>
      <x:c r="AH104" s="55"/>
      <x:c r="AI104" s="56"/>
      <x:c r="AJ104" s="55"/>
    </x:row>
    <x:row r="105" ht="28" customHeight="1">
      <x:c r="A105" s="55"/>
      <x:c r="B105" s="55"/>
      <x:c r="C105" s="60"/>
      <x:c r="D105" s="55"/>
      <x:c r="E105" s="55"/>
      <x:c r="F105" s="55"/>
      <x:c r="G105" s="56"/>
      <x:c r="H105" s="55"/>
      <x:c r="I105" s="63"/>
      <x:c r="J105" s="63"/>
      <x:c r="K105" s="65" t="str">
        <x:f>IF(COUNT(I105:J105)&lt;2,"",MAX(I105-J105,0))</x:f>
      </x:c>
      <x:c r="L105" s="63"/>
      <x:c r="M105" s="68"/>
      <x:c r="N105" s="68"/>
      <x:c r="O105" s="55"/>
      <x:c r="P105" s="55"/>
      <x:c r="Q105" s="56"/>
      <x:c r="R105" s="56"/>
      <x:c r="S105" s="55"/>
      <x:c r="T105" s="55"/>
      <x:c r="U105" s="63"/>
      <x:c r="V105" s="63"/>
      <x:c r="W105" s="55"/>
      <x:c r="X105" s="55"/>
      <x:c r="Y105" s="55"/>
      <x:c r="Z105" s="55"/>
      <x:c r="AA105" s="55"/>
      <x:c r="AB105" s="55"/>
      <x:c r="AC105" s="55"/>
      <x:c r="AD105" s="57"/>
      <x:c r="AE105" s="55"/>
      <x:c r="AF105" s="56"/>
      <x:c r="AG105" s="63"/>
      <x:c r="AH105" s="55"/>
      <x:c r="AI105" s="56"/>
      <x:c r="AJ105" s="55"/>
    </x:row>
    <x:row r="106" ht="28" customHeight="1">
      <x:c r="A106" s="55"/>
      <x:c r="B106" s="55"/>
      <x:c r="C106" s="60"/>
      <x:c r="D106" s="55"/>
      <x:c r="E106" s="55"/>
      <x:c r="F106" s="55"/>
      <x:c r="G106" s="56"/>
      <x:c r="H106" s="55"/>
      <x:c r="I106" s="63"/>
      <x:c r="J106" s="63"/>
      <x:c r="K106" s="65" t="str">
        <x:f>IF(COUNT(I106:J106)&lt;2,"",MAX(I106-J106,0))</x:f>
      </x:c>
      <x:c r="L106" s="63"/>
      <x:c r="M106" s="68"/>
      <x:c r="N106" s="68"/>
      <x:c r="O106" s="55"/>
      <x:c r="P106" s="55"/>
      <x:c r="Q106" s="56"/>
      <x:c r="R106" s="56"/>
      <x:c r="S106" s="55"/>
      <x:c r="T106" s="55"/>
      <x:c r="U106" s="63"/>
      <x:c r="V106" s="63"/>
      <x:c r="W106" s="55"/>
      <x:c r="X106" s="55"/>
      <x:c r="Y106" s="55"/>
      <x:c r="Z106" s="55"/>
      <x:c r="AA106" s="55"/>
      <x:c r="AB106" s="55"/>
      <x:c r="AC106" s="55"/>
      <x:c r="AD106" s="57"/>
      <x:c r="AE106" s="55"/>
      <x:c r="AF106" s="56"/>
      <x:c r="AG106" s="63"/>
      <x:c r="AH106" s="55"/>
      <x:c r="AI106" s="56"/>
      <x:c r="AJ106" s="55"/>
    </x:row>
    <x:row r="107" ht="28" customHeight="1">
      <x:c r="A107" s="55"/>
      <x:c r="B107" s="55"/>
      <x:c r="C107" s="60"/>
      <x:c r="D107" s="55"/>
      <x:c r="E107" s="55"/>
      <x:c r="F107" s="55"/>
      <x:c r="G107" s="56"/>
      <x:c r="H107" s="55"/>
      <x:c r="I107" s="63"/>
      <x:c r="J107" s="63"/>
      <x:c r="K107" s="65" t="str">
        <x:f>IF(COUNT(I107:J107)&lt;2,"",MAX(I107-J107,0))</x:f>
      </x:c>
      <x:c r="L107" s="63"/>
      <x:c r="M107" s="68"/>
      <x:c r="N107" s="68"/>
      <x:c r="O107" s="55"/>
      <x:c r="P107" s="55"/>
      <x:c r="Q107" s="56"/>
      <x:c r="R107" s="56"/>
      <x:c r="S107" s="55"/>
      <x:c r="T107" s="55"/>
      <x:c r="U107" s="63"/>
      <x:c r="V107" s="63"/>
      <x:c r="W107" s="55"/>
      <x:c r="X107" s="55"/>
      <x:c r="Y107" s="55"/>
      <x:c r="Z107" s="55"/>
      <x:c r="AA107" s="55"/>
      <x:c r="AB107" s="55"/>
      <x:c r="AC107" s="55"/>
      <x:c r="AD107" s="57"/>
      <x:c r="AE107" s="55"/>
      <x:c r="AF107" s="56"/>
      <x:c r="AG107" s="63"/>
      <x:c r="AH107" s="55"/>
      <x:c r="AI107" s="56"/>
      <x:c r="AJ107" s="55"/>
    </x:row>
    <x:row r="108" ht="28" customHeight="1">
      <x:c r="A108" s="55"/>
      <x:c r="B108" s="55"/>
      <x:c r="C108" s="60"/>
      <x:c r="D108" s="55"/>
      <x:c r="E108" s="55"/>
      <x:c r="F108" s="55"/>
      <x:c r="G108" s="56"/>
      <x:c r="H108" s="55"/>
      <x:c r="I108" s="63"/>
      <x:c r="J108" s="63"/>
      <x:c r="K108" s="65" t="str">
        <x:f>IF(COUNT(I108:J108)&lt;2,"",MAX(I108-J108,0))</x:f>
      </x:c>
      <x:c r="L108" s="63"/>
      <x:c r="M108" s="68"/>
      <x:c r="N108" s="68"/>
      <x:c r="O108" s="55"/>
      <x:c r="P108" s="55"/>
      <x:c r="Q108" s="56"/>
      <x:c r="R108" s="56"/>
      <x:c r="S108" s="55"/>
      <x:c r="T108" s="55"/>
      <x:c r="U108" s="63"/>
      <x:c r="V108" s="63"/>
      <x:c r="W108" s="55"/>
      <x:c r="X108" s="55"/>
      <x:c r="Y108" s="55"/>
      <x:c r="Z108" s="55"/>
      <x:c r="AA108" s="55"/>
      <x:c r="AB108" s="55"/>
      <x:c r="AC108" s="55"/>
      <x:c r="AD108" s="57"/>
      <x:c r="AE108" s="55"/>
      <x:c r="AF108" s="56"/>
      <x:c r="AG108" s="63"/>
      <x:c r="AH108" s="55"/>
      <x:c r="AI108" s="56"/>
      <x:c r="AJ108" s="55"/>
    </x:row>
    <x:row r="109" ht="28" customHeight="1">
      <x:c r="A109" s="55"/>
      <x:c r="B109" s="55"/>
      <x:c r="C109" s="60"/>
      <x:c r="D109" s="55"/>
      <x:c r="E109" s="55"/>
      <x:c r="F109" s="55"/>
      <x:c r="G109" s="56"/>
      <x:c r="H109" s="55"/>
      <x:c r="I109" s="63"/>
      <x:c r="J109" s="63"/>
      <x:c r="K109" s="65" t="str">
        <x:f>IF(COUNT(I109:J109)&lt;2,"",MAX(I109-J109,0))</x:f>
      </x:c>
      <x:c r="L109" s="63"/>
      <x:c r="M109" s="68"/>
      <x:c r="N109" s="68"/>
      <x:c r="O109" s="55"/>
      <x:c r="P109" s="55"/>
      <x:c r="Q109" s="56"/>
      <x:c r="R109" s="56"/>
      <x:c r="S109" s="55"/>
      <x:c r="T109" s="55"/>
      <x:c r="U109" s="63"/>
      <x:c r="V109" s="63"/>
      <x:c r="W109" s="55"/>
      <x:c r="X109" s="55"/>
      <x:c r="Y109" s="55"/>
      <x:c r="Z109" s="55"/>
      <x:c r="AA109" s="55"/>
      <x:c r="AB109" s="55"/>
      <x:c r="AC109" s="55"/>
      <x:c r="AD109" s="57"/>
      <x:c r="AE109" s="55"/>
      <x:c r="AF109" s="56"/>
      <x:c r="AG109" s="63"/>
      <x:c r="AH109" s="55"/>
      <x:c r="AI109" s="56"/>
      <x:c r="AJ109" s="55"/>
    </x:row>
    <x:row r="110" ht="28" customHeight="1">
      <x:c r="A110" s="55"/>
      <x:c r="B110" s="55"/>
      <x:c r="C110" s="60"/>
      <x:c r="D110" s="55"/>
      <x:c r="E110" s="55"/>
      <x:c r="F110" s="55"/>
      <x:c r="G110" s="56"/>
      <x:c r="H110" s="55"/>
      <x:c r="I110" s="63"/>
      <x:c r="J110" s="63"/>
      <x:c r="K110" s="65" t="str">
        <x:f>IF(COUNT(I110:J110)&lt;2,"",MAX(I110-J110,0))</x:f>
      </x:c>
      <x:c r="L110" s="63"/>
      <x:c r="M110" s="68"/>
      <x:c r="N110" s="68"/>
      <x:c r="O110" s="55"/>
      <x:c r="P110" s="55"/>
      <x:c r="Q110" s="56"/>
      <x:c r="R110" s="56"/>
      <x:c r="S110" s="55"/>
      <x:c r="T110" s="55"/>
      <x:c r="U110" s="63"/>
      <x:c r="V110" s="63"/>
      <x:c r="W110" s="55"/>
      <x:c r="X110" s="55"/>
      <x:c r="Y110" s="55"/>
      <x:c r="Z110" s="55"/>
      <x:c r="AA110" s="55"/>
      <x:c r="AB110" s="55"/>
      <x:c r="AC110" s="55"/>
      <x:c r="AD110" s="57"/>
      <x:c r="AE110" s="55"/>
      <x:c r="AF110" s="56"/>
      <x:c r="AG110" s="63"/>
      <x:c r="AH110" s="55"/>
      <x:c r="AI110" s="56"/>
      <x:c r="AJ110" s="55"/>
    </x:row>
    <x:row r="111" ht="28" customHeight="1">
      <x:c r="A111" s="55"/>
      <x:c r="B111" s="55"/>
      <x:c r="C111" s="60"/>
      <x:c r="D111" s="55"/>
      <x:c r="E111" s="55"/>
      <x:c r="F111" s="55"/>
      <x:c r="G111" s="56"/>
      <x:c r="H111" s="55"/>
      <x:c r="I111" s="63"/>
      <x:c r="J111" s="63"/>
      <x:c r="K111" s="65" t="str">
        <x:f>IF(COUNT(I111:J111)&lt;2,"",MAX(I111-J111,0))</x:f>
      </x:c>
      <x:c r="L111" s="63"/>
      <x:c r="M111" s="68"/>
      <x:c r="N111" s="68"/>
      <x:c r="O111" s="55"/>
      <x:c r="P111" s="55"/>
      <x:c r="Q111" s="56"/>
      <x:c r="R111" s="56"/>
      <x:c r="S111" s="55"/>
      <x:c r="T111" s="55"/>
      <x:c r="U111" s="63"/>
      <x:c r="V111" s="63"/>
      <x:c r="W111" s="55"/>
      <x:c r="X111" s="55"/>
      <x:c r="Y111" s="55"/>
      <x:c r="Z111" s="55"/>
      <x:c r="AA111" s="55"/>
      <x:c r="AB111" s="55"/>
      <x:c r="AC111" s="55"/>
      <x:c r="AD111" s="57"/>
      <x:c r="AE111" s="55"/>
      <x:c r="AF111" s="56"/>
      <x:c r="AG111" s="63"/>
      <x:c r="AH111" s="55"/>
      <x:c r="AI111" s="56"/>
      <x:c r="AJ111" s="55"/>
    </x:row>
    <x:row r="112" ht="28" customHeight="1">
      <x:c r="A112" s="55"/>
      <x:c r="B112" s="55"/>
      <x:c r="C112" s="60"/>
      <x:c r="D112" s="55"/>
      <x:c r="E112" s="55"/>
      <x:c r="F112" s="55"/>
      <x:c r="G112" s="56"/>
      <x:c r="H112" s="55"/>
      <x:c r="I112" s="63"/>
      <x:c r="J112" s="63"/>
      <x:c r="K112" s="65" t="str">
        <x:f>IF(COUNT(I112:J112)&lt;2,"",MAX(I112-J112,0))</x:f>
      </x:c>
      <x:c r="L112" s="63"/>
      <x:c r="M112" s="68"/>
      <x:c r="N112" s="68"/>
      <x:c r="O112" s="55"/>
      <x:c r="P112" s="55"/>
      <x:c r="Q112" s="56"/>
      <x:c r="R112" s="56"/>
      <x:c r="S112" s="55"/>
      <x:c r="T112" s="55"/>
      <x:c r="U112" s="63"/>
      <x:c r="V112" s="63"/>
      <x:c r="W112" s="55"/>
      <x:c r="X112" s="55"/>
      <x:c r="Y112" s="55"/>
      <x:c r="Z112" s="55"/>
      <x:c r="AA112" s="55"/>
      <x:c r="AB112" s="55"/>
      <x:c r="AC112" s="55"/>
      <x:c r="AD112" s="57"/>
      <x:c r="AE112" s="55"/>
      <x:c r="AF112" s="56"/>
      <x:c r="AG112" s="63"/>
      <x:c r="AH112" s="55"/>
      <x:c r="AI112" s="56"/>
      <x:c r="AJ112" s="55"/>
    </x:row>
    <x:row r="113" ht="28" customHeight="1">
      <x:c r="A113" s="55"/>
      <x:c r="B113" s="55"/>
      <x:c r="C113" s="60"/>
      <x:c r="D113" s="55"/>
      <x:c r="E113" s="55"/>
      <x:c r="F113" s="55"/>
      <x:c r="G113" s="56"/>
      <x:c r="H113" s="55"/>
      <x:c r="I113" s="63"/>
      <x:c r="J113" s="63"/>
      <x:c r="K113" s="65" t="str">
        <x:f>IF(COUNT(I113:J113)&lt;2,"",MAX(I113-J113,0))</x:f>
      </x:c>
      <x:c r="L113" s="63"/>
      <x:c r="M113" s="68"/>
      <x:c r="N113" s="68"/>
      <x:c r="O113" s="55"/>
      <x:c r="P113" s="55"/>
      <x:c r="Q113" s="56"/>
      <x:c r="R113" s="56"/>
      <x:c r="S113" s="55"/>
      <x:c r="T113" s="55"/>
      <x:c r="U113" s="63"/>
      <x:c r="V113" s="63"/>
      <x:c r="W113" s="55"/>
      <x:c r="X113" s="55"/>
      <x:c r="Y113" s="55"/>
      <x:c r="Z113" s="55"/>
      <x:c r="AA113" s="55"/>
      <x:c r="AB113" s="55"/>
      <x:c r="AC113" s="55"/>
      <x:c r="AD113" s="57"/>
      <x:c r="AE113" s="55"/>
      <x:c r="AF113" s="56"/>
      <x:c r="AG113" s="63"/>
      <x:c r="AH113" s="55"/>
      <x:c r="AI113" s="56"/>
      <x:c r="AJ113" s="55"/>
    </x:row>
    <x:row r="114" ht="28" customHeight="1">
      <x:c r="A114" s="55"/>
      <x:c r="B114" s="55"/>
      <x:c r="C114" s="60"/>
      <x:c r="D114" s="55"/>
      <x:c r="E114" s="55"/>
      <x:c r="F114" s="55"/>
      <x:c r="G114" s="56"/>
      <x:c r="H114" s="55"/>
      <x:c r="I114" s="63"/>
      <x:c r="J114" s="63"/>
      <x:c r="K114" s="65" t="str">
        <x:f>IF(COUNT(I114:J114)&lt;2,"",MAX(I114-J114,0))</x:f>
      </x:c>
      <x:c r="L114" s="63"/>
      <x:c r="M114" s="68"/>
      <x:c r="N114" s="68"/>
      <x:c r="O114" s="55"/>
      <x:c r="P114" s="55"/>
      <x:c r="Q114" s="56"/>
      <x:c r="R114" s="56"/>
      <x:c r="S114" s="55"/>
      <x:c r="T114" s="55"/>
      <x:c r="U114" s="63"/>
      <x:c r="V114" s="63"/>
      <x:c r="W114" s="55"/>
      <x:c r="X114" s="55"/>
      <x:c r="Y114" s="55"/>
      <x:c r="Z114" s="55"/>
      <x:c r="AA114" s="55"/>
      <x:c r="AB114" s="55"/>
      <x:c r="AC114" s="55"/>
      <x:c r="AD114" s="57"/>
      <x:c r="AE114" s="55"/>
      <x:c r="AF114" s="56"/>
      <x:c r="AG114" s="63"/>
      <x:c r="AH114" s="55"/>
      <x:c r="AI114" s="56"/>
      <x:c r="AJ114" s="55"/>
    </x:row>
    <x:row r="115" ht="28" customHeight="1">
      <x:c r="A115" s="55"/>
      <x:c r="B115" s="55"/>
      <x:c r="C115" s="60"/>
      <x:c r="D115" s="55"/>
      <x:c r="E115" s="55"/>
      <x:c r="F115" s="55"/>
      <x:c r="G115" s="56"/>
      <x:c r="H115" s="55"/>
      <x:c r="I115" s="63"/>
      <x:c r="J115" s="63"/>
      <x:c r="K115" s="65" t="str">
        <x:f>IF(COUNT(I115:J115)&lt;2,"",MAX(I115-J115,0))</x:f>
      </x:c>
      <x:c r="L115" s="63"/>
      <x:c r="M115" s="68"/>
      <x:c r="N115" s="68"/>
      <x:c r="O115" s="55"/>
      <x:c r="P115" s="55"/>
      <x:c r="Q115" s="56"/>
      <x:c r="R115" s="56"/>
      <x:c r="S115" s="55"/>
      <x:c r="T115" s="55"/>
      <x:c r="U115" s="63"/>
      <x:c r="V115" s="63"/>
      <x:c r="W115" s="55"/>
      <x:c r="X115" s="55"/>
      <x:c r="Y115" s="55"/>
      <x:c r="Z115" s="55"/>
      <x:c r="AA115" s="55"/>
      <x:c r="AB115" s="55"/>
      <x:c r="AC115" s="55"/>
      <x:c r="AD115" s="57"/>
      <x:c r="AE115" s="55"/>
      <x:c r="AF115" s="56"/>
      <x:c r="AG115" s="63"/>
      <x:c r="AH115" s="55"/>
      <x:c r="AI115" s="56"/>
      <x:c r="AJ115" s="55"/>
    </x:row>
    <x:row r="116" ht="28" customHeight="1">
      <x:c r="A116" s="55"/>
      <x:c r="B116" s="55"/>
      <x:c r="C116" s="60"/>
      <x:c r="D116" s="55"/>
      <x:c r="E116" s="55"/>
      <x:c r="F116" s="55"/>
      <x:c r="G116" s="56"/>
      <x:c r="H116" s="55"/>
      <x:c r="I116" s="63"/>
      <x:c r="J116" s="63"/>
      <x:c r="K116" s="65" t="str">
        <x:f>IF(COUNT(I116:J116)&lt;2,"",MAX(I116-J116,0))</x:f>
      </x:c>
      <x:c r="L116" s="63"/>
      <x:c r="M116" s="68"/>
      <x:c r="N116" s="68"/>
      <x:c r="O116" s="55"/>
      <x:c r="P116" s="55"/>
      <x:c r="Q116" s="56"/>
      <x:c r="R116" s="56"/>
      <x:c r="S116" s="55"/>
      <x:c r="T116" s="55"/>
      <x:c r="U116" s="63"/>
      <x:c r="V116" s="63"/>
      <x:c r="W116" s="55"/>
      <x:c r="X116" s="55"/>
      <x:c r="Y116" s="55"/>
      <x:c r="Z116" s="55"/>
      <x:c r="AA116" s="55"/>
      <x:c r="AB116" s="55"/>
      <x:c r="AC116" s="55"/>
      <x:c r="AD116" s="57"/>
      <x:c r="AE116" s="55"/>
      <x:c r="AF116" s="56"/>
      <x:c r="AG116" s="63"/>
      <x:c r="AH116" s="55"/>
      <x:c r="AI116" s="56"/>
      <x:c r="AJ116" s="55"/>
    </x:row>
    <x:row r="117" ht="28" customHeight="1">
      <x:c r="A117" s="55"/>
      <x:c r="B117" s="55"/>
      <x:c r="C117" s="60"/>
      <x:c r="D117" s="55"/>
      <x:c r="E117" s="55"/>
      <x:c r="F117" s="55"/>
      <x:c r="G117" s="56"/>
      <x:c r="H117" s="55"/>
      <x:c r="I117" s="63"/>
      <x:c r="J117" s="63"/>
      <x:c r="K117" s="65" t="str">
        <x:f>IF(COUNT(I117:J117)&lt;2,"",MAX(I117-J117,0))</x:f>
      </x:c>
      <x:c r="L117" s="63"/>
      <x:c r="M117" s="68"/>
      <x:c r="N117" s="68"/>
      <x:c r="O117" s="55"/>
      <x:c r="P117" s="55"/>
      <x:c r="Q117" s="56"/>
      <x:c r="R117" s="56"/>
      <x:c r="S117" s="55"/>
      <x:c r="T117" s="55"/>
      <x:c r="U117" s="63"/>
      <x:c r="V117" s="63"/>
      <x:c r="W117" s="55"/>
      <x:c r="X117" s="55"/>
      <x:c r="Y117" s="55"/>
      <x:c r="Z117" s="55"/>
      <x:c r="AA117" s="55"/>
      <x:c r="AB117" s="55"/>
      <x:c r="AC117" s="55"/>
      <x:c r="AD117" s="57"/>
      <x:c r="AE117" s="55"/>
      <x:c r="AF117" s="56"/>
      <x:c r="AG117" s="63"/>
      <x:c r="AH117" s="55"/>
      <x:c r="AI117" s="56"/>
      <x:c r="AJ117" s="55"/>
    </x:row>
    <x:row r="118" ht="28" customHeight="1">
      <x:c r="A118" s="55"/>
      <x:c r="B118" s="55"/>
      <x:c r="C118" s="60"/>
      <x:c r="D118" s="55"/>
      <x:c r="E118" s="55"/>
      <x:c r="F118" s="55"/>
      <x:c r="G118" s="56"/>
      <x:c r="H118" s="55"/>
      <x:c r="I118" s="63"/>
      <x:c r="J118" s="63"/>
      <x:c r="K118" s="65" t="str">
        <x:f>IF(COUNT(I118:J118)&lt;2,"",MAX(I118-J118,0))</x:f>
      </x:c>
      <x:c r="L118" s="63"/>
      <x:c r="M118" s="68"/>
      <x:c r="N118" s="68"/>
      <x:c r="O118" s="55"/>
      <x:c r="P118" s="55"/>
      <x:c r="Q118" s="56"/>
      <x:c r="R118" s="56"/>
      <x:c r="S118" s="55"/>
      <x:c r="T118" s="55"/>
      <x:c r="U118" s="63"/>
      <x:c r="V118" s="63"/>
      <x:c r="W118" s="55"/>
      <x:c r="X118" s="55"/>
      <x:c r="Y118" s="55"/>
      <x:c r="Z118" s="55"/>
      <x:c r="AA118" s="55"/>
      <x:c r="AB118" s="55"/>
      <x:c r="AC118" s="55"/>
      <x:c r="AD118" s="57"/>
      <x:c r="AE118" s="55"/>
      <x:c r="AF118" s="56"/>
      <x:c r="AG118" s="63"/>
      <x:c r="AH118" s="55"/>
      <x:c r="AI118" s="56"/>
      <x:c r="AJ118" s="55"/>
    </x:row>
    <x:row r="119" ht="28" customHeight="1">
      <x:c r="A119" s="55"/>
      <x:c r="B119" s="55"/>
      <x:c r="C119" s="60"/>
      <x:c r="D119" s="55"/>
      <x:c r="E119" s="55"/>
      <x:c r="F119" s="55"/>
      <x:c r="G119" s="56"/>
      <x:c r="H119" s="55"/>
      <x:c r="I119" s="63"/>
      <x:c r="J119" s="63"/>
      <x:c r="K119" s="65" t="str">
        <x:f>IF(COUNT(I119:J119)&lt;2,"",MAX(I119-J119,0))</x:f>
      </x:c>
      <x:c r="L119" s="63"/>
      <x:c r="M119" s="68"/>
      <x:c r="N119" s="68"/>
      <x:c r="O119" s="55"/>
      <x:c r="P119" s="55"/>
      <x:c r="Q119" s="56"/>
      <x:c r="R119" s="56"/>
      <x:c r="S119" s="55"/>
      <x:c r="T119" s="55"/>
      <x:c r="U119" s="63"/>
      <x:c r="V119" s="63"/>
      <x:c r="W119" s="55"/>
      <x:c r="X119" s="55"/>
      <x:c r="Y119" s="55"/>
      <x:c r="Z119" s="55"/>
      <x:c r="AA119" s="55"/>
      <x:c r="AB119" s="55"/>
      <x:c r="AC119" s="55"/>
      <x:c r="AD119" s="57"/>
      <x:c r="AE119" s="55"/>
      <x:c r="AF119" s="56"/>
      <x:c r="AG119" s="63"/>
      <x:c r="AH119" s="55"/>
      <x:c r="AI119" s="56"/>
      <x:c r="AJ119" s="55"/>
    </x:row>
    <x:row r="120" ht="28" customHeight="1">
      <x:c r="A120" s="55"/>
      <x:c r="B120" s="55"/>
      <x:c r="C120" s="60"/>
      <x:c r="D120" s="55"/>
      <x:c r="E120" s="55"/>
      <x:c r="F120" s="55"/>
      <x:c r="G120" s="56"/>
      <x:c r="H120" s="55"/>
      <x:c r="I120" s="63"/>
      <x:c r="J120" s="63"/>
      <x:c r="K120" s="65" t="str">
        <x:f>IF(COUNT(I120:J120)&lt;2,"",MAX(I120-J120,0))</x:f>
      </x:c>
      <x:c r="L120" s="63"/>
      <x:c r="M120" s="68"/>
      <x:c r="N120" s="68"/>
      <x:c r="O120" s="55"/>
      <x:c r="P120" s="55"/>
      <x:c r="Q120" s="56"/>
      <x:c r="R120" s="56"/>
      <x:c r="S120" s="55"/>
      <x:c r="T120" s="55"/>
      <x:c r="U120" s="63"/>
      <x:c r="V120" s="63"/>
      <x:c r="W120" s="55"/>
      <x:c r="X120" s="55"/>
      <x:c r="Y120" s="55"/>
      <x:c r="Z120" s="55"/>
      <x:c r="AA120" s="55"/>
      <x:c r="AB120" s="55"/>
      <x:c r="AC120" s="55"/>
      <x:c r="AD120" s="57"/>
      <x:c r="AE120" s="55"/>
      <x:c r="AF120" s="56"/>
      <x:c r="AG120" s="63"/>
      <x:c r="AH120" s="55"/>
      <x:c r="AI120" s="56"/>
      <x:c r="AJ120" s="55"/>
    </x:row>
    <x:row r="121" ht="28" customHeight="1">
      <x:c r="A121" s="55"/>
      <x:c r="B121" s="55"/>
      <x:c r="C121" s="60"/>
      <x:c r="D121" s="55"/>
      <x:c r="E121" s="55"/>
      <x:c r="F121" s="55"/>
      <x:c r="G121" s="56"/>
      <x:c r="H121" s="55"/>
      <x:c r="I121" s="63"/>
      <x:c r="J121" s="63"/>
      <x:c r="K121" s="65" t="str">
        <x:f>IF(COUNT(I121:J121)&lt;2,"",MAX(I121-J121,0))</x:f>
      </x:c>
      <x:c r="L121" s="63"/>
      <x:c r="M121" s="68"/>
      <x:c r="N121" s="68"/>
      <x:c r="O121" s="55"/>
      <x:c r="P121" s="55"/>
      <x:c r="Q121" s="56"/>
      <x:c r="R121" s="56"/>
      <x:c r="S121" s="55"/>
      <x:c r="T121" s="55"/>
      <x:c r="U121" s="63"/>
      <x:c r="V121" s="63"/>
      <x:c r="W121" s="55"/>
      <x:c r="X121" s="55"/>
      <x:c r="Y121" s="55"/>
      <x:c r="Z121" s="55"/>
      <x:c r="AA121" s="55"/>
      <x:c r="AB121" s="55"/>
      <x:c r="AC121" s="55"/>
      <x:c r="AD121" s="57"/>
      <x:c r="AE121" s="55"/>
      <x:c r="AF121" s="56"/>
      <x:c r="AG121" s="63"/>
      <x:c r="AH121" s="55"/>
      <x:c r="AI121" s="56"/>
      <x:c r="AJ121" s="55"/>
    </x:row>
    <x:row r="122" ht="28" customHeight="1">
      <x:c r="A122" s="55"/>
      <x:c r="B122" s="55"/>
      <x:c r="C122" s="60"/>
      <x:c r="D122" s="55"/>
      <x:c r="E122" s="55"/>
      <x:c r="F122" s="55"/>
      <x:c r="G122" s="56"/>
      <x:c r="H122" s="55"/>
      <x:c r="I122" s="63"/>
      <x:c r="J122" s="63"/>
      <x:c r="K122" s="65" t="str">
        <x:f>IF(COUNT(I122:J122)&lt;2,"",MAX(I122-J122,0))</x:f>
      </x:c>
      <x:c r="L122" s="63"/>
      <x:c r="M122" s="68"/>
      <x:c r="N122" s="68"/>
      <x:c r="O122" s="55"/>
      <x:c r="P122" s="55"/>
      <x:c r="Q122" s="56"/>
      <x:c r="R122" s="56"/>
      <x:c r="S122" s="55"/>
      <x:c r="T122" s="55"/>
      <x:c r="U122" s="63"/>
      <x:c r="V122" s="63"/>
      <x:c r="W122" s="55"/>
      <x:c r="X122" s="55"/>
      <x:c r="Y122" s="55"/>
      <x:c r="Z122" s="55"/>
      <x:c r="AA122" s="55"/>
      <x:c r="AB122" s="55"/>
      <x:c r="AC122" s="55"/>
      <x:c r="AD122" s="57"/>
      <x:c r="AE122" s="55"/>
      <x:c r="AF122" s="56"/>
      <x:c r="AG122" s="63"/>
      <x:c r="AH122" s="55"/>
      <x:c r="AI122" s="56"/>
      <x:c r="AJ122" s="55"/>
    </x:row>
    <x:row r="123" ht="28" customHeight="1">
      <x:c r="A123" s="55"/>
      <x:c r="B123" s="55"/>
      <x:c r="C123" s="60"/>
      <x:c r="D123" s="55"/>
      <x:c r="E123" s="55"/>
      <x:c r="F123" s="55"/>
      <x:c r="G123" s="56"/>
      <x:c r="H123" s="55"/>
      <x:c r="I123" s="63"/>
      <x:c r="J123" s="63"/>
      <x:c r="K123" s="65" t="str">
        <x:f>IF(COUNT(I123:J123)&lt;2,"",MAX(I123-J123,0))</x:f>
      </x:c>
      <x:c r="L123" s="63"/>
      <x:c r="M123" s="68"/>
      <x:c r="N123" s="68"/>
      <x:c r="O123" s="55"/>
      <x:c r="P123" s="55"/>
      <x:c r="Q123" s="56"/>
      <x:c r="R123" s="56"/>
      <x:c r="S123" s="55"/>
      <x:c r="T123" s="55"/>
      <x:c r="U123" s="63"/>
      <x:c r="V123" s="63"/>
      <x:c r="W123" s="55"/>
      <x:c r="X123" s="55"/>
      <x:c r="Y123" s="55"/>
      <x:c r="Z123" s="55"/>
      <x:c r="AA123" s="55"/>
      <x:c r="AB123" s="55"/>
      <x:c r="AC123" s="55"/>
      <x:c r="AD123" s="57"/>
      <x:c r="AE123" s="55"/>
      <x:c r="AF123" s="56"/>
      <x:c r="AG123" s="63"/>
      <x:c r="AH123" s="55"/>
      <x:c r="AI123" s="56"/>
      <x:c r="AJ123" s="55"/>
    </x:row>
    <x:row r="124" ht="28" customHeight="1">
      <x:c r="A124" s="55"/>
      <x:c r="B124" s="55"/>
      <x:c r="C124" s="60"/>
      <x:c r="D124" s="55"/>
      <x:c r="E124" s="55"/>
      <x:c r="F124" s="55"/>
      <x:c r="G124" s="56"/>
      <x:c r="H124" s="55"/>
      <x:c r="I124" s="63"/>
      <x:c r="J124" s="63"/>
      <x:c r="K124" s="65" t="str">
        <x:f>IF(COUNT(I124:J124)&lt;2,"",MAX(I124-J124,0))</x:f>
      </x:c>
      <x:c r="L124" s="63"/>
      <x:c r="M124" s="68"/>
      <x:c r="N124" s="68"/>
      <x:c r="O124" s="55"/>
      <x:c r="P124" s="55"/>
      <x:c r="Q124" s="56"/>
      <x:c r="R124" s="56"/>
      <x:c r="S124" s="55"/>
      <x:c r="T124" s="55"/>
      <x:c r="U124" s="63"/>
      <x:c r="V124" s="63"/>
      <x:c r="W124" s="55"/>
      <x:c r="X124" s="55"/>
      <x:c r="Y124" s="55"/>
      <x:c r="Z124" s="55"/>
      <x:c r="AA124" s="55"/>
      <x:c r="AB124" s="55"/>
      <x:c r="AC124" s="55"/>
      <x:c r="AD124" s="57"/>
      <x:c r="AE124" s="55"/>
      <x:c r="AF124" s="56"/>
      <x:c r="AG124" s="63"/>
      <x:c r="AH124" s="55"/>
      <x:c r="AI124" s="56"/>
      <x:c r="AJ124" s="55"/>
    </x:row>
    <x:row r="125" ht="28" customHeight="1">
      <x:c r="A125" s="55"/>
      <x:c r="B125" s="55"/>
      <x:c r="C125" s="60"/>
      <x:c r="D125" s="55"/>
      <x:c r="E125" s="55"/>
      <x:c r="F125" s="55"/>
      <x:c r="G125" s="56"/>
      <x:c r="H125" s="55"/>
      <x:c r="I125" s="63"/>
      <x:c r="J125" s="63"/>
      <x:c r="K125" s="65" t="str">
        <x:f>IF(COUNT(I125:J125)&lt;2,"",MAX(I125-J125,0))</x:f>
      </x:c>
      <x:c r="L125" s="63"/>
      <x:c r="M125" s="68"/>
      <x:c r="N125" s="68"/>
      <x:c r="O125" s="55"/>
      <x:c r="P125" s="55"/>
      <x:c r="Q125" s="56"/>
      <x:c r="R125" s="56"/>
      <x:c r="S125" s="55"/>
      <x:c r="T125" s="55"/>
      <x:c r="U125" s="63"/>
      <x:c r="V125" s="63"/>
      <x:c r="W125" s="55"/>
      <x:c r="X125" s="55"/>
      <x:c r="Y125" s="55"/>
      <x:c r="Z125" s="55"/>
      <x:c r="AA125" s="55"/>
      <x:c r="AB125" s="55"/>
      <x:c r="AC125" s="55"/>
      <x:c r="AD125" s="57"/>
      <x:c r="AE125" s="55"/>
      <x:c r="AF125" s="56"/>
      <x:c r="AG125" s="63"/>
      <x:c r="AH125" s="55"/>
      <x:c r="AI125" s="56"/>
      <x:c r="AJ125" s="55"/>
    </x:row>
    <x:row r="126" ht="28" customHeight="1">
      <x:c r="A126" s="55"/>
      <x:c r="B126" s="55"/>
      <x:c r="C126" s="60"/>
      <x:c r="D126" s="55"/>
      <x:c r="E126" s="55"/>
      <x:c r="F126" s="55"/>
      <x:c r="G126" s="56"/>
      <x:c r="H126" s="55"/>
      <x:c r="I126" s="63"/>
      <x:c r="J126" s="63"/>
      <x:c r="K126" s="65" t="str">
        <x:f>IF(COUNT(I126:J126)&lt;2,"",MAX(I126-J126,0))</x:f>
      </x:c>
      <x:c r="L126" s="63"/>
      <x:c r="M126" s="68"/>
      <x:c r="N126" s="68"/>
      <x:c r="O126" s="55"/>
      <x:c r="P126" s="55"/>
      <x:c r="Q126" s="56"/>
      <x:c r="R126" s="56"/>
      <x:c r="S126" s="55"/>
      <x:c r="T126" s="55"/>
      <x:c r="U126" s="63"/>
      <x:c r="V126" s="63"/>
      <x:c r="W126" s="55"/>
      <x:c r="X126" s="55"/>
      <x:c r="Y126" s="55"/>
      <x:c r="Z126" s="55"/>
      <x:c r="AA126" s="55"/>
      <x:c r="AB126" s="55"/>
      <x:c r="AC126" s="55"/>
      <x:c r="AD126" s="57"/>
      <x:c r="AE126" s="55"/>
      <x:c r="AF126" s="56"/>
      <x:c r="AG126" s="63"/>
      <x:c r="AH126" s="55"/>
      <x:c r="AI126" s="56"/>
      <x:c r="AJ126" s="55"/>
    </x:row>
    <x:row r="127" ht="28" customHeight="1">
      <x:c r="A127" s="55"/>
      <x:c r="B127" s="55"/>
      <x:c r="C127" s="60"/>
      <x:c r="D127" s="55"/>
      <x:c r="E127" s="55"/>
      <x:c r="F127" s="55"/>
      <x:c r="G127" s="56"/>
      <x:c r="H127" s="55"/>
      <x:c r="I127" s="63"/>
      <x:c r="J127" s="63"/>
      <x:c r="K127" s="65" t="str">
        <x:f>IF(COUNT(I127:J127)&lt;2,"",MAX(I127-J127,0))</x:f>
      </x:c>
      <x:c r="L127" s="63"/>
      <x:c r="M127" s="68"/>
      <x:c r="N127" s="68"/>
      <x:c r="O127" s="55"/>
      <x:c r="P127" s="55"/>
      <x:c r="Q127" s="56"/>
      <x:c r="R127" s="56"/>
      <x:c r="S127" s="55"/>
      <x:c r="T127" s="55"/>
      <x:c r="U127" s="63"/>
      <x:c r="V127" s="63"/>
      <x:c r="W127" s="55"/>
      <x:c r="X127" s="55"/>
      <x:c r="Y127" s="55"/>
      <x:c r="Z127" s="55"/>
      <x:c r="AA127" s="55"/>
      <x:c r="AB127" s="55"/>
      <x:c r="AC127" s="55"/>
      <x:c r="AD127" s="57"/>
      <x:c r="AE127" s="55"/>
      <x:c r="AF127" s="56"/>
      <x:c r="AG127" s="63"/>
      <x:c r="AH127" s="55"/>
      <x:c r="AI127" s="56"/>
      <x:c r="AJ127" s="55"/>
    </x:row>
    <x:row r="128" ht="28" customHeight="1">
      <x:c r="A128" s="55"/>
      <x:c r="B128" s="55"/>
      <x:c r="C128" s="60"/>
      <x:c r="D128" s="55"/>
      <x:c r="E128" s="55"/>
      <x:c r="F128" s="55"/>
      <x:c r="G128" s="56"/>
      <x:c r="H128" s="55"/>
      <x:c r="I128" s="63"/>
      <x:c r="J128" s="63"/>
      <x:c r="K128" s="65" t="str">
        <x:f>IF(COUNT(I128:J128)&lt;2,"",MAX(I128-J128,0))</x:f>
      </x:c>
      <x:c r="L128" s="63"/>
      <x:c r="M128" s="68"/>
      <x:c r="N128" s="68"/>
      <x:c r="O128" s="55"/>
      <x:c r="P128" s="55"/>
      <x:c r="Q128" s="56"/>
      <x:c r="R128" s="56"/>
      <x:c r="S128" s="55"/>
      <x:c r="T128" s="55"/>
      <x:c r="U128" s="63"/>
      <x:c r="V128" s="63"/>
      <x:c r="W128" s="55"/>
      <x:c r="X128" s="55"/>
      <x:c r="Y128" s="55"/>
      <x:c r="Z128" s="55"/>
      <x:c r="AA128" s="55"/>
      <x:c r="AB128" s="55"/>
      <x:c r="AC128" s="55"/>
      <x:c r="AD128" s="57"/>
      <x:c r="AE128" s="55"/>
      <x:c r="AF128" s="56"/>
      <x:c r="AG128" s="63"/>
      <x:c r="AH128" s="55"/>
      <x:c r="AI128" s="56"/>
      <x:c r="AJ128" s="55"/>
    </x:row>
    <x:row r="129" ht="28" customHeight="1">
      <x:c r="A129" s="55"/>
      <x:c r="B129" s="55"/>
      <x:c r="C129" s="60"/>
      <x:c r="D129" s="55"/>
      <x:c r="E129" s="55"/>
      <x:c r="F129" s="55"/>
      <x:c r="G129" s="56"/>
      <x:c r="H129" s="55"/>
      <x:c r="I129" s="63"/>
      <x:c r="J129" s="63"/>
      <x:c r="K129" s="65" t="str">
        <x:f>IF(COUNT(I129:J129)&lt;2,"",MAX(I129-J129,0))</x:f>
      </x:c>
      <x:c r="L129" s="63"/>
      <x:c r="M129" s="68"/>
      <x:c r="N129" s="68"/>
      <x:c r="O129" s="55"/>
      <x:c r="P129" s="55"/>
      <x:c r="Q129" s="56"/>
      <x:c r="R129" s="56"/>
      <x:c r="S129" s="55"/>
      <x:c r="T129" s="55"/>
      <x:c r="U129" s="63"/>
      <x:c r="V129" s="63"/>
      <x:c r="W129" s="55"/>
      <x:c r="X129" s="55"/>
      <x:c r="Y129" s="55"/>
      <x:c r="Z129" s="55"/>
      <x:c r="AA129" s="55"/>
      <x:c r="AB129" s="55"/>
      <x:c r="AC129" s="55"/>
      <x:c r="AD129" s="57"/>
      <x:c r="AE129" s="55"/>
      <x:c r="AF129" s="56"/>
      <x:c r="AG129" s="63"/>
      <x:c r="AH129" s="55"/>
      <x:c r="AI129" s="56"/>
      <x:c r="AJ129" s="55"/>
    </x:row>
    <x:row r="130" ht="28" customHeight="1">
      <x:c r="A130" s="55"/>
      <x:c r="B130" s="55"/>
      <x:c r="C130" s="60"/>
      <x:c r="D130" s="55"/>
      <x:c r="E130" s="55"/>
      <x:c r="F130" s="55"/>
      <x:c r="G130" s="56"/>
      <x:c r="H130" s="55"/>
      <x:c r="I130" s="63"/>
      <x:c r="J130" s="63"/>
      <x:c r="K130" s="65" t="str">
        <x:f>IF(COUNT(I130:J130)&lt;2,"",MAX(I130-J130,0))</x:f>
      </x:c>
      <x:c r="L130" s="63"/>
      <x:c r="M130" s="68"/>
      <x:c r="N130" s="68"/>
      <x:c r="O130" s="55"/>
      <x:c r="P130" s="55"/>
      <x:c r="Q130" s="56"/>
      <x:c r="R130" s="56"/>
      <x:c r="S130" s="55"/>
      <x:c r="T130" s="55"/>
      <x:c r="U130" s="63"/>
      <x:c r="V130" s="63"/>
      <x:c r="W130" s="55"/>
      <x:c r="X130" s="55"/>
      <x:c r="Y130" s="55"/>
      <x:c r="Z130" s="55"/>
      <x:c r="AA130" s="55"/>
      <x:c r="AB130" s="55"/>
      <x:c r="AC130" s="55"/>
      <x:c r="AD130" s="57"/>
      <x:c r="AE130" s="55"/>
      <x:c r="AF130" s="56"/>
      <x:c r="AG130" s="63"/>
      <x:c r="AH130" s="55"/>
      <x:c r="AI130" s="56"/>
      <x:c r="AJ130" s="55"/>
    </x:row>
    <x:row r="131" ht="28" customHeight="1">
      <x:c r="A131" s="55"/>
      <x:c r="B131" s="55"/>
      <x:c r="C131" s="60"/>
      <x:c r="D131" s="55"/>
      <x:c r="E131" s="55"/>
      <x:c r="F131" s="55"/>
      <x:c r="G131" s="56"/>
      <x:c r="H131" s="55"/>
      <x:c r="I131" s="63"/>
      <x:c r="J131" s="63"/>
      <x:c r="K131" s="65" t="str">
        <x:f>IF(COUNT(I131:J131)&lt;2,"",MAX(I131-J131,0))</x:f>
      </x:c>
      <x:c r="L131" s="63"/>
      <x:c r="M131" s="68"/>
      <x:c r="N131" s="68"/>
      <x:c r="O131" s="55"/>
      <x:c r="P131" s="55"/>
      <x:c r="Q131" s="56"/>
      <x:c r="R131" s="56"/>
      <x:c r="S131" s="55"/>
      <x:c r="T131" s="55"/>
      <x:c r="U131" s="63"/>
      <x:c r="V131" s="63"/>
      <x:c r="W131" s="55"/>
      <x:c r="X131" s="55"/>
      <x:c r="Y131" s="55"/>
      <x:c r="Z131" s="55"/>
      <x:c r="AA131" s="55"/>
      <x:c r="AB131" s="55"/>
      <x:c r="AC131" s="55"/>
      <x:c r="AD131" s="57"/>
      <x:c r="AE131" s="55"/>
      <x:c r="AF131" s="56"/>
      <x:c r="AG131" s="63"/>
      <x:c r="AH131" s="55"/>
      <x:c r="AI131" s="56"/>
      <x:c r="AJ131" s="55"/>
    </x:row>
    <x:row r="132" ht="28" customHeight="1">
      <x:c r="A132" s="55"/>
      <x:c r="B132" s="55"/>
      <x:c r="C132" s="60"/>
      <x:c r="D132" s="55"/>
      <x:c r="E132" s="55"/>
      <x:c r="F132" s="55"/>
      <x:c r="G132" s="56"/>
      <x:c r="H132" s="55"/>
      <x:c r="I132" s="63"/>
      <x:c r="J132" s="63"/>
      <x:c r="K132" s="65" t="str">
        <x:f>IF(COUNT(I132:J132)&lt;2,"",MAX(I132-J132,0))</x:f>
      </x:c>
      <x:c r="L132" s="63"/>
      <x:c r="M132" s="68"/>
      <x:c r="N132" s="68"/>
      <x:c r="O132" s="55"/>
      <x:c r="P132" s="55"/>
      <x:c r="Q132" s="56"/>
      <x:c r="R132" s="56"/>
      <x:c r="S132" s="55"/>
      <x:c r="T132" s="55"/>
      <x:c r="U132" s="63"/>
      <x:c r="V132" s="63"/>
      <x:c r="W132" s="55"/>
      <x:c r="X132" s="55"/>
      <x:c r="Y132" s="55"/>
      <x:c r="Z132" s="55"/>
      <x:c r="AA132" s="55"/>
      <x:c r="AB132" s="55"/>
      <x:c r="AC132" s="55"/>
      <x:c r="AD132" s="57"/>
      <x:c r="AE132" s="55"/>
      <x:c r="AF132" s="56"/>
      <x:c r="AG132" s="63"/>
      <x:c r="AH132" s="55"/>
      <x:c r="AI132" s="56"/>
      <x:c r="AJ132" s="55"/>
    </x:row>
    <x:row r="133" ht="28" customHeight="1">
      <x:c r="A133" s="55"/>
      <x:c r="B133" s="55"/>
      <x:c r="C133" s="60"/>
      <x:c r="D133" s="55"/>
      <x:c r="E133" s="55"/>
      <x:c r="F133" s="55"/>
      <x:c r="G133" s="56"/>
      <x:c r="H133" s="55"/>
      <x:c r="I133" s="63"/>
      <x:c r="J133" s="63"/>
      <x:c r="K133" s="65" t="str">
        <x:f>IF(COUNT(I133:J133)&lt;2,"",MAX(I133-J133,0))</x:f>
      </x:c>
      <x:c r="L133" s="63"/>
      <x:c r="M133" s="68"/>
      <x:c r="N133" s="68"/>
      <x:c r="O133" s="55"/>
      <x:c r="P133" s="55"/>
      <x:c r="Q133" s="56"/>
      <x:c r="R133" s="56"/>
      <x:c r="S133" s="55"/>
      <x:c r="T133" s="55"/>
      <x:c r="U133" s="63"/>
      <x:c r="V133" s="63"/>
      <x:c r="W133" s="55"/>
      <x:c r="X133" s="55"/>
      <x:c r="Y133" s="55"/>
      <x:c r="Z133" s="55"/>
      <x:c r="AA133" s="55"/>
      <x:c r="AB133" s="55"/>
      <x:c r="AC133" s="55"/>
      <x:c r="AD133" s="57"/>
      <x:c r="AE133" s="55"/>
      <x:c r="AF133" s="56"/>
      <x:c r="AG133" s="63"/>
      <x:c r="AH133" s="55"/>
      <x:c r="AI133" s="56"/>
      <x:c r="AJ133" s="55"/>
    </x:row>
    <x:row r="134" ht="28" customHeight="1">
      <x:c r="A134" s="55"/>
      <x:c r="B134" s="55"/>
      <x:c r="C134" s="60"/>
      <x:c r="D134" s="55"/>
      <x:c r="E134" s="55"/>
      <x:c r="F134" s="55"/>
      <x:c r="G134" s="56"/>
      <x:c r="H134" s="55"/>
      <x:c r="I134" s="63"/>
      <x:c r="J134" s="63"/>
      <x:c r="K134" s="65" t="str">
        <x:f>IF(COUNT(I134:J134)&lt;2,"",MAX(I134-J134,0))</x:f>
      </x:c>
      <x:c r="L134" s="63"/>
      <x:c r="M134" s="68"/>
      <x:c r="N134" s="68"/>
      <x:c r="O134" s="55"/>
      <x:c r="P134" s="55"/>
      <x:c r="Q134" s="56"/>
      <x:c r="R134" s="56"/>
      <x:c r="S134" s="55"/>
      <x:c r="T134" s="55"/>
      <x:c r="U134" s="63"/>
      <x:c r="V134" s="63"/>
      <x:c r="W134" s="55"/>
      <x:c r="X134" s="55"/>
      <x:c r="Y134" s="55"/>
      <x:c r="Z134" s="55"/>
      <x:c r="AA134" s="55"/>
      <x:c r="AB134" s="55"/>
      <x:c r="AC134" s="55"/>
      <x:c r="AD134" s="57"/>
      <x:c r="AE134" s="55"/>
      <x:c r="AF134" s="56"/>
      <x:c r="AG134" s="63"/>
      <x:c r="AH134" s="55"/>
      <x:c r="AI134" s="56"/>
      <x:c r="AJ134" s="55"/>
    </x:row>
    <x:row r="135" ht="28" customHeight="1">
      <x:c r="A135" s="55"/>
      <x:c r="B135" s="55"/>
      <x:c r="C135" s="60"/>
      <x:c r="D135" s="55"/>
      <x:c r="E135" s="55"/>
      <x:c r="F135" s="55"/>
      <x:c r="G135" s="56"/>
      <x:c r="H135" s="55"/>
      <x:c r="I135" s="63"/>
      <x:c r="J135" s="63"/>
      <x:c r="K135" s="65" t="str">
        <x:f>IF(COUNT(I135:J135)&lt;2,"",MAX(I135-J135,0))</x:f>
      </x:c>
      <x:c r="L135" s="63"/>
      <x:c r="M135" s="68"/>
      <x:c r="N135" s="68"/>
      <x:c r="O135" s="55"/>
      <x:c r="P135" s="55"/>
      <x:c r="Q135" s="56"/>
      <x:c r="R135" s="56"/>
      <x:c r="S135" s="55"/>
      <x:c r="T135" s="55"/>
      <x:c r="U135" s="63"/>
      <x:c r="V135" s="63"/>
      <x:c r="W135" s="55"/>
      <x:c r="X135" s="55"/>
      <x:c r="Y135" s="55"/>
      <x:c r="Z135" s="55"/>
      <x:c r="AA135" s="55"/>
      <x:c r="AB135" s="55"/>
      <x:c r="AC135" s="55"/>
      <x:c r="AD135" s="57"/>
      <x:c r="AE135" s="55"/>
      <x:c r="AF135" s="56"/>
      <x:c r="AG135" s="63"/>
      <x:c r="AH135" s="55"/>
      <x:c r="AI135" s="56"/>
      <x:c r="AJ135" s="55"/>
    </x:row>
    <x:row r="136" ht="28" customHeight="1">
      <x:c r="A136" s="55"/>
      <x:c r="B136" s="55"/>
      <x:c r="C136" s="60"/>
      <x:c r="D136" s="55"/>
      <x:c r="E136" s="55"/>
      <x:c r="F136" s="55"/>
      <x:c r="G136" s="56"/>
      <x:c r="H136" s="55"/>
      <x:c r="I136" s="63"/>
      <x:c r="J136" s="63"/>
      <x:c r="K136" s="65" t="str">
        <x:f>IF(COUNT(I136:J136)&lt;2,"",MAX(I136-J136,0))</x:f>
      </x:c>
      <x:c r="L136" s="63"/>
      <x:c r="M136" s="68"/>
      <x:c r="N136" s="68"/>
      <x:c r="O136" s="55"/>
      <x:c r="P136" s="55"/>
      <x:c r="Q136" s="56"/>
      <x:c r="R136" s="56"/>
      <x:c r="S136" s="55"/>
      <x:c r="T136" s="55"/>
      <x:c r="U136" s="63"/>
      <x:c r="V136" s="63"/>
      <x:c r="W136" s="55"/>
      <x:c r="X136" s="55"/>
      <x:c r="Y136" s="55"/>
      <x:c r="Z136" s="55"/>
      <x:c r="AA136" s="55"/>
      <x:c r="AB136" s="55"/>
      <x:c r="AC136" s="55"/>
      <x:c r="AD136" s="57"/>
      <x:c r="AE136" s="55"/>
      <x:c r="AF136" s="56"/>
      <x:c r="AG136" s="63"/>
      <x:c r="AH136" s="55"/>
      <x:c r="AI136" s="56"/>
      <x:c r="AJ136" s="55"/>
    </x:row>
    <x:row r="137" ht="28" customHeight="1">
      <x:c r="A137" s="55"/>
      <x:c r="B137" s="55"/>
      <x:c r="C137" s="60"/>
      <x:c r="D137" s="55"/>
      <x:c r="E137" s="55"/>
      <x:c r="F137" s="55"/>
      <x:c r="G137" s="56"/>
      <x:c r="H137" s="55"/>
      <x:c r="I137" s="63"/>
      <x:c r="J137" s="63"/>
      <x:c r="K137" s="65" t="str">
        <x:f>IF(COUNT(I137:J137)&lt;2,"",MAX(I137-J137,0))</x:f>
      </x:c>
      <x:c r="L137" s="63"/>
      <x:c r="M137" s="68"/>
      <x:c r="N137" s="68"/>
      <x:c r="O137" s="55"/>
      <x:c r="P137" s="55"/>
      <x:c r="Q137" s="56"/>
      <x:c r="R137" s="56"/>
      <x:c r="S137" s="55"/>
      <x:c r="T137" s="55"/>
      <x:c r="U137" s="63"/>
      <x:c r="V137" s="63"/>
      <x:c r="W137" s="55"/>
      <x:c r="X137" s="55"/>
      <x:c r="Y137" s="55"/>
      <x:c r="Z137" s="55"/>
      <x:c r="AA137" s="55"/>
      <x:c r="AB137" s="55"/>
      <x:c r="AC137" s="55"/>
      <x:c r="AD137" s="57"/>
      <x:c r="AE137" s="55"/>
      <x:c r="AF137" s="56"/>
      <x:c r="AG137" s="63"/>
      <x:c r="AH137" s="55"/>
      <x:c r="AI137" s="56"/>
      <x:c r="AJ137" s="55"/>
    </x:row>
    <x:row r="138" ht="28" customHeight="1">
      <x:c r="A138" s="55"/>
      <x:c r="B138" s="55"/>
      <x:c r="C138" s="60"/>
      <x:c r="D138" s="55"/>
      <x:c r="E138" s="55"/>
      <x:c r="F138" s="55"/>
      <x:c r="G138" s="56"/>
      <x:c r="H138" s="55"/>
      <x:c r="I138" s="63"/>
      <x:c r="J138" s="63"/>
      <x:c r="K138" s="65" t="str">
        <x:f>IF(COUNT(I138:J138)&lt;2,"",MAX(I138-J138,0))</x:f>
      </x:c>
      <x:c r="L138" s="63"/>
      <x:c r="M138" s="68"/>
      <x:c r="N138" s="68"/>
      <x:c r="O138" s="55"/>
      <x:c r="P138" s="55"/>
      <x:c r="Q138" s="56"/>
      <x:c r="R138" s="56"/>
      <x:c r="S138" s="55"/>
      <x:c r="T138" s="55"/>
      <x:c r="U138" s="63"/>
      <x:c r="V138" s="63"/>
      <x:c r="W138" s="55"/>
      <x:c r="X138" s="55"/>
      <x:c r="Y138" s="55"/>
      <x:c r="Z138" s="55"/>
      <x:c r="AA138" s="55"/>
      <x:c r="AB138" s="55"/>
      <x:c r="AC138" s="55"/>
      <x:c r="AD138" s="57"/>
      <x:c r="AE138" s="55"/>
      <x:c r="AF138" s="56"/>
      <x:c r="AG138" s="63"/>
      <x:c r="AH138" s="55"/>
      <x:c r="AI138" s="56"/>
      <x:c r="AJ138" s="55"/>
    </x:row>
    <x:row r="139" ht="28" customHeight="1">
      <x:c r="A139" s="55"/>
      <x:c r="B139" s="55"/>
      <x:c r="C139" s="60"/>
      <x:c r="D139" s="55"/>
      <x:c r="E139" s="55"/>
      <x:c r="F139" s="55"/>
      <x:c r="G139" s="56"/>
      <x:c r="H139" s="55"/>
      <x:c r="I139" s="63"/>
      <x:c r="J139" s="63"/>
      <x:c r="K139" s="65" t="str">
        <x:f>IF(COUNT(I139:J139)&lt;2,"",MAX(I139-J139,0))</x:f>
      </x:c>
      <x:c r="L139" s="63"/>
      <x:c r="M139" s="68"/>
      <x:c r="N139" s="68"/>
      <x:c r="O139" s="55"/>
      <x:c r="P139" s="55"/>
      <x:c r="Q139" s="56"/>
      <x:c r="R139" s="56"/>
      <x:c r="S139" s="55"/>
      <x:c r="T139" s="55"/>
      <x:c r="U139" s="63"/>
      <x:c r="V139" s="63"/>
      <x:c r="W139" s="55"/>
      <x:c r="X139" s="55"/>
      <x:c r="Y139" s="55"/>
      <x:c r="Z139" s="55"/>
      <x:c r="AA139" s="55"/>
      <x:c r="AB139" s="55"/>
      <x:c r="AC139" s="55"/>
      <x:c r="AD139" s="57"/>
      <x:c r="AE139" s="55"/>
      <x:c r="AF139" s="56"/>
      <x:c r="AG139" s="63"/>
      <x:c r="AH139" s="55"/>
      <x:c r="AI139" s="56"/>
      <x:c r="AJ139" s="55"/>
    </x:row>
    <x:row r="140" ht="28" customHeight="1">
      <x:c r="A140" s="55"/>
      <x:c r="B140" s="55"/>
      <x:c r="C140" s="60"/>
      <x:c r="D140" s="55"/>
      <x:c r="E140" s="55"/>
      <x:c r="F140" s="55"/>
      <x:c r="G140" s="56"/>
      <x:c r="H140" s="55"/>
      <x:c r="I140" s="63"/>
      <x:c r="J140" s="63"/>
      <x:c r="K140" s="65" t="str">
        <x:f>IF(COUNT(I140:J140)&lt;2,"",MAX(I140-J140,0))</x:f>
      </x:c>
      <x:c r="L140" s="63"/>
      <x:c r="M140" s="68"/>
      <x:c r="N140" s="68"/>
      <x:c r="O140" s="55"/>
      <x:c r="P140" s="55"/>
      <x:c r="Q140" s="56"/>
      <x:c r="R140" s="56"/>
      <x:c r="S140" s="55"/>
      <x:c r="T140" s="55"/>
      <x:c r="U140" s="63"/>
      <x:c r="V140" s="63"/>
      <x:c r="W140" s="55"/>
      <x:c r="X140" s="55"/>
      <x:c r="Y140" s="55"/>
      <x:c r="Z140" s="55"/>
      <x:c r="AA140" s="55"/>
      <x:c r="AB140" s="55"/>
      <x:c r="AC140" s="55"/>
      <x:c r="AD140" s="57"/>
      <x:c r="AE140" s="55"/>
      <x:c r="AF140" s="56"/>
      <x:c r="AG140" s="63"/>
      <x:c r="AH140" s="55"/>
      <x:c r="AI140" s="56"/>
      <x:c r="AJ140" s="55"/>
    </x:row>
    <x:row r="141" ht="28" customHeight="1">
      <x:c r="A141" s="55"/>
      <x:c r="B141" s="55"/>
      <x:c r="C141" s="60"/>
      <x:c r="D141" s="55"/>
      <x:c r="E141" s="55"/>
      <x:c r="F141" s="55"/>
      <x:c r="G141" s="56"/>
      <x:c r="H141" s="55"/>
      <x:c r="I141" s="63"/>
      <x:c r="J141" s="63"/>
      <x:c r="K141" s="65" t="str">
        <x:f>IF(COUNT(I141:J141)&lt;2,"",MAX(I141-J141,0))</x:f>
      </x:c>
      <x:c r="L141" s="63"/>
      <x:c r="M141" s="68"/>
      <x:c r="N141" s="68"/>
      <x:c r="O141" s="55"/>
      <x:c r="P141" s="55"/>
      <x:c r="Q141" s="56"/>
      <x:c r="R141" s="56"/>
      <x:c r="S141" s="55"/>
      <x:c r="T141" s="55"/>
      <x:c r="U141" s="63"/>
      <x:c r="V141" s="63"/>
      <x:c r="W141" s="55"/>
      <x:c r="X141" s="55"/>
      <x:c r="Y141" s="55"/>
      <x:c r="Z141" s="55"/>
      <x:c r="AA141" s="55"/>
      <x:c r="AB141" s="55"/>
      <x:c r="AC141" s="55"/>
      <x:c r="AD141" s="57"/>
      <x:c r="AE141" s="55"/>
      <x:c r="AF141" s="56"/>
      <x:c r="AG141" s="63"/>
      <x:c r="AH141" s="55"/>
      <x:c r="AI141" s="56"/>
      <x:c r="AJ141" s="55"/>
    </x:row>
    <x:row r="142" ht="28" customHeight="1">
      <x:c r="A142" s="55"/>
      <x:c r="B142" s="55"/>
      <x:c r="C142" s="60"/>
      <x:c r="D142" s="55"/>
      <x:c r="E142" s="55"/>
      <x:c r="F142" s="55"/>
      <x:c r="G142" s="56"/>
      <x:c r="H142" s="55"/>
      <x:c r="I142" s="63"/>
      <x:c r="J142" s="63"/>
      <x:c r="K142" s="65" t="str">
        <x:f>IF(COUNT(I142:J142)&lt;2,"",MAX(I142-J142,0))</x:f>
      </x:c>
      <x:c r="L142" s="63"/>
      <x:c r="M142" s="68"/>
      <x:c r="N142" s="68"/>
      <x:c r="O142" s="55"/>
      <x:c r="P142" s="55"/>
      <x:c r="Q142" s="56"/>
      <x:c r="R142" s="56"/>
      <x:c r="S142" s="55"/>
      <x:c r="T142" s="55"/>
      <x:c r="U142" s="63"/>
      <x:c r="V142" s="63"/>
      <x:c r="W142" s="55"/>
      <x:c r="X142" s="55"/>
      <x:c r="Y142" s="55"/>
      <x:c r="Z142" s="55"/>
      <x:c r="AA142" s="55"/>
      <x:c r="AB142" s="55"/>
      <x:c r="AC142" s="55"/>
      <x:c r="AD142" s="57"/>
      <x:c r="AE142" s="55"/>
      <x:c r="AF142" s="56"/>
      <x:c r="AG142" s="63"/>
      <x:c r="AH142" s="55"/>
      <x:c r="AI142" s="56"/>
      <x:c r="AJ142" s="55"/>
    </x:row>
    <x:row r="143" ht="28" customHeight="1">
      <x:c r="A143" s="55"/>
      <x:c r="B143" s="55"/>
      <x:c r="C143" s="60"/>
      <x:c r="D143" s="55"/>
      <x:c r="E143" s="55"/>
      <x:c r="F143" s="55"/>
      <x:c r="G143" s="56"/>
      <x:c r="H143" s="55"/>
      <x:c r="I143" s="63"/>
      <x:c r="J143" s="63"/>
      <x:c r="K143" s="65" t="str">
        <x:f>IF(COUNT(I143:J143)&lt;2,"",MAX(I143-J143,0))</x:f>
      </x:c>
      <x:c r="L143" s="63"/>
      <x:c r="M143" s="68"/>
      <x:c r="N143" s="68"/>
      <x:c r="O143" s="55"/>
      <x:c r="P143" s="55"/>
      <x:c r="Q143" s="56"/>
      <x:c r="R143" s="56"/>
      <x:c r="S143" s="55"/>
      <x:c r="T143" s="55"/>
      <x:c r="U143" s="63"/>
      <x:c r="V143" s="63"/>
      <x:c r="W143" s="55"/>
      <x:c r="X143" s="55"/>
      <x:c r="Y143" s="55"/>
      <x:c r="Z143" s="55"/>
      <x:c r="AA143" s="55"/>
      <x:c r="AB143" s="55"/>
      <x:c r="AC143" s="55"/>
      <x:c r="AD143" s="57"/>
      <x:c r="AE143" s="55"/>
      <x:c r="AF143" s="56"/>
      <x:c r="AG143" s="63"/>
      <x:c r="AH143" s="55"/>
      <x:c r="AI143" s="56"/>
      <x:c r="AJ143" s="55"/>
    </x:row>
    <x:row r="144" ht="28" customHeight="1">
      <x:c r="A144" s="55"/>
      <x:c r="B144" s="55"/>
      <x:c r="C144" s="60"/>
      <x:c r="D144" s="55"/>
      <x:c r="E144" s="55"/>
      <x:c r="F144" s="55"/>
      <x:c r="G144" s="56"/>
      <x:c r="H144" s="55"/>
      <x:c r="I144" s="63"/>
      <x:c r="J144" s="63"/>
      <x:c r="K144" s="65" t="str">
        <x:f>IF(COUNT(I144:J144)&lt;2,"",MAX(I144-J144,0))</x:f>
      </x:c>
      <x:c r="L144" s="63"/>
      <x:c r="M144" s="68"/>
      <x:c r="N144" s="68"/>
      <x:c r="O144" s="55"/>
      <x:c r="P144" s="55"/>
      <x:c r="Q144" s="56"/>
      <x:c r="R144" s="56"/>
      <x:c r="S144" s="55"/>
      <x:c r="T144" s="55"/>
      <x:c r="U144" s="63"/>
      <x:c r="V144" s="63"/>
      <x:c r="W144" s="55"/>
      <x:c r="X144" s="55"/>
      <x:c r="Y144" s="55"/>
      <x:c r="Z144" s="55"/>
      <x:c r="AA144" s="55"/>
      <x:c r="AB144" s="55"/>
      <x:c r="AC144" s="55"/>
      <x:c r="AD144" s="57"/>
      <x:c r="AE144" s="55"/>
      <x:c r="AF144" s="56"/>
      <x:c r="AG144" s="63"/>
      <x:c r="AH144" s="55"/>
      <x:c r="AI144" s="56"/>
      <x:c r="AJ144" s="55"/>
    </x:row>
    <x:row r="145" ht="28" customHeight="1">
      <x:c r="A145" s="55"/>
      <x:c r="B145" s="55"/>
      <x:c r="C145" s="60"/>
      <x:c r="D145" s="55"/>
      <x:c r="E145" s="55"/>
      <x:c r="F145" s="55"/>
      <x:c r="G145" s="56"/>
      <x:c r="H145" s="55"/>
      <x:c r="I145" s="63"/>
      <x:c r="J145" s="63"/>
      <x:c r="K145" s="65" t="str">
        <x:f>IF(COUNT(I145:J145)&lt;2,"",MAX(I145-J145,0))</x:f>
      </x:c>
      <x:c r="L145" s="63"/>
      <x:c r="M145" s="68"/>
      <x:c r="N145" s="68"/>
      <x:c r="O145" s="55"/>
      <x:c r="P145" s="55"/>
      <x:c r="Q145" s="56"/>
      <x:c r="R145" s="56"/>
      <x:c r="S145" s="55"/>
      <x:c r="T145" s="55"/>
      <x:c r="U145" s="63"/>
      <x:c r="V145" s="63"/>
      <x:c r="W145" s="55"/>
      <x:c r="X145" s="55"/>
      <x:c r="Y145" s="55"/>
      <x:c r="Z145" s="55"/>
      <x:c r="AA145" s="55"/>
      <x:c r="AB145" s="55"/>
      <x:c r="AC145" s="55"/>
      <x:c r="AD145" s="57"/>
      <x:c r="AE145" s="55"/>
      <x:c r="AF145" s="56"/>
      <x:c r="AG145" s="63"/>
      <x:c r="AH145" s="55"/>
      <x:c r="AI145" s="56"/>
      <x:c r="AJ145" s="55"/>
    </x:row>
    <x:row r="146" ht="28" customHeight="1">
      <x:c r="A146" s="55"/>
      <x:c r="B146" s="55"/>
      <x:c r="C146" s="60"/>
      <x:c r="D146" s="55"/>
      <x:c r="E146" s="55"/>
      <x:c r="F146" s="55"/>
      <x:c r="G146" s="56"/>
      <x:c r="H146" s="55"/>
      <x:c r="I146" s="63"/>
      <x:c r="J146" s="63"/>
      <x:c r="K146" s="65" t="str">
        <x:f>IF(COUNT(I146:J146)&lt;2,"",MAX(I146-J146,0))</x:f>
      </x:c>
      <x:c r="L146" s="63"/>
      <x:c r="M146" s="68"/>
      <x:c r="N146" s="68"/>
      <x:c r="O146" s="55"/>
      <x:c r="P146" s="55"/>
      <x:c r="Q146" s="56"/>
      <x:c r="R146" s="56"/>
      <x:c r="S146" s="55"/>
      <x:c r="T146" s="55"/>
      <x:c r="U146" s="63"/>
      <x:c r="V146" s="63"/>
      <x:c r="W146" s="55"/>
      <x:c r="X146" s="55"/>
      <x:c r="Y146" s="55"/>
      <x:c r="Z146" s="55"/>
      <x:c r="AA146" s="55"/>
      <x:c r="AB146" s="55"/>
      <x:c r="AC146" s="55"/>
      <x:c r="AD146" s="57"/>
      <x:c r="AE146" s="55"/>
      <x:c r="AF146" s="56"/>
      <x:c r="AG146" s="63"/>
      <x:c r="AH146" s="55"/>
      <x:c r="AI146" s="56"/>
      <x:c r="AJ146" s="55"/>
    </x:row>
    <x:row r="147" ht="28" customHeight="1">
      <x:c r="A147" s="55"/>
      <x:c r="B147" s="55"/>
      <x:c r="C147" s="60"/>
      <x:c r="D147" s="55"/>
      <x:c r="E147" s="55"/>
      <x:c r="F147" s="55"/>
      <x:c r="G147" s="56"/>
      <x:c r="H147" s="55"/>
      <x:c r="I147" s="63"/>
      <x:c r="J147" s="63"/>
      <x:c r="K147" s="65" t="str">
        <x:f>IF(COUNT(I147:J147)&lt;2,"",MAX(I147-J147,0))</x:f>
      </x:c>
      <x:c r="L147" s="63"/>
      <x:c r="M147" s="68"/>
      <x:c r="N147" s="68"/>
      <x:c r="O147" s="55"/>
      <x:c r="P147" s="55"/>
      <x:c r="Q147" s="56"/>
      <x:c r="R147" s="56"/>
      <x:c r="S147" s="55"/>
      <x:c r="T147" s="55"/>
      <x:c r="U147" s="63"/>
      <x:c r="V147" s="63"/>
      <x:c r="W147" s="55"/>
      <x:c r="X147" s="55"/>
      <x:c r="Y147" s="55"/>
      <x:c r="Z147" s="55"/>
      <x:c r="AA147" s="55"/>
      <x:c r="AB147" s="55"/>
      <x:c r="AC147" s="55"/>
      <x:c r="AD147" s="57"/>
      <x:c r="AE147" s="55"/>
      <x:c r="AF147" s="56"/>
      <x:c r="AG147" s="63"/>
      <x:c r="AH147" s="55"/>
      <x:c r="AI147" s="56"/>
      <x:c r="AJ147" s="55"/>
    </x:row>
    <x:row r="148" ht="28" customHeight="1">
      <x:c r="A148" s="55"/>
      <x:c r="B148" s="55"/>
      <x:c r="C148" s="60"/>
      <x:c r="D148" s="55"/>
      <x:c r="E148" s="55"/>
      <x:c r="F148" s="55"/>
      <x:c r="G148" s="56"/>
      <x:c r="H148" s="55"/>
      <x:c r="I148" s="63"/>
      <x:c r="J148" s="63"/>
      <x:c r="K148" s="65" t="str">
        <x:f>IF(COUNT(I148:J148)&lt;2,"",MAX(I148-J148,0))</x:f>
      </x:c>
      <x:c r="L148" s="63"/>
      <x:c r="M148" s="68"/>
      <x:c r="N148" s="68"/>
      <x:c r="O148" s="55"/>
      <x:c r="P148" s="55"/>
      <x:c r="Q148" s="56"/>
      <x:c r="R148" s="56"/>
      <x:c r="S148" s="55"/>
      <x:c r="T148" s="55"/>
      <x:c r="U148" s="63"/>
      <x:c r="V148" s="63"/>
      <x:c r="W148" s="55"/>
      <x:c r="X148" s="55"/>
      <x:c r="Y148" s="55"/>
      <x:c r="Z148" s="55"/>
      <x:c r="AA148" s="55"/>
      <x:c r="AB148" s="55"/>
      <x:c r="AC148" s="55"/>
      <x:c r="AD148" s="57"/>
      <x:c r="AE148" s="55"/>
      <x:c r="AF148" s="56"/>
      <x:c r="AG148" s="63"/>
      <x:c r="AH148" s="55"/>
      <x:c r="AI148" s="56"/>
      <x:c r="AJ148" s="55"/>
    </x:row>
    <x:row r="149" ht="28" customHeight="1">
      <x:c r="A149" s="55"/>
      <x:c r="B149" s="55"/>
      <x:c r="C149" s="60"/>
      <x:c r="D149" s="55"/>
      <x:c r="E149" s="55"/>
      <x:c r="F149" s="55"/>
      <x:c r="G149" s="56"/>
      <x:c r="H149" s="55"/>
      <x:c r="I149" s="63"/>
      <x:c r="J149" s="63"/>
      <x:c r="K149" s="65" t="str">
        <x:f>IF(COUNT(I149:J149)&lt;2,"",MAX(I149-J149,0))</x:f>
      </x:c>
      <x:c r="L149" s="63"/>
      <x:c r="M149" s="68"/>
      <x:c r="N149" s="68"/>
      <x:c r="O149" s="55"/>
      <x:c r="P149" s="55"/>
      <x:c r="Q149" s="56"/>
      <x:c r="R149" s="56"/>
      <x:c r="S149" s="55"/>
      <x:c r="T149" s="55"/>
      <x:c r="U149" s="63"/>
      <x:c r="V149" s="63"/>
      <x:c r="W149" s="55"/>
      <x:c r="X149" s="55"/>
      <x:c r="Y149" s="55"/>
      <x:c r="Z149" s="55"/>
      <x:c r="AA149" s="55"/>
      <x:c r="AB149" s="55"/>
      <x:c r="AC149" s="55"/>
      <x:c r="AD149" s="57"/>
      <x:c r="AE149" s="55"/>
      <x:c r="AF149" s="56"/>
      <x:c r="AG149" s="63"/>
      <x:c r="AH149" s="55"/>
      <x:c r="AI149" s="56"/>
      <x:c r="AJ149" s="55"/>
    </x:row>
    <x:row r="150" ht="28" customHeight="1">
      <x:c r="A150" s="55"/>
      <x:c r="B150" s="55"/>
      <x:c r="C150" s="60"/>
      <x:c r="D150" s="55"/>
      <x:c r="E150" s="55"/>
      <x:c r="F150" s="55"/>
      <x:c r="G150" s="56"/>
      <x:c r="H150" s="55"/>
      <x:c r="I150" s="63"/>
      <x:c r="J150" s="63"/>
      <x:c r="K150" s="65" t="str">
        <x:f>IF(COUNT(I150:J150)&lt;2,"",MAX(I150-J150,0))</x:f>
      </x:c>
      <x:c r="L150" s="63"/>
      <x:c r="M150" s="68"/>
      <x:c r="N150" s="68"/>
      <x:c r="O150" s="55"/>
      <x:c r="P150" s="55"/>
      <x:c r="Q150" s="56"/>
      <x:c r="R150" s="56"/>
      <x:c r="S150" s="55"/>
      <x:c r="T150" s="55"/>
      <x:c r="U150" s="63"/>
      <x:c r="V150" s="63"/>
      <x:c r="W150" s="55"/>
      <x:c r="X150" s="55"/>
      <x:c r="Y150" s="55"/>
      <x:c r="Z150" s="55"/>
      <x:c r="AA150" s="55"/>
      <x:c r="AB150" s="55"/>
      <x:c r="AC150" s="55"/>
      <x:c r="AD150" s="57"/>
      <x:c r="AE150" s="55"/>
      <x:c r="AF150" s="56"/>
      <x:c r="AG150" s="63"/>
      <x:c r="AH150" s="55"/>
      <x:c r="AI150" s="56"/>
      <x:c r="AJ150" s="55"/>
    </x:row>
    <x:row r="151" ht="28" customHeight="1">
      <x:c r="A151" s="55"/>
      <x:c r="B151" s="55"/>
      <x:c r="C151" s="60"/>
      <x:c r="D151" s="55"/>
      <x:c r="E151" s="55"/>
      <x:c r="F151" s="55"/>
      <x:c r="G151" s="56"/>
      <x:c r="H151" s="55"/>
      <x:c r="I151" s="63"/>
      <x:c r="J151" s="63"/>
      <x:c r="K151" s="65" t="str">
        <x:f>IF(COUNT(I151:J151)&lt;2,"",MAX(I151-J151,0))</x:f>
      </x:c>
      <x:c r="L151" s="63"/>
      <x:c r="M151" s="68"/>
      <x:c r="N151" s="68"/>
      <x:c r="O151" s="55"/>
      <x:c r="P151" s="55"/>
      <x:c r="Q151" s="56"/>
      <x:c r="R151" s="56"/>
      <x:c r="S151" s="55"/>
      <x:c r="T151" s="55"/>
      <x:c r="U151" s="63"/>
      <x:c r="V151" s="63"/>
      <x:c r="W151" s="55"/>
      <x:c r="X151" s="55"/>
      <x:c r="Y151" s="55"/>
      <x:c r="Z151" s="55"/>
      <x:c r="AA151" s="55"/>
      <x:c r="AB151" s="55"/>
      <x:c r="AC151" s="55"/>
      <x:c r="AD151" s="57"/>
      <x:c r="AE151" s="55"/>
      <x:c r="AF151" s="56"/>
      <x:c r="AG151" s="63"/>
      <x:c r="AH151" s="55"/>
      <x:c r="AI151" s="56"/>
      <x:c r="AJ151" s="55"/>
    </x:row>
    <x:row r="152" ht="28" customHeight="1">
      <x:c r="A152" s="55"/>
      <x:c r="B152" s="55"/>
      <x:c r="C152" s="60"/>
      <x:c r="D152" s="55"/>
      <x:c r="E152" s="55"/>
      <x:c r="F152" s="55"/>
      <x:c r="G152" s="56"/>
      <x:c r="H152" s="55"/>
      <x:c r="I152" s="63"/>
      <x:c r="J152" s="63"/>
      <x:c r="K152" s="65" t="str">
        <x:f>IF(COUNT(I152:J152)&lt;2,"",MAX(I152-J152,0))</x:f>
      </x:c>
      <x:c r="L152" s="63"/>
      <x:c r="M152" s="68"/>
      <x:c r="N152" s="68"/>
      <x:c r="O152" s="55"/>
      <x:c r="P152" s="55"/>
      <x:c r="Q152" s="56"/>
      <x:c r="R152" s="56"/>
      <x:c r="S152" s="55"/>
      <x:c r="T152" s="55"/>
      <x:c r="U152" s="63"/>
      <x:c r="V152" s="63"/>
      <x:c r="W152" s="55"/>
      <x:c r="X152" s="55"/>
      <x:c r="Y152" s="55"/>
      <x:c r="Z152" s="55"/>
      <x:c r="AA152" s="55"/>
      <x:c r="AB152" s="55"/>
      <x:c r="AC152" s="55"/>
      <x:c r="AD152" s="57"/>
      <x:c r="AE152" s="55"/>
      <x:c r="AF152" s="56"/>
      <x:c r="AG152" s="63"/>
      <x:c r="AH152" s="55"/>
      <x:c r="AI152" s="56"/>
      <x:c r="AJ152" s="55"/>
    </x:row>
    <x:row r="153" ht="28" customHeight="1">
      <x:c r="A153" s="55"/>
      <x:c r="B153" s="55"/>
      <x:c r="C153" s="60"/>
      <x:c r="D153" s="55"/>
      <x:c r="E153" s="55"/>
      <x:c r="F153" s="55"/>
      <x:c r="G153" s="56"/>
      <x:c r="H153" s="55"/>
      <x:c r="I153" s="63"/>
      <x:c r="J153" s="63"/>
      <x:c r="K153" s="65" t="str">
        <x:f>IF(COUNT(I153:J153)&lt;2,"",MAX(I153-J153,0))</x:f>
      </x:c>
      <x:c r="L153" s="63"/>
      <x:c r="M153" s="68"/>
      <x:c r="N153" s="68"/>
      <x:c r="O153" s="55"/>
      <x:c r="P153" s="55"/>
      <x:c r="Q153" s="56"/>
      <x:c r="R153" s="56"/>
      <x:c r="S153" s="55"/>
      <x:c r="T153" s="55"/>
      <x:c r="U153" s="63"/>
      <x:c r="V153" s="63"/>
      <x:c r="W153" s="55"/>
      <x:c r="X153" s="55"/>
      <x:c r="Y153" s="55"/>
      <x:c r="Z153" s="55"/>
      <x:c r="AA153" s="55"/>
      <x:c r="AB153" s="55"/>
      <x:c r="AC153" s="55"/>
      <x:c r="AD153" s="57"/>
      <x:c r="AE153" s="55"/>
      <x:c r="AF153" s="56"/>
      <x:c r="AG153" s="63"/>
      <x:c r="AH153" s="55"/>
      <x:c r="AI153" s="56"/>
      <x:c r="AJ153" s="55"/>
    </x:row>
    <x:row r="154" ht="28" customHeight="1">
      <x:c r="A154" s="55"/>
      <x:c r="B154" s="55"/>
      <x:c r="C154" s="60"/>
      <x:c r="D154" s="55"/>
      <x:c r="E154" s="55"/>
      <x:c r="F154" s="55"/>
      <x:c r="G154" s="56"/>
      <x:c r="H154" s="55"/>
      <x:c r="I154" s="63"/>
      <x:c r="J154" s="63"/>
      <x:c r="K154" s="65" t="str">
        <x:f>IF(COUNT(I154:J154)&lt;2,"",MAX(I154-J154,0))</x:f>
      </x:c>
      <x:c r="L154" s="63"/>
      <x:c r="M154" s="68"/>
      <x:c r="N154" s="68"/>
      <x:c r="O154" s="55"/>
      <x:c r="P154" s="55"/>
      <x:c r="Q154" s="56"/>
      <x:c r="R154" s="56"/>
      <x:c r="S154" s="55"/>
      <x:c r="T154" s="55"/>
      <x:c r="U154" s="63"/>
      <x:c r="V154" s="63"/>
      <x:c r="W154" s="55"/>
      <x:c r="X154" s="55"/>
      <x:c r="Y154" s="55"/>
      <x:c r="Z154" s="55"/>
      <x:c r="AA154" s="55"/>
      <x:c r="AB154" s="55"/>
      <x:c r="AC154" s="55"/>
      <x:c r="AD154" s="57"/>
      <x:c r="AE154" s="55"/>
      <x:c r="AF154" s="56"/>
      <x:c r="AG154" s="63"/>
      <x:c r="AH154" s="55"/>
      <x:c r="AI154" s="56"/>
      <x:c r="AJ154" s="55"/>
    </x:row>
    <x:row r="155" ht="28" customHeight="1">
      <x:c r="A155" s="55"/>
      <x:c r="B155" s="55"/>
      <x:c r="C155" s="60"/>
      <x:c r="D155" s="55"/>
      <x:c r="E155" s="55"/>
      <x:c r="F155" s="55"/>
      <x:c r="G155" s="56"/>
      <x:c r="H155" s="55"/>
      <x:c r="I155" s="63"/>
      <x:c r="J155" s="63"/>
      <x:c r="K155" s="65" t="str">
        <x:f>IF(COUNT(I155:J155)&lt;2,"",MAX(I155-J155,0))</x:f>
      </x:c>
      <x:c r="L155" s="63"/>
      <x:c r="M155" s="68"/>
      <x:c r="N155" s="68"/>
      <x:c r="O155" s="55"/>
      <x:c r="P155" s="55"/>
      <x:c r="Q155" s="56"/>
      <x:c r="R155" s="56"/>
      <x:c r="S155" s="55"/>
      <x:c r="T155" s="55"/>
      <x:c r="U155" s="63"/>
      <x:c r="V155" s="63"/>
      <x:c r="W155" s="55"/>
      <x:c r="X155" s="55"/>
      <x:c r="Y155" s="55"/>
      <x:c r="Z155" s="55"/>
      <x:c r="AA155" s="55"/>
      <x:c r="AB155" s="55"/>
      <x:c r="AC155" s="55"/>
      <x:c r="AD155" s="57"/>
      <x:c r="AE155" s="55"/>
      <x:c r="AF155" s="56"/>
      <x:c r="AG155" s="63"/>
      <x:c r="AH155" s="55"/>
      <x:c r="AI155" s="56"/>
      <x:c r="AJ155" s="55"/>
    </x:row>
    <x:row r="156" ht="28" customHeight="1">
      <x:c r="A156" s="55"/>
      <x:c r="B156" s="55"/>
      <x:c r="C156" s="60"/>
      <x:c r="D156" s="55"/>
      <x:c r="E156" s="55"/>
      <x:c r="F156" s="55"/>
      <x:c r="G156" s="56"/>
      <x:c r="H156" s="55"/>
      <x:c r="I156" s="63"/>
      <x:c r="J156" s="63"/>
      <x:c r="K156" s="65" t="str">
        <x:f>IF(COUNT(I156:J156)&lt;2,"",MAX(I156-J156,0))</x:f>
      </x:c>
      <x:c r="L156" s="63"/>
      <x:c r="M156" s="68"/>
      <x:c r="N156" s="68"/>
      <x:c r="O156" s="55"/>
      <x:c r="P156" s="55"/>
      <x:c r="Q156" s="56"/>
      <x:c r="R156" s="56"/>
      <x:c r="S156" s="55"/>
      <x:c r="T156" s="55"/>
      <x:c r="U156" s="63"/>
      <x:c r="V156" s="63"/>
      <x:c r="W156" s="55"/>
      <x:c r="X156" s="55"/>
      <x:c r="Y156" s="55"/>
      <x:c r="Z156" s="55"/>
      <x:c r="AA156" s="55"/>
      <x:c r="AB156" s="55"/>
      <x:c r="AC156" s="55"/>
      <x:c r="AD156" s="57"/>
      <x:c r="AE156" s="55"/>
      <x:c r="AF156" s="56"/>
      <x:c r="AG156" s="63"/>
      <x:c r="AH156" s="55"/>
      <x:c r="AI156" s="56"/>
      <x:c r="AJ156" s="55"/>
    </x:row>
    <x:row r="157" ht="28" customHeight="1">
      <x:c r="A157" s="55"/>
      <x:c r="B157" s="55"/>
      <x:c r="C157" s="60"/>
      <x:c r="D157" s="55"/>
      <x:c r="E157" s="55"/>
      <x:c r="F157" s="55"/>
      <x:c r="G157" s="56"/>
      <x:c r="H157" s="55"/>
      <x:c r="I157" s="63"/>
      <x:c r="J157" s="63"/>
      <x:c r="K157" s="65" t="str">
        <x:f>IF(COUNT(I157:J157)&lt;2,"",MAX(I157-J157,0))</x:f>
      </x:c>
      <x:c r="L157" s="63"/>
      <x:c r="M157" s="68"/>
      <x:c r="N157" s="68"/>
      <x:c r="O157" s="55"/>
      <x:c r="P157" s="55"/>
      <x:c r="Q157" s="56"/>
      <x:c r="R157" s="56"/>
      <x:c r="S157" s="55"/>
      <x:c r="T157" s="55"/>
      <x:c r="U157" s="63"/>
      <x:c r="V157" s="63"/>
      <x:c r="W157" s="55"/>
      <x:c r="X157" s="55"/>
      <x:c r="Y157" s="55"/>
      <x:c r="Z157" s="55"/>
      <x:c r="AA157" s="55"/>
      <x:c r="AB157" s="55"/>
      <x:c r="AC157" s="55"/>
      <x:c r="AD157" s="57"/>
      <x:c r="AE157" s="55"/>
      <x:c r="AF157" s="56"/>
      <x:c r="AG157" s="63"/>
      <x:c r="AH157" s="55"/>
      <x:c r="AI157" s="56"/>
      <x:c r="AJ157" s="55"/>
    </x:row>
    <x:row r="158" ht="28" customHeight="1">
      <x:c r="A158" s="55"/>
      <x:c r="B158" s="55"/>
      <x:c r="C158" s="60"/>
      <x:c r="D158" s="55"/>
      <x:c r="E158" s="55"/>
      <x:c r="F158" s="55"/>
      <x:c r="G158" s="56"/>
      <x:c r="H158" s="55"/>
      <x:c r="I158" s="63"/>
      <x:c r="J158" s="63"/>
      <x:c r="K158" s="65" t="str">
        <x:f>IF(COUNT(I158:J158)&lt;2,"",MAX(I158-J158,0))</x:f>
      </x:c>
      <x:c r="L158" s="63"/>
      <x:c r="M158" s="68"/>
      <x:c r="N158" s="68"/>
      <x:c r="O158" s="55"/>
      <x:c r="P158" s="55"/>
      <x:c r="Q158" s="56"/>
      <x:c r="R158" s="56"/>
      <x:c r="S158" s="55"/>
      <x:c r="T158" s="55"/>
      <x:c r="U158" s="63"/>
      <x:c r="V158" s="63"/>
      <x:c r="W158" s="55"/>
      <x:c r="X158" s="55"/>
      <x:c r="Y158" s="55"/>
      <x:c r="Z158" s="55"/>
      <x:c r="AA158" s="55"/>
      <x:c r="AB158" s="55"/>
      <x:c r="AC158" s="55"/>
      <x:c r="AD158" s="57"/>
      <x:c r="AE158" s="55"/>
      <x:c r="AF158" s="56"/>
      <x:c r="AG158" s="63"/>
      <x:c r="AH158" s="55"/>
      <x:c r="AI158" s="56"/>
      <x:c r="AJ158" s="55"/>
    </x:row>
    <x:row r="159" ht="28" customHeight="1">
      <x:c r="A159" s="55"/>
      <x:c r="B159" s="55"/>
      <x:c r="C159" s="60"/>
      <x:c r="D159" s="55"/>
      <x:c r="E159" s="55"/>
      <x:c r="F159" s="55"/>
      <x:c r="G159" s="56"/>
      <x:c r="H159" s="55"/>
      <x:c r="I159" s="63"/>
      <x:c r="J159" s="63"/>
      <x:c r="K159" s="65" t="str">
        <x:f>IF(COUNT(I159:J159)&lt;2,"",MAX(I159-J159,0))</x:f>
      </x:c>
      <x:c r="L159" s="63"/>
      <x:c r="M159" s="68"/>
      <x:c r="N159" s="68"/>
      <x:c r="O159" s="55"/>
      <x:c r="P159" s="55"/>
      <x:c r="Q159" s="56"/>
      <x:c r="R159" s="56"/>
      <x:c r="S159" s="55"/>
      <x:c r="T159" s="55"/>
      <x:c r="U159" s="63"/>
      <x:c r="V159" s="63"/>
      <x:c r="W159" s="55"/>
      <x:c r="X159" s="55"/>
      <x:c r="Y159" s="55"/>
      <x:c r="Z159" s="55"/>
      <x:c r="AA159" s="55"/>
      <x:c r="AB159" s="55"/>
      <x:c r="AC159" s="55"/>
      <x:c r="AD159" s="57"/>
      <x:c r="AE159" s="55"/>
      <x:c r="AF159" s="56"/>
      <x:c r="AG159" s="63"/>
      <x:c r="AH159" s="55"/>
      <x:c r="AI159" s="56"/>
      <x:c r="AJ159" s="55"/>
    </x:row>
    <x:row r="160" ht="28" customHeight="1">
      <x:c r="A160" s="55"/>
      <x:c r="B160" s="55"/>
      <x:c r="C160" s="60"/>
      <x:c r="D160" s="55"/>
      <x:c r="E160" s="55"/>
      <x:c r="F160" s="55"/>
      <x:c r="G160" s="56"/>
      <x:c r="H160" s="55"/>
      <x:c r="I160" s="63"/>
      <x:c r="J160" s="63"/>
      <x:c r="K160" s="65" t="str">
        <x:f>IF(COUNT(I160:J160)&lt;2,"",MAX(I160-J160,0))</x:f>
      </x:c>
      <x:c r="L160" s="63"/>
      <x:c r="M160" s="68"/>
      <x:c r="N160" s="68"/>
      <x:c r="O160" s="55"/>
      <x:c r="P160" s="55"/>
      <x:c r="Q160" s="56"/>
      <x:c r="R160" s="56"/>
      <x:c r="S160" s="55"/>
      <x:c r="T160" s="55"/>
      <x:c r="U160" s="63"/>
      <x:c r="V160" s="63"/>
      <x:c r="W160" s="55"/>
      <x:c r="X160" s="55"/>
      <x:c r="Y160" s="55"/>
      <x:c r="Z160" s="55"/>
      <x:c r="AA160" s="55"/>
      <x:c r="AB160" s="55"/>
      <x:c r="AC160" s="55"/>
      <x:c r="AD160" s="57"/>
      <x:c r="AE160" s="55"/>
      <x:c r="AF160" s="56"/>
      <x:c r="AG160" s="63"/>
      <x:c r="AH160" s="55"/>
      <x:c r="AI160" s="56"/>
      <x:c r="AJ160" s="55"/>
    </x:row>
    <x:row r="161" ht="28" customHeight="1">
      <x:c r="A161" s="55"/>
      <x:c r="B161" s="55"/>
      <x:c r="C161" s="60"/>
      <x:c r="D161" s="55"/>
      <x:c r="E161" s="55"/>
      <x:c r="F161" s="55"/>
      <x:c r="G161" s="56"/>
      <x:c r="H161" s="55"/>
      <x:c r="I161" s="63"/>
      <x:c r="J161" s="63"/>
      <x:c r="K161" s="65" t="str">
        <x:f>IF(COUNT(I161:J161)&lt;2,"",MAX(I161-J161,0))</x:f>
      </x:c>
      <x:c r="L161" s="63"/>
      <x:c r="M161" s="68"/>
      <x:c r="N161" s="68"/>
      <x:c r="O161" s="55"/>
      <x:c r="P161" s="55"/>
      <x:c r="Q161" s="56"/>
      <x:c r="R161" s="56"/>
      <x:c r="S161" s="55"/>
      <x:c r="T161" s="55"/>
      <x:c r="U161" s="63"/>
      <x:c r="V161" s="63"/>
      <x:c r="W161" s="55"/>
      <x:c r="X161" s="55"/>
      <x:c r="Y161" s="55"/>
      <x:c r="Z161" s="55"/>
      <x:c r="AA161" s="55"/>
      <x:c r="AB161" s="55"/>
      <x:c r="AC161" s="55"/>
      <x:c r="AD161" s="57"/>
      <x:c r="AE161" s="55"/>
      <x:c r="AF161" s="56"/>
      <x:c r="AG161" s="63"/>
      <x:c r="AH161" s="55"/>
      <x:c r="AI161" s="56"/>
      <x:c r="AJ161" s="55"/>
    </x:row>
    <x:row r="162" ht="28" customHeight="1">
      <x:c r="A162" s="55"/>
      <x:c r="B162" s="55"/>
      <x:c r="C162" s="60"/>
      <x:c r="D162" s="55"/>
      <x:c r="E162" s="55"/>
      <x:c r="F162" s="55"/>
      <x:c r="G162" s="56"/>
      <x:c r="H162" s="55"/>
      <x:c r="I162" s="63"/>
      <x:c r="J162" s="63"/>
      <x:c r="K162" s="65" t="str">
        <x:f>IF(COUNT(I162:J162)&lt;2,"",MAX(I162-J162,0))</x:f>
      </x:c>
      <x:c r="L162" s="63"/>
      <x:c r="M162" s="68"/>
      <x:c r="N162" s="68"/>
      <x:c r="O162" s="55"/>
      <x:c r="P162" s="55"/>
      <x:c r="Q162" s="56"/>
      <x:c r="R162" s="56"/>
      <x:c r="S162" s="55"/>
      <x:c r="T162" s="55"/>
      <x:c r="U162" s="63"/>
      <x:c r="V162" s="63"/>
      <x:c r="W162" s="55"/>
      <x:c r="X162" s="55"/>
      <x:c r="Y162" s="55"/>
      <x:c r="Z162" s="55"/>
      <x:c r="AA162" s="55"/>
      <x:c r="AB162" s="55"/>
      <x:c r="AC162" s="55"/>
      <x:c r="AD162" s="57"/>
      <x:c r="AE162" s="55"/>
      <x:c r="AF162" s="56"/>
      <x:c r="AG162" s="63"/>
      <x:c r="AH162" s="55"/>
      <x:c r="AI162" s="56"/>
      <x:c r="AJ162" s="55"/>
    </x:row>
    <x:row r="163" ht="28" customHeight="1">
      <x:c r="A163" s="55"/>
      <x:c r="B163" s="55"/>
      <x:c r="C163" s="60"/>
      <x:c r="D163" s="55"/>
      <x:c r="E163" s="55"/>
      <x:c r="F163" s="55"/>
      <x:c r="G163" s="56"/>
      <x:c r="H163" s="55"/>
      <x:c r="I163" s="63"/>
      <x:c r="J163" s="63"/>
      <x:c r="K163" s="65" t="str">
        <x:f>IF(COUNT(I163:J163)&lt;2,"",MAX(I163-J163,0))</x:f>
      </x:c>
      <x:c r="L163" s="63"/>
      <x:c r="M163" s="68"/>
      <x:c r="N163" s="68"/>
      <x:c r="O163" s="55"/>
      <x:c r="P163" s="55"/>
      <x:c r="Q163" s="56"/>
      <x:c r="R163" s="56"/>
      <x:c r="S163" s="55"/>
      <x:c r="T163" s="55"/>
      <x:c r="U163" s="63"/>
      <x:c r="V163" s="63"/>
      <x:c r="W163" s="55"/>
      <x:c r="X163" s="55"/>
      <x:c r="Y163" s="55"/>
      <x:c r="Z163" s="55"/>
      <x:c r="AA163" s="55"/>
      <x:c r="AB163" s="55"/>
      <x:c r="AC163" s="55"/>
      <x:c r="AD163" s="57"/>
      <x:c r="AE163" s="55"/>
      <x:c r="AF163" s="56"/>
      <x:c r="AG163" s="63"/>
      <x:c r="AH163" s="55"/>
      <x:c r="AI163" s="56"/>
      <x:c r="AJ163" s="55"/>
    </x:row>
    <x:row r="164" ht="28" customHeight="1">
      <x:c r="A164" s="55"/>
      <x:c r="B164" s="55"/>
      <x:c r="C164" s="60"/>
      <x:c r="D164" s="55"/>
      <x:c r="E164" s="55"/>
      <x:c r="F164" s="55"/>
      <x:c r="G164" s="56"/>
      <x:c r="H164" s="55"/>
      <x:c r="I164" s="63"/>
      <x:c r="J164" s="63"/>
      <x:c r="K164" s="65" t="str">
        <x:f>IF(COUNT(I164:J164)&lt;2,"",MAX(I164-J164,0))</x:f>
      </x:c>
      <x:c r="L164" s="63"/>
      <x:c r="M164" s="68"/>
      <x:c r="N164" s="68"/>
      <x:c r="O164" s="55"/>
      <x:c r="P164" s="55"/>
      <x:c r="Q164" s="56"/>
      <x:c r="R164" s="56"/>
      <x:c r="S164" s="55"/>
      <x:c r="T164" s="55"/>
      <x:c r="U164" s="63"/>
      <x:c r="V164" s="63"/>
      <x:c r="W164" s="55"/>
      <x:c r="X164" s="55"/>
      <x:c r="Y164" s="55"/>
      <x:c r="Z164" s="55"/>
      <x:c r="AA164" s="55"/>
      <x:c r="AB164" s="55"/>
      <x:c r="AC164" s="55"/>
      <x:c r="AD164" s="57"/>
      <x:c r="AE164" s="55"/>
      <x:c r="AF164" s="56"/>
      <x:c r="AG164" s="63"/>
      <x:c r="AH164" s="55"/>
      <x:c r="AI164" s="56"/>
      <x:c r="AJ164" s="55"/>
    </x:row>
    <x:row r="165" ht="28" customHeight="1">
      <x:c r="A165" s="55"/>
      <x:c r="B165" s="55"/>
      <x:c r="C165" s="60"/>
      <x:c r="D165" s="55"/>
      <x:c r="E165" s="55"/>
      <x:c r="F165" s="55"/>
      <x:c r="G165" s="56"/>
      <x:c r="H165" s="55"/>
      <x:c r="I165" s="63"/>
      <x:c r="J165" s="63"/>
      <x:c r="K165" s="65" t="str">
        <x:f>IF(COUNT(I165:J165)&lt;2,"",MAX(I165-J165,0))</x:f>
      </x:c>
      <x:c r="L165" s="63"/>
      <x:c r="M165" s="68"/>
      <x:c r="N165" s="68"/>
      <x:c r="O165" s="55"/>
      <x:c r="P165" s="55"/>
      <x:c r="Q165" s="56"/>
      <x:c r="R165" s="56"/>
      <x:c r="S165" s="55"/>
      <x:c r="T165" s="55"/>
      <x:c r="U165" s="63"/>
      <x:c r="V165" s="63"/>
      <x:c r="W165" s="55"/>
      <x:c r="X165" s="55"/>
      <x:c r="Y165" s="55"/>
      <x:c r="Z165" s="55"/>
      <x:c r="AA165" s="55"/>
      <x:c r="AB165" s="55"/>
      <x:c r="AC165" s="55"/>
      <x:c r="AD165" s="57"/>
      <x:c r="AE165" s="55"/>
      <x:c r="AF165" s="56"/>
      <x:c r="AG165" s="63"/>
      <x:c r="AH165" s="55"/>
      <x:c r="AI165" s="56"/>
      <x:c r="AJ165" s="55"/>
    </x:row>
    <x:row r="166" ht="28" customHeight="1">
      <x:c r="A166" s="55"/>
      <x:c r="B166" s="55"/>
      <x:c r="C166" s="60"/>
      <x:c r="D166" s="55"/>
      <x:c r="E166" s="55"/>
      <x:c r="F166" s="55"/>
      <x:c r="G166" s="56"/>
      <x:c r="H166" s="55"/>
      <x:c r="I166" s="63"/>
      <x:c r="J166" s="63"/>
      <x:c r="K166" s="65" t="str">
        <x:f>IF(COUNT(I166:J166)&lt;2,"",MAX(I166-J166,0))</x:f>
      </x:c>
      <x:c r="L166" s="63"/>
      <x:c r="M166" s="68"/>
      <x:c r="N166" s="68"/>
      <x:c r="O166" s="55"/>
      <x:c r="P166" s="55"/>
      <x:c r="Q166" s="56"/>
      <x:c r="R166" s="56"/>
      <x:c r="S166" s="55"/>
      <x:c r="T166" s="55"/>
      <x:c r="U166" s="63"/>
      <x:c r="V166" s="63"/>
      <x:c r="W166" s="55"/>
      <x:c r="X166" s="55"/>
      <x:c r="Y166" s="55"/>
      <x:c r="Z166" s="55"/>
      <x:c r="AA166" s="55"/>
      <x:c r="AB166" s="55"/>
      <x:c r="AC166" s="55"/>
      <x:c r="AD166" s="57"/>
      <x:c r="AE166" s="55"/>
      <x:c r="AF166" s="56"/>
      <x:c r="AG166" s="63"/>
      <x:c r="AH166" s="55"/>
      <x:c r="AI166" s="56"/>
      <x:c r="AJ166" s="55"/>
    </x:row>
    <x:row r="167" ht="28" customHeight="1">
      <x:c r="A167" s="55"/>
      <x:c r="B167" s="55"/>
      <x:c r="C167" s="60"/>
      <x:c r="D167" s="55"/>
      <x:c r="E167" s="55"/>
      <x:c r="F167" s="55"/>
      <x:c r="G167" s="56"/>
      <x:c r="H167" s="55"/>
      <x:c r="I167" s="63"/>
      <x:c r="J167" s="63"/>
      <x:c r="K167" s="65" t="str">
        <x:f>IF(COUNT(I167:J167)&lt;2,"",MAX(I167-J167,0))</x:f>
      </x:c>
      <x:c r="L167" s="63"/>
      <x:c r="M167" s="68"/>
      <x:c r="N167" s="68"/>
      <x:c r="O167" s="55"/>
      <x:c r="P167" s="55"/>
      <x:c r="Q167" s="56"/>
      <x:c r="R167" s="56"/>
      <x:c r="S167" s="55"/>
      <x:c r="T167" s="55"/>
      <x:c r="U167" s="63"/>
      <x:c r="V167" s="63"/>
      <x:c r="W167" s="55"/>
      <x:c r="X167" s="55"/>
      <x:c r="Y167" s="55"/>
      <x:c r="Z167" s="55"/>
      <x:c r="AA167" s="55"/>
      <x:c r="AB167" s="55"/>
      <x:c r="AC167" s="55"/>
      <x:c r="AD167" s="57"/>
      <x:c r="AE167" s="55"/>
      <x:c r="AF167" s="56"/>
      <x:c r="AG167" s="63"/>
      <x:c r="AH167" s="55"/>
      <x:c r="AI167" s="56"/>
      <x:c r="AJ167" s="55"/>
    </x:row>
    <x:row r="168" ht="28" customHeight="1">
      <x:c r="A168" s="55"/>
      <x:c r="B168" s="55"/>
      <x:c r="C168" s="60"/>
      <x:c r="D168" s="55"/>
      <x:c r="E168" s="55"/>
      <x:c r="F168" s="55"/>
      <x:c r="G168" s="56"/>
      <x:c r="H168" s="55"/>
      <x:c r="I168" s="63"/>
      <x:c r="J168" s="63"/>
      <x:c r="K168" s="65" t="str">
        <x:f>IF(COUNT(I168:J168)&lt;2,"",MAX(I168-J168,0))</x:f>
      </x:c>
      <x:c r="L168" s="63"/>
      <x:c r="M168" s="68"/>
      <x:c r="N168" s="68"/>
      <x:c r="O168" s="55"/>
      <x:c r="P168" s="55"/>
      <x:c r="Q168" s="56"/>
      <x:c r="R168" s="56"/>
      <x:c r="S168" s="55"/>
      <x:c r="T168" s="55"/>
      <x:c r="U168" s="63"/>
      <x:c r="V168" s="63"/>
      <x:c r="W168" s="55"/>
      <x:c r="X168" s="55"/>
      <x:c r="Y168" s="55"/>
      <x:c r="Z168" s="55"/>
      <x:c r="AA168" s="55"/>
      <x:c r="AB168" s="55"/>
      <x:c r="AC168" s="55"/>
      <x:c r="AD168" s="57"/>
      <x:c r="AE168" s="55"/>
      <x:c r="AF168" s="56"/>
      <x:c r="AG168" s="63"/>
      <x:c r="AH168" s="55"/>
      <x:c r="AI168" s="56"/>
      <x:c r="AJ168" s="55"/>
    </x:row>
    <x:row r="169" ht="28" customHeight="1">
      <x:c r="A169" s="55"/>
      <x:c r="B169" s="55"/>
      <x:c r="C169" s="60"/>
      <x:c r="D169" s="55"/>
      <x:c r="E169" s="55"/>
      <x:c r="F169" s="55"/>
      <x:c r="G169" s="56"/>
      <x:c r="H169" s="55"/>
      <x:c r="I169" s="63"/>
      <x:c r="J169" s="63"/>
      <x:c r="K169" s="65" t="str">
        <x:f>IF(COUNT(I169:J169)&lt;2,"",MAX(I169-J169,0))</x:f>
      </x:c>
      <x:c r="L169" s="63"/>
      <x:c r="M169" s="68"/>
      <x:c r="N169" s="68"/>
      <x:c r="O169" s="55"/>
      <x:c r="P169" s="55"/>
      <x:c r="Q169" s="56"/>
      <x:c r="R169" s="56"/>
      <x:c r="S169" s="55"/>
      <x:c r="T169" s="55"/>
      <x:c r="U169" s="63"/>
      <x:c r="V169" s="63"/>
      <x:c r="W169" s="55"/>
      <x:c r="X169" s="55"/>
      <x:c r="Y169" s="55"/>
      <x:c r="Z169" s="55"/>
      <x:c r="AA169" s="55"/>
      <x:c r="AB169" s="55"/>
      <x:c r="AC169" s="55"/>
      <x:c r="AD169" s="57"/>
      <x:c r="AE169" s="55"/>
      <x:c r="AF169" s="56"/>
      <x:c r="AG169" s="63"/>
      <x:c r="AH169" s="55"/>
      <x:c r="AI169" s="56"/>
      <x:c r="AJ169" s="55"/>
    </x:row>
    <x:row r="170" ht="28" customHeight="1">
      <x:c r="A170" s="55"/>
      <x:c r="B170" s="55"/>
      <x:c r="C170" s="60"/>
      <x:c r="D170" s="55"/>
      <x:c r="E170" s="55"/>
      <x:c r="F170" s="55"/>
      <x:c r="G170" s="56"/>
      <x:c r="H170" s="55"/>
      <x:c r="I170" s="63"/>
      <x:c r="J170" s="63"/>
      <x:c r="K170" s="65" t="str">
        <x:f>IF(COUNT(I170:J170)&lt;2,"",MAX(I170-J170,0))</x:f>
      </x:c>
      <x:c r="L170" s="63"/>
      <x:c r="M170" s="68"/>
      <x:c r="N170" s="68"/>
      <x:c r="O170" s="55"/>
      <x:c r="P170" s="55"/>
      <x:c r="Q170" s="56"/>
      <x:c r="R170" s="56"/>
      <x:c r="S170" s="55"/>
      <x:c r="T170" s="55"/>
      <x:c r="U170" s="63"/>
      <x:c r="V170" s="63"/>
      <x:c r="W170" s="55"/>
      <x:c r="X170" s="55"/>
      <x:c r="Y170" s="55"/>
      <x:c r="Z170" s="55"/>
      <x:c r="AA170" s="55"/>
      <x:c r="AB170" s="55"/>
      <x:c r="AC170" s="55"/>
      <x:c r="AD170" s="57"/>
      <x:c r="AE170" s="55"/>
      <x:c r="AF170" s="56"/>
      <x:c r="AG170" s="63"/>
      <x:c r="AH170" s="55"/>
      <x:c r="AI170" s="56"/>
      <x:c r="AJ170" s="55"/>
    </x:row>
    <x:row r="171" ht="28" customHeight="1">
      <x:c r="A171" s="55"/>
      <x:c r="B171" s="55"/>
      <x:c r="C171" s="60"/>
      <x:c r="D171" s="55"/>
      <x:c r="E171" s="55"/>
      <x:c r="F171" s="55"/>
      <x:c r="G171" s="56"/>
      <x:c r="H171" s="55"/>
      <x:c r="I171" s="63"/>
      <x:c r="J171" s="63"/>
      <x:c r="K171" s="65" t="str">
        <x:f>IF(COUNT(I171:J171)&lt;2,"",MAX(I171-J171,0))</x:f>
      </x:c>
      <x:c r="L171" s="63"/>
      <x:c r="M171" s="68"/>
      <x:c r="N171" s="68"/>
      <x:c r="O171" s="55"/>
      <x:c r="P171" s="55"/>
      <x:c r="Q171" s="56"/>
      <x:c r="R171" s="56"/>
      <x:c r="S171" s="55"/>
      <x:c r="T171" s="55"/>
      <x:c r="U171" s="63"/>
      <x:c r="V171" s="63"/>
      <x:c r="W171" s="55"/>
      <x:c r="X171" s="55"/>
      <x:c r="Y171" s="55"/>
      <x:c r="Z171" s="55"/>
      <x:c r="AA171" s="55"/>
      <x:c r="AB171" s="55"/>
      <x:c r="AC171" s="55"/>
      <x:c r="AD171" s="57"/>
      <x:c r="AE171" s="55"/>
      <x:c r="AF171" s="56"/>
      <x:c r="AG171" s="63"/>
      <x:c r="AH171" s="55"/>
      <x:c r="AI171" s="56"/>
      <x:c r="AJ171" s="55"/>
    </x:row>
    <x:row r="172" ht="28" customHeight="1">
      <x:c r="A172" s="55"/>
      <x:c r="B172" s="55"/>
      <x:c r="C172" s="60"/>
      <x:c r="D172" s="55"/>
      <x:c r="E172" s="55"/>
      <x:c r="F172" s="55"/>
      <x:c r="G172" s="56"/>
      <x:c r="H172" s="55"/>
      <x:c r="I172" s="63"/>
      <x:c r="J172" s="63"/>
      <x:c r="K172" s="65" t="str">
        <x:f>IF(COUNT(I172:J172)&lt;2,"",MAX(I172-J172,0))</x:f>
      </x:c>
      <x:c r="L172" s="63"/>
      <x:c r="M172" s="68"/>
      <x:c r="N172" s="68"/>
      <x:c r="O172" s="55"/>
      <x:c r="P172" s="55"/>
      <x:c r="Q172" s="56"/>
      <x:c r="R172" s="56"/>
      <x:c r="S172" s="55"/>
      <x:c r="T172" s="55"/>
      <x:c r="U172" s="63"/>
      <x:c r="V172" s="63"/>
      <x:c r="W172" s="55"/>
      <x:c r="X172" s="55"/>
      <x:c r="Y172" s="55"/>
      <x:c r="Z172" s="55"/>
      <x:c r="AA172" s="55"/>
      <x:c r="AB172" s="55"/>
      <x:c r="AC172" s="55"/>
      <x:c r="AD172" s="57"/>
      <x:c r="AE172" s="55"/>
      <x:c r="AF172" s="56"/>
      <x:c r="AG172" s="63"/>
      <x:c r="AH172" s="55"/>
      <x:c r="AI172" s="56"/>
      <x:c r="AJ172" s="55"/>
    </x:row>
    <x:row r="173" ht="28" customHeight="1">
      <x:c r="A173" s="55"/>
      <x:c r="B173" s="55"/>
      <x:c r="C173" s="60"/>
      <x:c r="D173" s="55"/>
      <x:c r="E173" s="55"/>
      <x:c r="F173" s="55"/>
      <x:c r="G173" s="56"/>
      <x:c r="H173" s="55"/>
      <x:c r="I173" s="63"/>
      <x:c r="J173" s="63"/>
      <x:c r="K173" s="65" t="str">
        <x:f>IF(COUNT(I173:J173)&lt;2,"",MAX(I173-J173,0))</x:f>
      </x:c>
      <x:c r="L173" s="63"/>
      <x:c r="M173" s="68"/>
      <x:c r="N173" s="68"/>
      <x:c r="O173" s="55"/>
      <x:c r="P173" s="55"/>
      <x:c r="Q173" s="56"/>
      <x:c r="R173" s="56"/>
      <x:c r="S173" s="55"/>
      <x:c r="T173" s="55"/>
      <x:c r="U173" s="63"/>
      <x:c r="V173" s="63"/>
      <x:c r="W173" s="55"/>
      <x:c r="X173" s="55"/>
      <x:c r="Y173" s="55"/>
      <x:c r="Z173" s="55"/>
      <x:c r="AA173" s="55"/>
      <x:c r="AB173" s="55"/>
      <x:c r="AC173" s="55"/>
      <x:c r="AD173" s="57"/>
      <x:c r="AE173" s="55"/>
      <x:c r="AF173" s="56"/>
      <x:c r="AG173" s="63"/>
      <x:c r="AH173" s="55"/>
      <x:c r="AI173" s="56"/>
      <x:c r="AJ173" s="55"/>
    </x:row>
    <x:row r="174" ht="28" customHeight="1">
      <x:c r="A174" s="55"/>
      <x:c r="B174" s="55"/>
      <x:c r="C174" s="60"/>
      <x:c r="D174" s="55"/>
      <x:c r="E174" s="55"/>
      <x:c r="F174" s="55"/>
      <x:c r="G174" s="56"/>
      <x:c r="H174" s="55"/>
      <x:c r="I174" s="63"/>
      <x:c r="J174" s="63"/>
      <x:c r="K174" s="65" t="str">
        <x:f>IF(COUNT(I174:J174)&lt;2,"",MAX(I174-J174,0))</x:f>
      </x:c>
      <x:c r="L174" s="63"/>
      <x:c r="M174" s="68"/>
      <x:c r="N174" s="68"/>
      <x:c r="O174" s="55"/>
      <x:c r="P174" s="55"/>
      <x:c r="Q174" s="56"/>
      <x:c r="R174" s="56"/>
      <x:c r="S174" s="55"/>
      <x:c r="T174" s="55"/>
      <x:c r="U174" s="63"/>
      <x:c r="V174" s="63"/>
      <x:c r="W174" s="55"/>
      <x:c r="X174" s="55"/>
      <x:c r="Y174" s="55"/>
      <x:c r="Z174" s="55"/>
      <x:c r="AA174" s="55"/>
      <x:c r="AB174" s="55"/>
      <x:c r="AC174" s="55"/>
      <x:c r="AD174" s="57"/>
      <x:c r="AE174" s="55"/>
      <x:c r="AF174" s="56"/>
      <x:c r="AG174" s="63"/>
      <x:c r="AH174" s="55"/>
      <x:c r="AI174" s="56"/>
      <x:c r="AJ174" s="55"/>
    </x:row>
    <x:row r="175" ht="28" customHeight="1">
      <x:c r="A175" s="55"/>
      <x:c r="B175" s="55"/>
      <x:c r="C175" s="60"/>
      <x:c r="D175" s="55"/>
      <x:c r="E175" s="55"/>
      <x:c r="F175" s="55"/>
      <x:c r="G175" s="56"/>
      <x:c r="H175" s="55"/>
      <x:c r="I175" s="63"/>
      <x:c r="J175" s="63"/>
      <x:c r="K175" s="65" t="str">
        <x:f>IF(COUNT(I175:J175)&lt;2,"",MAX(I175-J175,0))</x:f>
      </x:c>
      <x:c r="L175" s="63"/>
      <x:c r="M175" s="68"/>
      <x:c r="N175" s="68"/>
      <x:c r="O175" s="55"/>
      <x:c r="P175" s="55"/>
      <x:c r="Q175" s="56"/>
      <x:c r="R175" s="56"/>
      <x:c r="S175" s="55"/>
      <x:c r="T175" s="55"/>
      <x:c r="U175" s="63"/>
      <x:c r="V175" s="63"/>
      <x:c r="W175" s="55"/>
      <x:c r="X175" s="55"/>
      <x:c r="Y175" s="55"/>
      <x:c r="Z175" s="55"/>
      <x:c r="AA175" s="55"/>
      <x:c r="AB175" s="55"/>
      <x:c r="AC175" s="55"/>
      <x:c r="AD175" s="57"/>
      <x:c r="AE175" s="55"/>
      <x:c r="AF175" s="56"/>
      <x:c r="AG175" s="63"/>
      <x:c r="AH175" s="55"/>
      <x:c r="AI175" s="56"/>
      <x:c r="AJ175" s="55"/>
    </x:row>
    <x:row r="176" ht="28" customHeight="1">
      <x:c r="A176" s="55"/>
      <x:c r="B176" s="55"/>
      <x:c r="C176" s="60"/>
      <x:c r="D176" s="55"/>
      <x:c r="E176" s="55"/>
      <x:c r="F176" s="55"/>
      <x:c r="G176" s="56"/>
      <x:c r="H176" s="55"/>
      <x:c r="I176" s="63"/>
      <x:c r="J176" s="63"/>
      <x:c r="K176" s="65" t="str">
        <x:f>IF(COUNT(I176:J176)&lt;2,"",MAX(I176-J176,0))</x:f>
      </x:c>
      <x:c r="L176" s="63"/>
      <x:c r="M176" s="68"/>
      <x:c r="N176" s="68"/>
      <x:c r="O176" s="55"/>
      <x:c r="P176" s="55"/>
      <x:c r="Q176" s="56"/>
      <x:c r="R176" s="56"/>
      <x:c r="S176" s="55"/>
      <x:c r="T176" s="55"/>
      <x:c r="U176" s="63"/>
      <x:c r="V176" s="63"/>
      <x:c r="W176" s="55"/>
      <x:c r="X176" s="55"/>
      <x:c r="Y176" s="55"/>
      <x:c r="Z176" s="55"/>
      <x:c r="AA176" s="55"/>
      <x:c r="AB176" s="55"/>
      <x:c r="AC176" s="55"/>
      <x:c r="AD176" s="57"/>
      <x:c r="AE176" s="55"/>
      <x:c r="AF176" s="56"/>
      <x:c r="AG176" s="63"/>
      <x:c r="AH176" s="55"/>
      <x:c r="AI176" s="56"/>
      <x:c r="AJ176" s="55"/>
    </x:row>
    <x:row r="177" ht="28" customHeight="1">
      <x:c r="A177" s="55"/>
      <x:c r="B177" s="55"/>
      <x:c r="C177" s="60"/>
      <x:c r="D177" s="55"/>
      <x:c r="E177" s="55"/>
      <x:c r="F177" s="55"/>
      <x:c r="G177" s="56"/>
      <x:c r="H177" s="55"/>
      <x:c r="I177" s="63"/>
      <x:c r="J177" s="63"/>
      <x:c r="K177" s="65" t="str">
        <x:f>IF(COUNT(I177:J177)&lt;2,"",MAX(I177-J177,0))</x:f>
      </x:c>
      <x:c r="L177" s="63"/>
      <x:c r="M177" s="68"/>
      <x:c r="N177" s="68"/>
      <x:c r="O177" s="55"/>
      <x:c r="P177" s="55"/>
      <x:c r="Q177" s="56"/>
      <x:c r="R177" s="56"/>
      <x:c r="S177" s="55"/>
      <x:c r="T177" s="55"/>
      <x:c r="U177" s="63"/>
      <x:c r="V177" s="63"/>
      <x:c r="W177" s="55"/>
      <x:c r="X177" s="55"/>
      <x:c r="Y177" s="55"/>
      <x:c r="Z177" s="55"/>
      <x:c r="AA177" s="55"/>
      <x:c r="AB177" s="55"/>
      <x:c r="AC177" s="55"/>
      <x:c r="AD177" s="57"/>
      <x:c r="AE177" s="55"/>
      <x:c r="AF177" s="56"/>
      <x:c r="AG177" s="63"/>
      <x:c r="AH177" s="55"/>
      <x:c r="AI177" s="56"/>
      <x:c r="AJ177" s="55"/>
    </x:row>
    <x:row r="178" ht="28" customHeight="1">
      <x:c r="A178" s="55"/>
      <x:c r="B178" s="55"/>
      <x:c r="C178" s="60"/>
      <x:c r="D178" s="55"/>
      <x:c r="E178" s="55"/>
      <x:c r="F178" s="55"/>
      <x:c r="G178" s="56"/>
      <x:c r="H178" s="55"/>
      <x:c r="I178" s="63"/>
      <x:c r="J178" s="63"/>
      <x:c r="K178" s="65" t="str">
        <x:f>IF(COUNT(I178:J178)&lt;2,"",MAX(I178-J178,0))</x:f>
      </x:c>
      <x:c r="L178" s="63"/>
      <x:c r="M178" s="68"/>
      <x:c r="N178" s="68"/>
      <x:c r="O178" s="55"/>
      <x:c r="P178" s="55"/>
      <x:c r="Q178" s="56"/>
      <x:c r="R178" s="56"/>
      <x:c r="S178" s="55"/>
      <x:c r="T178" s="55"/>
      <x:c r="U178" s="63"/>
      <x:c r="V178" s="63"/>
      <x:c r="W178" s="55"/>
      <x:c r="X178" s="55"/>
      <x:c r="Y178" s="55"/>
      <x:c r="Z178" s="55"/>
      <x:c r="AA178" s="55"/>
      <x:c r="AB178" s="55"/>
      <x:c r="AC178" s="55"/>
      <x:c r="AD178" s="57"/>
      <x:c r="AE178" s="55"/>
      <x:c r="AF178" s="56"/>
      <x:c r="AG178" s="63"/>
      <x:c r="AH178" s="55"/>
      <x:c r="AI178" s="56"/>
      <x:c r="AJ178" s="55"/>
    </x:row>
    <x:row r="179" ht="28" customHeight="1">
      <x:c r="A179" s="55"/>
      <x:c r="B179" s="55"/>
      <x:c r="C179" s="60"/>
      <x:c r="D179" s="55"/>
      <x:c r="E179" s="55"/>
      <x:c r="F179" s="55"/>
      <x:c r="G179" s="56"/>
      <x:c r="H179" s="55"/>
      <x:c r="I179" s="63"/>
      <x:c r="J179" s="63"/>
      <x:c r="K179" s="65" t="str">
        <x:f>IF(COUNT(I179:J179)&lt;2,"",MAX(I179-J179,0))</x:f>
      </x:c>
      <x:c r="L179" s="63"/>
      <x:c r="M179" s="68"/>
      <x:c r="N179" s="68"/>
      <x:c r="O179" s="55"/>
      <x:c r="P179" s="55"/>
      <x:c r="Q179" s="56"/>
      <x:c r="R179" s="56"/>
      <x:c r="S179" s="55"/>
      <x:c r="T179" s="55"/>
      <x:c r="U179" s="63"/>
      <x:c r="V179" s="63"/>
      <x:c r="W179" s="55"/>
      <x:c r="X179" s="55"/>
      <x:c r="Y179" s="55"/>
      <x:c r="Z179" s="55"/>
      <x:c r="AA179" s="55"/>
      <x:c r="AB179" s="55"/>
      <x:c r="AC179" s="55"/>
      <x:c r="AD179" s="57"/>
      <x:c r="AE179" s="55"/>
      <x:c r="AF179" s="56"/>
      <x:c r="AG179" s="63"/>
      <x:c r="AH179" s="55"/>
      <x:c r="AI179" s="56"/>
      <x:c r="AJ179" s="55"/>
    </x:row>
    <x:row r="180" ht="28" customHeight="1">
      <x:c r="A180" s="55"/>
      <x:c r="B180" s="55"/>
      <x:c r="C180" s="60"/>
      <x:c r="D180" s="55"/>
      <x:c r="E180" s="55"/>
      <x:c r="F180" s="55"/>
      <x:c r="G180" s="56"/>
      <x:c r="H180" s="55"/>
      <x:c r="I180" s="63"/>
      <x:c r="J180" s="63"/>
      <x:c r="K180" s="65" t="str">
        <x:f>IF(COUNT(I180:J180)&lt;2,"",MAX(I180-J180,0))</x:f>
      </x:c>
      <x:c r="L180" s="63"/>
      <x:c r="M180" s="68"/>
      <x:c r="N180" s="68"/>
      <x:c r="O180" s="55"/>
      <x:c r="P180" s="55"/>
      <x:c r="Q180" s="56"/>
      <x:c r="R180" s="56"/>
      <x:c r="S180" s="55"/>
      <x:c r="T180" s="55"/>
      <x:c r="U180" s="63"/>
      <x:c r="V180" s="63"/>
      <x:c r="W180" s="55"/>
      <x:c r="X180" s="55"/>
      <x:c r="Y180" s="55"/>
      <x:c r="Z180" s="55"/>
      <x:c r="AA180" s="55"/>
      <x:c r="AB180" s="55"/>
      <x:c r="AC180" s="55"/>
      <x:c r="AD180" s="57"/>
      <x:c r="AE180" s="55"/>
      <x:c r="AF180" s="56"/>
      <x:c r="AG180" s="63"/>
      <x:c r="AH180" s="55"/>
      <x:c r="AI180" s="56"/>
      <x:c r="AJ180" s="55"/>
    </x:row>
    <x:row r="181" ht="28" customHeight="1">
      <x:c r="A181" s="55"/>
      <x:c r="B181" s="55"/>
      <x:c r="C181" s="60"/>
      <x:c r="D181" s="55"/>
      <x:c r="E181" s="55"/>
      <x:c r="F181" s="55"/>
      <x:c r="G181" s="56"/>
      <x:c r="H181" s="55"/>
      <x:c r="I181" s="63"/>
      <x:c r="J181" s="63"/>
      <x:c r="K181" s="65" t="str">
        <x:f>IF(COUNT(I181:J181)&lt;2,"",MAX(I181-J181,0))</x:f>
      </x:c>
      <x:c r="L181" s="63"/>
      <x:c r="M181" s="68"/>
      <x:c r="N181" s="68"/>
      <x:c r="O181" s="55"/>
      <x:c r="P181" s="55"/>
      <x:c r="Q181" s="56"/>
      <x:c r="R181" s="56"/>
      <x:c r="S181" s="55"/>
      <x:c r="T181" s="55"/>
      <x:c r="U181" s="63"/>
      <x:c r="V181" s="63"/>
      <x:c r="W181" s="55"/>
      <x:c r="X181" s="55"/>
      <x:c r="Y181" s="55"/>
      <x:c r="Z181" s="55"/>
      <x:c r="AA181" s="55"/>
      <x:c r="AB181" s="55"/>
      <x:c r="AC181" s="55"/>
      <x:c r="AD181" s="57"/>
      <x:c r="AE181" s="55"/>
      <x:c r="AF181" s="56"/>
      <x:c r="AG181" s="63"/>
      <x:c r="AH181" s="55"/>
      <x:c r="AI181" s="56"/>
      <x:c r="AJ181" s="55"/>
    </x:row>
    <x:row r="182" ht="28" customHeight="1">
      <x:c r="A182" s="55"/>
      <x:c r="B182" s="55"/>
      <x:c r="C182" s="60"/>
      <x:c r="D182" s="55"/>
      <x:c r="E182" s="55"/>
      <x:c r="F182" s="55"/>
      <x:c r="G182" s="56"/>
      <x:c r="H182" s="55"/>
      <x:c r="I182" s="63"/>
      <x:c r="J182" s="63"/>
      <x:c r="K182" s="65" t="str">
        <x:f>IF(COUNT(I182:J182)&lt;2,"",MAX(I182-J182,0))</x:f>
      </x:c>
      <x:c r="L182" s="63"/>
      <x:c r="M182" s="68"/>
      <x:c r="N182" s="68"/>
      <x:c r="O182" s="55"/>
      <x:c r="P182" s="55"/>
      <x:c r="Q182" s="56"/>
      <x:c r="R182" s="56"/>
      <x:c r="S182" s="55"/>
      <x:c r="T182" s="55"/>
      <x:c r="U182" s="63"/>
      <x:c r="V182" s="63"/>
      <x:c r="W182" s="55"/>
      <x:c r="X182" s="55"/>
      <x:c r="Y182" s="55"/>
      <x:c r="Z182" s="55"/>
      <x:c r="AA182" s="55"/>
      <x:c r="AB182" s="55"/>
      <x:c r="AC182" s="55"/>
      <x:c r="AD182" s="57"/>
      <x:c r="AE182" s="55"/>
      <x:c r="AF182" s="56"/>
      <x:c r="AG182" s="63"/>
      <x:c r="AH182" s="55"/>
      <x:c r="AI182" s="56"/>
      <x:c r="AJ182" s="55"/>
    </x:row>
    <x:row r="183" ht="28" customHeight="1">
      <x:c r="A183" s="55"/>
      <x:c r="B183" s="55"/>
      <x:c r="C183" s="60"/>
      <x:c r="D183" s="55"/>
      <x:c r="E183" s="55"/>
      <x:c r="F183" s="55"/>
      <x:c r="G183" s="56"/>
      <x:c r="H183" s="55"/>
      <x:c r="I183" s="63"/>
      <x:c r="J183" s="63"/>
      <x:c r="K183" s="65" t="str">
        <x:f>IF(COUNT(I183:J183)&lt;2,"",MAX(I183-J183,0))</x:f>
      </x:c>
      <x:c r="L183" s="63"/>
      <x:c r="M183" s="68"/>
      <x:c r="N183" s="68"/>
      <x:c r="O183" s="55"/>
      <x:c r="P183" s="55"/>
      <x:c r="Q183" s="56"/>
      <x:c r="R183" s="56"/>
      <x:c r="S183" s="55"/>
      <x:c r="T183" s="55"/>
      <x:c r="U183" s="63"/>
      <x:c r="V183" s="63"/>
      <x:c r="W183" s="55"/>
      <x:c r="X183" s="55"/>
      <x:c r="Y183" s="55"/>
      <x:c r="Z183" s="55"/>
      <x:c r="AA183" s="55"/>
      <x:c r="AB183" s="55"/>
      <x:c r="AC183" s="55"/>
      <x:c r="AD183" s="57"/>
      <x:c r="AE183" s="55"/>
      <x:c r="AF183" s="56"/>
      <x:c r="AG183" s="63"/>
      <x:c r="AH183" s="55"/>
      <x:c r="AI183" s="56"/>
      <x:c r="AJ183" s="55"/>
    </x:row>
    <x:row r="184" ht="28" customHeight="1">
      <x:c r="A184" s="55"/>
      <x:c r="B184" s="55"/>
      <x:c r="C184" s="60"/>
      <x:c r="D184" s="55"/>
      <x:c r="E184" s="55"/>
      <x:c r="F184" s="55"/>
      <x:c r="G184" s="56"/>
      <x:c r="H184" s="55"/>
      <x:c r="I184" s="63"/>
      <x:c r="J184" s="63"/>
      <x:c r="K184" s="65" t="str">
        <x:f>IF(COUNT(I184:J184)&lt;2,"",MAX(I184-J184,0))</x:f>
      </x:c>
      <x:c r="L184" s="63"/>
      <x:c r="M184" s="68"/>
      <x:c r="N184" s="68"/>
      <x:c r="O184" s="55"/>
      <x:c r="P184" s="55"/>
      <x:c r="Q184" s="56"/>
      <x:c r="R184" s="56"/>
      <x:c r="S184" s="55"/>
      <x:c r="T184" s="55"/>
      <x:c r="U184" s="63"/>
      <x:c r="V184" s="63"/>
      <x:c r="W184" s="55"/>
      <x:c r="X184" s="55"/>
      <x:c r="Y184" s="55"/>
      <x:c r="Z184" s="55"/>
      <x:c r="AA184" s="55"/>
      <x:c r="AB184" s="55"/>
      <x:c r="AC184" s="55"/>
      <x:c r="AD184" s="57"/>
      <x:c r="AE184" s="55"/>
      <x:c r="AF184" s="56"/>
      <x:c r="AG184" s="63"/>
      <x:c r="AH184" s="55"/>
      <x:c r="AI184" s="56"/>
      <x:c r="AJ184" s="55"/>
    </x:row>
    <x:row r="185" ht="28" customHeight="1">
      <x:c r="A185" s="55"/>
      <x:c r="B185" s="55"/>
      <x:c r="C185" s="60"/>
      <x:c r="D185" s="55"/>
      <x:c r="E185" s="55"/>
      <x:c r="F185" s="55"/>
      <x:c r="G185" s="56"/>
      <x:c r="H185" s="55"/>
      <x:c r="I185" s="63"/>
      <x:c r="J185" s="63"/>
      <x:c r="K185" s="65" t="str">
        <x:f>IF(COUNT(I185:J185)&lt;2,"",MAX(I185-J185,0))</x:f>
      </x:c>
      <x:c r="L185" s="63"/>
      <x:c r="M185" s="68"/>
      <x:c r="N185" s="68"/>
      <x:c r="O185" s="55"/>
      <x:c r="P185" s="55"/>
      <x:c r="Q185" s="56"/>
      <x:c r="R185" s="56"/>
      <x:c r="S185" s="55"/>
      <x:c r="T185" s="55"/>
      <x:c r="U185" s="63"/>
      <x:c r="V185" s="63"/>
      <x:c r="W185" s="55"/>
      <x:c r="X185" s="55"/>
      <x:c r="Y185" s="55"/>
      <x:c r="Z185" s="55"/>
      <x:c r="AA185" s="55"/>
      <x:c r="AB185" s="55"/>
      <x:c r="AC185" s="55"/>
      <x:c r="AD185" s="57"/>
      <x:c r="AE185" s="55"/>
      <x:c r="AF185" s="56"/>
      <x:c r="AG185" s="63"/>
      <x:c r="AH185" s="55"/>
      <x:c r="AI185" s="56"/>
      <x:c r="AJ185" s="55"/>
    </x:row>
    <x:row r="186" ht="28" customHeight="1">
      <x:c r="A186" s="55"/>
      <x:c r="B186" s="55"/>
      <x:c r="C186" s="60"/>
      <x:c r="D186" s="55"/>
      <x:c r="E186" s="55"/>
      <x:c r="F186" s="55"/>
      <x:c r="G186" s="56"/>
      <x:c r="H186" s="55"/>
      <x:c r="I186" s="63"/>
      <x:c r="J186" s="63"/>
      <x:c r="K186" s="65" t="str">
        <x:f>IF(COUNT(I186:J186)&lt;2,"",MAX(I186-J186,0))</x:f>
      </x:c>
      <x:c r="L186" s="63"/>
      <x:c r="M186" s="68"/>
      <x:c r="N186" s="68"/>
      <x:c r="O186" s="55"/>
      <x:c r="P186" s="55"/>
      <x:c r="Q186" s="56"/>
      <x:c r="R186" s="56"/>
      <x:c r="S186" s="55"/>
      <x:c r="T186" s="55"/>
      <x:c r="U186" s="63"/>
      <x:c r="V186" s="63"/>
      <x:c r="W186" s="55"/>
      <x:c r="X186" s="55"/>
      <x:c r="Y186" s="55"/>
      <x:c r="Z186" s="55"/>
      <x:c r="AA186" s="55"/>
      <x:c r="AB186" s="55"/>
      <x:c r="AC186" s="55"/>
      <x:c r="AD186" s="57"/>
      <x:c r="AE186" s="55"/>
      <x:c r="AF186" s="56"/>
      <x:c r="AG186" s="63"/>
      <x:c r="AH186" s="55"/>
      <x:c r="AI186" s="56"/>
      <x:c r="AJ186" s="55"/>
    </x:row>
    <x:row r="187" ht="28" customHeight="1">
      <x:c r="A187" s="55"/>
      <x:c r="B187" s="55"/>
      <x:c r="C187" s="60"/>
      <x:c r="D187" s="55"/>
      <x:c r="E187" s="55"/>
      <x:c r="F187" s="55"/>
      <x:c r="G187" s="56"/>
      <x:c r="H187" s="55"/>
      <x:c r="I187" s="63"/>
      <x:c r="J187" s="63"/>
      <x:c r="K187" s="65" t="str">
        <x:f>IF(COUNT(I187:J187)&lt;2,"",MAX(I187-J187,0))</x:f>
      </x:c>
      <x:c r="L187" s="63"/>
      <x:c r="M187" s="68"/>
      <x:c r="N187" s="68"/>
      <x:c r="O187" s="55"/>
      <x:c r="P187" s="55"/>
      <x:c r="Q187" s="56"/>
      <x:c r="R187" s="56"/>
      <x:c r="S187" s="55"/>
      <x:c r="T187" s="55"/>
      <x:c r="U187" s="63"/>
      <x:c r="V187" s="63"/>
      <x:c r="W187" s="55"/>
      <x:c r="X187" s="55"/>
      <x:c r="Y187" s="55"/>
      <x:c r="Z187" s="55"/>
      <x:c r="AA187" s="55"/>
      <x:c r="AB187" s="55"/>
      <x:c r="AC187" s="55"/>
      <x:c r="AD187" s="57"/>
      <x:c r="AE187" s="55"/>
      <x:c r="AF187" s="56"/>
      <x:c r="AG187" s="63"/>
      <x:c r="AH187" s="55"/>
      <x:c r="AI187" s="56"/>
      <x:c r="AJ187" s="55"/>
    </x:row>
    <x:row r="188" ht="28" customHeight="1">
      <x:c r="A188" s="55"/>
      <x:c r="B188" s="55"/>
      <x:c r="C188" s="60"/>
      <x:c r="D188" s="55"/>
      <x:c r="E188" s="55"/>
      <x:c r="F188" s="55"/>
      <x:c r="G188" s="56"/>
      <x:c r="H188" s="55"/>
      <x:c r="I188" s="63"/>
      <x:c r="J188" s="63"/>
      <x:c r="K188" s="65" t="str">
        <x:f>IF(COUNT(I188:J188)&lt;2,"",MAX(I188-J188,0))</x:f>
      </x:c>
      <x:c r="L188" s="63"/>
      <x:c r="M188" s="68"/>
      <x:c r="N188" s="68"/>
      <x:c r="O188" s="55"/>
      <x:c r="P188" s="55"/>
      <x:c r="Q188" s="56"/>
      <x:c r="R188" s="56"/>
      <x:c r="S188" s="55"/>
      <x:c r="T188" s="55"/>
      <x:c r="U188" s="63"/>
      <x:c r="V188" s="63"/>
      <x:c r="W188" s="55"/>
      <x:c r="X188" s="55"/>
      <x:c r="Y188" s="55"/>
      <x:c r="Z188" s="55"/>
      <x:c r="AA188" s="55"/>
      <x:c r="AB188" s="55"/>
      <x:c r="AC188" s="55"/>
      <x:c r="AD188" s="57"/>
      <x:c r="AE188" s="55"/>
      <x:c r="AF188" s="56"/>
      <x:c r="AG188" s="63"/>
      <x:c r="AH188" s="55"/>
      <x:c r="AI188" s="56"/>
      <x:c r="AJ188" s="55"/>
    </x:row>
    <x:row r="189" ht="28" customHeight="1">
      <x:c r="A189" s="55"/>
      <x:c r="B189" s="55"/>
      <x:c r="C189" s="60"/>
      <x:c r="D189" s="55"/>
      <x:c r="E189" s="55"/>
      <x:c r="F189" s="55"/>
      <x:c r="G189" s="56"/>
      <x:c r="H189" s="55"/>
      <x:c r="I189" s="63"/>
      <x:c r="J189" s="63"/>
      <x:c r="K189" s="65" t="str">
        <x:f>IF(COUNT(I189:J189)&lt;2,"",MAX(I189-J189,0))</x:f>
      </x:c>
      <x:c r="L189" s="63"/>
      <x:c r="M189" s="68"/>
      <x:c r="N189" s="68"/>
      <x:c r="O189" s="55"/>
      <x:c r="P189" s="55"/>
      <x:c r="Q189" s="56"/>
      <x:c r="R189" s="56"/>
      <x:c r="S189" s="55"/>
      <x:c r="T189" s="55"/>
      <x:c r="U189" s="63"/>
      <x:c r="V189" s="63"/>
      <x:c r="W189" s="55"/>
      <x:c r="X189" s="55"/>
      <x:c r="Y189" s="55"/>
      <x:c r="Z189" s="55"/>
      <x:c r="AA189" s="55"/>
      <x:c r="AB189" s="55"/>
      <x:c r="AC189" s="55"/>
      <x:c r="AD189" s="57"/>
      <x:c r="AE189" s="55"/>
      <x:c r="AF189" s="56"/>
      <x:c r="AG189" s="63"/>
      <x:c r="AH189" s="55"/>
      <x:c r="AI189" s="56"/>
      <x:c r="AJ189" s="55"/>
    </x:row>
    <x:row r="190" ht="28" customHeight="1">
      <x:c r="A190" s="55"/>
      <x:c r="B190" s="55"/>
      <x:c r="C190" s="60"/>
      <x:c r="D190" s="55"/>
      <x:c r="E190" s="55"/>
      <x:c r="F190" s="55"/>
      <x:c r="G190" s="56"/>
      <x:c r="H190" s="55"/>
      <x:c r="I190" s="63"/>
      <x:c r="J190" s="63"/>
      <x:c r="K190" s="65" t="str">
        <x:f>IF(COUNT(I190:J190)&lt;2,"",MAX(I190-J190,0))</x:f>
      </x:c>
      <x:c r="L190" s="63"/>
      <x:c r="M190" s="68"/>
      <x:c r="N190" s="68"/>
      <x:c r="O190" s="55"/>
      <x:c r="P190" s="55"/>
      <x:c r="Q190" s="56"/>
      <x:c r="R190" s="56"/>
      <x:c r="S190" s="55"/>
      <x:c r="T190" s="55"/>
      <x:c r="U190" s="63"/>
      <x:c r="V190" s="63"/>
      <x:c r="W190" s="55"/>
      <x:c r="X190" s="55"/>
      <x:c r="Y190" s="55"/>
      <x:c r="Z190" s="55"/>
      <x:c r="AA190" s="55"/>
      <x:c r="AB190" s="55"/>
      <x:c r="AC190" s="55"/>
      <x:c r="AD190" s="57"/>
      <x:c r="AE190" s="55"/>
      <x:c r="AF190" s="56"/>
      <x:c r="AG190" s="63"/>
      <x:c r="AH190" s="55"/>
      <x:c r="AI190" s="56"/>
      <x:c r="AJ190" s="55"/>
    </x:row>
    <x:row r="191" ht="28" customHeight="1">
      <x:c r="A191" s="55"/>
      <x:c r="B191" s="55"/>
      <x:c r="C191" s="60"/>
      <x:c r="D191" s="55"/>
      <x:c r="E191" s="55"/>
      <x:c r="F191" s="55"/>
      <x:c r="G191" s="56"/>
      <x:c r="H191" s="55"/>
      <x:c r="I191" s="63"/>
      <x:c r="J191" s="63"/>
      <x:c r="K191" s="65" t="str">
        <x:f>IF(COUNT(I191:J191)&lt;2,"",MAX(I191-J191,0))</x:f>
      </x:c>
      <x:c r="L191" s="63"/>
      <x:c r="M191" s="68"/>
      <x:c r="N191" s="68"/>
      <x:c r="O191" s="55"/>
      <x:c r="P191" s="55"/>
      <x:c r="Q191" s="56"/>
      <x:c r="R191" s="56"/>
      <x:c r="S191" s="55"/>
      <x:c r="T191" s="55"/>
      <x:c r="U191" s="63"/>
      <x:c r="V191" s="63"/>
      <x:c r="W191" s="55"/>
      <x:c r="X191" s="55"/>
      <x:c r="Y191" s="55"/>
      <x:c r="Z191" s="55"/>
      <x:c r="AA191" s="55"/>
      <x:c r="AB191" s="55"/>
      <x:c r="AC191" s="55"/>
      <x:c r="AD191" s="57"/>
      <x:c r="AE191" s="55"/>
      <x:c r="AF191" s="56"/>
      <x:c r="AG191" s="63"/>
      <x:c r="AH191" s="55"/>
      <x:c r="AI191" s="56"/>
      <x:c r="AJ191" s="55"/>
    </x:row>
    <x:row r="192" ht="28" customHeight="1">
      <x:c r="A192" s="55"/>
      <x:c r="B192" s="55"/>
      <x:c r="C192" s="60"/>
      <x:c r="D192" s="55"/>
      <x:c r="E192" s="55"/>
      <x:c r="F192" s="55"/>
      <x:c r="G192" s="56"/>
      <x:c r="H192" s="55"/>
      <x:c r="I192" s="63"/>
      <x:c r="J192" s="63"/>
      <x:c r="K192" s="65" t="str">
        <x:f>IF(COUNT(I192:J192)&lt;2,"",MAX(I192-J192,0))</x:f>
      </x:c>
      <x:c r="L192" s="63"/>
      <x:c r="M192" s="68"/>
      <x:c r="N192" s="68"/>
      <x:c r="O192" s="55"/>
      <x:c r="P192" s="55"/>
      <x:c r="Q192" s="56"/>
      <x:c r="R192" s="56"/>
      <x:c r="S192" s="55"/>
      <x:c r="T192" s="55"/>
      <x:c r="U192" s="63"/>
      <x:c r="V192" s="63"/>
      <x:c r="W192" s="55"/>
      <x:c r="X192" s="55"/>
      <x:c r="Y192" s="55"/>
      <x:c r="Z192" s="55"/>
      <x:c r="AA192" s="55"/>
      <x:c r="AB192" s="55"/>
      <x:c r="AC192" s="55"/>
      <x:c r="AD192" s="57"/>
      <x:c r="AE192" s="55"/>
      <x:c r="AF192" s="56"/>
      <x:c r="AG192" s="63"/>
      <x:c r="AH192" s="55"/>
      <x:c r="AI192" s="56"/>
      <x:c r="AJ192" s="55"/>
    </x:row>
    <x:row r="193" ht="28" customHeight="1">
      <x:c r="A193" s="55"/>
      <x:c r="B193" s="55"/>
      <x:c r="C193" s="60"/>
      <x:c r="D193" s="55"/>
      <x:c r="E193" s="55"/>
      <x:c r="F193" s="55"/>
      <x:c r="G193" s="56"/>
      <x:c r="H193" s="55"/>
      <x:c r="I193" s="63"/>
      <x:c r="J193" s="63"/>
      <x:c r="K193" s="65" t="str">
        <x:f>IF(COUNT(I193:J193)&lt;2,"",MAX(I193-J193,0))</x:f>
      </x:c>
      <x:c r="L193" s="63"/>
      <x:c r="M193" s="68"/>
      <x:c r="N193" s="68"/>
      <x:c r="O193" s="55"/>
      <x:c r="P193" s="55"/>
      <x:c r="Q193" s="56"/>
      <x:c r="R193" s="56"/>
      <x:c r="S193" s="55"/>
      <x:c r="T193" s="55"/>
      <x:c r="U193" s="63"/>
      <x:c r="V193" s="63"/>
      <x:c r="W193" s="55"/>
      <x:c r="X193" s="55"/>
      <x:c r="Y193" s="55"/>
      <x:c r="Z193" s="55"/>
      <x:c r="AA193" s="55"/>
      <x:c r="AB193" s="55"/>
      <x:c r="AC193" s="55"/>
      <x:c r="AD193" s="57"/>
      <x:c r="AE193" s="55"/>
      <x:c r="AF193" s="56"/>
      <x:c r="AG193" s="63"/>
      <x:c r="AH193" s="55"/>
      <x:c r="AI193" s="56"/>
      <x:c r="AJ193" s="55"/>
    </x:row>
    <x:row r="194" ht="28" customHeight="1">
      <x:c r="A194" s="55"/>
      <x:c r="B194" s="55"/>
      <x:c r="C194" s="60"/>
      <x:c r="D194" s="55"/>
      <x:c r="E194" s="55"/>
      <x:c r="F194" s="55"/>
      <x:c r="G194" s="56"/>
      <x:c r="H194" s="55"/>
      <x:c r="I194" s="63"/>
      <x:c r="J194" s="63"/>
      <x:c r="K194" s="65" t="str">
        <x:f>IF(COUNT(I194:J194)&lt;2,"",MAX(I194-J194,0))</x:f>
      </x:c>
      <x:c r="L194" s="63"/>
      <x:c r="M194" s="68"/>
      <x:c r="N194" s="68"/>
      <x:c r="O194" s="55"/>
      <x:c r="P194" s="55"/>
      <x:c r="Q194" s="56"/>
      <x:c r="R194" s="56"/>
      <x:c r="S194" s="55"/>
      <x:c r="T194" s="55"/>
      <x:c r="U194" s="63"/>
      <x:c r="V194" s="63"/>
      <x:c r="W194" s="55"/>
      <x:c r="X194" s="55"/>
      <x:c r="Y194" s="55"/>
      <x:c r="Z194" s="55"/>
      <x:c r="AA194" s="55"/>
      <x:c r="AB194" s="55"/>
      <x:c r="AC194" s="55"/>
      <x:c r="AD194" s="57"/>
      <x:c r="AE194" s="55"/>
      <x:c r="AF194" s="56"/>
      <x:c r="AG194" s="63"/>
      <x:c r="AH194" s="55"/>
      <x:c r="AI194" s="56"/>
      <x:c r="AJ194" s="55"/>
    </x:row>
    <x:row r="195" ht="28" customHeight="1">
      <x:c r="A195" s="55"/>
      <x:c r="B195" s="55"/>
      <x:c r="C195" s="60"/>
      <x:c r="D195" s="55"/>
      <x:c r="E195" s="55"/>
      <x:c r="F195" s="55"/>
      <x:c r="G195" s="56"/>
      <x:c r="H195" s="55"/>
      <x:c r="I195" s="63"/>
      <x:c r="J195" s="63"/>
      <x:c r="K195" s="65" t="str">
        <x:f>IF(COUNT(I195:J195)&lt;2,"",MAX(I195-J195,0))</x:f>
      </x:c>
      <x:c r="L195" s="63"/>
      <x:c r="M195" s="68"/>
      <x:c r="N195" s="68"/>
      <x:c r="O195" s="55"/>
      <x:c r="P195" s="55"/>
      <x:c r="Q195" s="56"/>
      <x:c r="R195" s="56"/>
      <x:c r="S195" s="55"/>
      <x:c r="T195" s="55"/>
      <x:c r="U195" s="63"/>
      <x:c r="V195" s="63"/>
      <x:c r="W195" s="55"/>
      <x:c r="X195" s="55"/>
      <x:c r="Y195" s="55"/>
      <x:c r="Z195" s="55"/>
      <x:c r="AA195" s="55"/>
      <x:c r="AB195" s="55"/>
      <x:c r="AC195" s="55"/>
      <x:c r="AD195" s="57"/>
      <x:c r="AE195" s="55"/>
      <x:c r="AF195" s="56"/>
      <x:c r="AG195" s="63"/>
      <x:c r="AH195" s="55"/>
      <x:c r="AI195" s="56"/>
      <x:c r="AJ195" s="55"/>
    </x:row>
    <x:row r="196" ht="28" customHeight="1">
      <x:c r="A196" s="55"/>
      <x:c r="B196" s="55"/>
      <x:c r="C196" s="60"/>
      <x:c r="D196" s="55"/>
      <x:c r="E196" s="55"/>
      <x:c r="F196" s="55"/>
      <x:c r="G196" s="56"/>
      <x:c r="H196" s="55"/>
      <x:c r="I196" s="63"/>
      <x:c r="J196" s="63"/>
      <x:c r="K196" s="65" t="str">
        <x:f>IF(COUNT(I196:J196)&lt;2,"",MAX(I196-J196,0))</x:f>
      </x:c>
      <x:c r="L196" s="63"/>
      <x:c r="M196" s="68"/>
      <x:c r="N196" s="68"/>
      <x:c r="O196" s="55"/>
      <x:c r="P196" s="55"/>
      <x:c r="Q196" s="56"/>
      <x:c r="R196" s="56"/>
      <x:c r="S196" s="55"/>
      <x:c r="T196" s="55"/>
      <x:c r="U196" s="63"/>
      <x:c r="V196" s="63"/>
      <x:c r="W196" s="55"/>
      <x:c r="X196" s="55"/>
      <x:c r="Y196" s="55"/>
      <x:c r="Z196" s="55"/>
      <x:c r="AA196" s="55"/>
      <x:c r="AB196" s="55"/>
      <x:c r="AC196" s="55"/>
      <x:c r="AD196" s="57"/>
      <x:c r="AE196" s="55"/>
      <x:c r="AF196" s="56"/>
      <x:c r="AG196" s="63"/>
      <x:c r="AH196" s="55"/>
      <x:c r="AI196" s="56"/>
      <x:c r="AJ196" s="55"/>
    </x:row>
    <x:row r="197" ht="28" customHeight="1">
      <x:c r="A197" s="55"/>
      <x:c r="B197" s="55"/>
      <x:c r="C197" s="60"/>
      <x:c r="D197" s="55"/>
      <x:c r="E197" s="55"/>
      <x:c r="F197" s="55"/>
      <x:c r="G197" s="56"/>
      <x:c r="H197" s="55"/>
      <x:c r="I197" s="63"/>
      <x:c r="J197" s="63"/>
      <x:c r="K197" s="65" t="str">
        <x:f>IF(COUNT(I197:J197)&lt;2,"",MAX(I197-J197,0))</x:f>
      </x:c>
      <x:c r="L197" s="63"/>
      <x:c r="M197" s="68"/>
      <x:c r="N197" s="68"/>
      <x:c r="O197" s="55"/>
      <x:c r="P197" s="55"/>
      <x:c r="Q197" s="56"/>
      <x:c r="R197" s="56"/>
      <x:c r="S197" s="55"/>
      <x:c r="T197" s="55"/>
      <x:c r="U197" s="63"/>
      <x:c r="V197" s="63"/>
      <x:c r="W197" s="55"/>
      <x:c r="X197" s="55"/>
      <x:c r="Y197" s="55"/>
      <x:c r="Z197" s="55"/>
      <x:c r="AA197" s="55"/>
      <x:c r="AB197" s="55"/>
      <x:c r="AC197" s="55"/>
      <x:c r="AD197" s="57"/>
      <x:c r="AE197" s="55"/>
      <x:c r="AF197" s="56"/>
      <x:c r="AG197" s="63"/>
      <x:c r="AH197" s="55"/>
      <x:c r="AI197" s="56"/>
      <x:c r="AJ197" s="55"/>
    </x:row>
    <x:row r="198" ht="28" customHeight="1">
      <x:c r="A198" s="55"/>
      <x:c r="B198" s="55"/>
      <x:c r="C198" s="60"/>
      <x:c r="D198" s="55"/>
      <x:c r="E198" s="55"/>
      <x:c r="F198" s="55"/>
      <x:c r="G198" s="56"/>
      <x:c r="H198" s="55"/>
      <x:c r="I198" s="63"/>
      <x:c r="J198" s="63"/>
      <x:c r="K198" s="65" t="str">
        <x:f>IF(COUNT(I198:J198)&lt;2,"",MAX(I198-J198,0))</x:f>
      </x:c>
      <x:c r="L198" s="63"/>
      <x:c r="M198" s="68"/>
      <x:c r="N198" s="68"/>
      <x:c r="O198" s="55"/>
      <x:c r="P198" s="55"/>
      <x:c r="Q198" s="56"/>
      <x:c r="R198" s="56"/>
      <x:c r="S198" s="55"/>
      <x:c r="T198" s="55"/>
      <x:c r="U198" s="63"/>
      <x:c r="V198" s="63"/>
      <x:c r="W198" s="55"/>
      <x:c r="X198" s="55"/>
      <x:c r="Y198" s="55"/>
      <x:c r="Z198" s="55"/>
      <x:c r="AA198" s="55"/>
      <x:c r="AB198" s="55"/>
      <x:c r="AC198" s="55"/>
      <x:c r="AD198" s="57"/>
      <x:c r="AE198" s="55"/>
      <x:c r="AF198" s="56"/>
      <x:c r="AG198" s="63"/>
      <x:c r="AH198" s="55"/>
      <x:c r="AI198" s="56"/>
      <x:c r="AJ198" s="55"/>
    </x:row>
    <x:row r="199" ht="28" customHeight="1">
      <x:c r="A199" s="55"/>
      <x:c r="B199" s="55"/>
      <x:c r="C199" s="60"/>
      <x:c r="D199" s="55"/>
      <x:c r="E199" s="55"/>
      <x:c r="F199" s="55"/>
      <x:c r="G199" s="56"/>
      <x:c r="H199" s="55"/>
      <x:c r="I199" s="63"/>
      <x:c r="J199" s="63"/>
      <x:c r="K199" s="65" t="str">
        <x:f>IF(COUNT(I199:J199)&lt;2,"",MAX(I199-J199,0))</x:f>
      </x:c>
      <x:c r="L199" s="63"/>
      <x:c r="M199" s="68"/>
      <x:c r="N199" s="68"/>
      <x:c r="O199" s="55"/>
      <x:c r="P199" s="55"/>
      <x:c r="Q199" s="56"/>
      <x:c r="R199" s="56"/>
      <x:c r="S199" s="55"/>
      <x:c r="T199" s="55"/>
      <x:c r="U199" s="63"/>
      <x:c r="V199" s="63"/>
      <x:c r="W199" s="55"/>
      <x:c r="X199" s="55"/>
      <x:c r="Y199" s="55"/>
      <x:c r="Z199" s="55"/>
      <x:c r="AA199" s="55"/>
      <x:c r="AB199" s="55"/>
      <x:c r="AC199" s="55"/>
      <x:c r="AD199" s="57"/>
      <x:c r="AE199" s="55"/>
      <x:c r="AF199" s="56"/>
      <x:c r="AG199" s="63"/>
      <x:c r="AH199" s="55"/>
      <x:c r="AI199" s="56"/>
      <x:c r="AJ199" s="55"/>
    </x:row>
    <x:row r="200" ht="28" customHeight="1">
      <x:c r="A200" s="55"/>
      <x:c r="B200" s="55"/>
      <x:c r="C200" s="60"/>
      <x:c r="D200" s="55"/>
      <x:c r="E200" s="55"/>
      <x:c r="F200" s="55"/>
      <x:c r="G200" s="56"/>
      <x:c r="H200" s="55"/>
      <x:c r="I200" s="63"/>
      <x:c r="J200" s="63"/>
      <x:c r="K200" s="65" t="str">
        <x:f>IF(COUNT(I200:J200)&lt;2,"",MAX(I200-J200,0))</x:f>
      </x:c>
      <x:c r="L200" s="63"/>
      <x:c r="M200" s="68"/>
      <x:c r="N200" s="68"/>
      <x:c r="O200" s="55"/>
      <x:c r="P200" s="55"/>
      <x:c r="Q200" s="56"/>
      <x:c r="R200" s="56"/>
      <x:c r="S200" s="55"/>
      <x:c r="T200" s="55"/>
      <x:c r="U200" s="63"/>
      <x:c r="V200" s="63"/>
      <x:c r="W200" s="55"/>
      <x:c r="X200" s="55"/>
      <x:c r="Y200" s="55"/>
      <x:c r="Z200" s="55"/>
      <x:c r="AA200" s="55"/>
      <x:c r="AB200" s="55"/>
      <x:c r="AC200" s="55"/>
      <x:c r="AD200" s="57"/>
      <x:c r="AE200" s="55"/>
      <x:c r="AF200" s="56"/>
      <x:c r="AG200" s="63"/>
      <x:c r="AH200" s="55"/>
      <x:c r="AI200" s="56"/>
      <x:c r="AJ200" s="55"/>
    </x:row>
    <x:row r="201" ht="28" customHeight="1">
      <x:c r="A201" s="55"/>
      <x:c r="B201" s="55"/>
      <x:c r="C201" s="60"/>
      <x:c r="D201" s="55"/>
      <x:c r="E201" s="55"/>
      <x:c r="F201" s="55"/>
      <x:c r="G201" s="56"/>
      <x:c r="H201" s="55"/>
      <x:c r="I201" s="63"/>
      <x:c r="J201" s="63"/>
      <x:c r="K201" s="65" t="str">
        <x:f>IF(COUNT(I201:J201)&lt;2,"",MAX(I201-J201,0))</x:f>
      </x:c>
      <x:c r="L201" s="63"/>
      <x:c r="M201" s="68"/>
      <x:c r="N201" s="68"/>
      <x:c r="O201" s="55"/>
      <x:c r="P201" s="55"/>
      <x:c r="Q201" s="56"/>
      <x:c r="R201" s="56"/>
      <x:c r="S201" s="55"/>
      <x:c r="T201" s="55"/>
      <x:c r="U201" s="63"/>
      <x:c r="V201" s="63"/>
      <x:c r="W201" s="55"/>
      <x:c r="X201" s="55"/>
      <x:c r="Y201" s="55"/>
      <x:c r="Z201" s="55"/>
      <x:c r="AA201" s="55"/>
      <x:c r="AB201" s="55"/>
      <x:c r="AC201" s="55"/>
      <x:c r="AD201" s="57"/>
      <x:c r="AE201" s="55"/>
      <x:c r="AF201" s="56"/>
      <x:c r="AG201" s="63"/>
      <x:c r="AH201" s="55"/>
      <x:c r="AI201" s="56"/>
      <x:c r="AJ201" s="55"/>
    </x:row>
    <x:row r="202" ht="28" customHeight="1">
      <x:c r="A202" s="55"/>
      <x:c r="B202" s="55"/>
      <x:c r="C202" s="60"/>
      <x:c r="D202" s="55"/>
      <x:c r="E202" s="55"/>
      <x:c r="F202" s="55"/>
      <x:c r="G202" s="56"/>
      <x:c r="H202" s="55"/>
      <x:c r="I202" s="63"/>
      <x:c r="J202" s="63"/>
      <x:c r="K202" s="65" t="str">
        <x:f>IF(COUNT(I202:J202)&lt;2,"",MAX(I202-J202,0))</x:f>
      </x:c>
      <x:c r="L202" s="63"/>
      <x:c r="M202" s="68"/>
      <x:c r="N202" s="68"/>
      <x:c r="O202" s="55"/>
      <x:c r="P202" s="55"/>
      <x:c r="Q202" s="56"/>
      <x:c r="R202" s="56"/>
      <x:c r="S202" s="55"/>
      <x:c r="T202" s="55"/>
      <x:c r="U202" s="63"/>
      <x:c r="V202" s="63"/>
      <x:c r="W202" s="55"/>
      <x:c r="X202" s="55"/>
      <x:c r="Y202" s="55"/>
      <x:c r="Z202" s="55"/>
      <x:c r="AA202" s="55"/>
      <x:c r="AB202" s="55"/>
      <x:c r="AC202" s="55"/>
      <x:c r="AD202" s="57"/>
      <x:c r="AE202" s="55"/>
      <x:c r="AF202" s="56"/>
      <x:c r="AG202" s="63"/>
      <x:c r="AH202" s="55"/>
      <x:c r="AI202" s="56"/>
      <x:c r="AJ202" s="55"/>
    </x:row>
    <x:row r="203" ht="28" customHeight="1">
      <x:c r="A203" s="55"/>
      <x:c r="B203" s="55"/>
      <x:c r="C203" s="60"/>
      <x:c r="D203" s="55"/>
      <x:c r="E203" s="55"/>
      <x:c r="F203" s="55"/>
      <x:c r="G203" s="56"/>
      <x:c r="H203" s="55"/>
      <x:c r="I203" s="63"/>
      <x:c r="J203" s="63"/>
      <x:c r="K203" s="65" t="str">
        <x:f>IF(COUNT(I203:J203)&lt;2,"",MAX(I203-J203,0))</x:f>
      </x:c>
      <x:c r="L203" s="63"/>
      <x:c r="M203" s="68"/>
      <x:c r="N203" s="68"/>
      <x:c r="O203" s="55"/>
      <x:c r="P203" s="55"/>
      <x:c r="Q203" s="56"/>
      <x:c r="R203" s="56"/>
      <x:c r="S203" s="55"/>
      <x:c r="T203" s="55"/>
      <x:c r="U203" s="63"/>
      <x:c r="V203" s="63"/>
      <x:c r="W203" s="55"/>
      <x:c r="X203" s="55"/>
      <x:c r="Y203" s="55"/>
      <x:c r="Z203" s="55"/>
      <x:c r="AA203" s="55"/>
      <x:c r="AB203" s="55"/>
      <x:c r="AC203" s="55"/>
      <x:c r="AD203" s="57"/>
      <x:c r="AE203" s="55"/>
      <x:c r="AF203" s="56"/>
      <x:c r="AG203" s="63"/>
      <x:c r="AH203" s="55"/>
      <x:c r="AI203" s="56"/>
      <x:c r="AJ203" s="55"/>
    </x:row>
    <x:row r="204" ht="28" customHeight="1">
      <x:c r="A204" s="55"/>
      <x:c r="B204" s="55"/>
      <x:c r="C204" s="60"/>
      <x:c r="D204" s="55"/>
      <x:c r="E204" s="55"/>
      <x:c r="F204" s="55"/>
      <x:c r="G204" s="56"/>
      <x:c r="H204" s="55"/>
      <x:c r="I204" s="63"/>
      <x:c r="J204" s="63"/>
      <x:c r="K204" s="65" t="str">
        <x:f>IF(COUNT(I204:J204)&lt;2,"",MAX(I204-J204,0))</x:f>
      </x:c>
      <x:c r="L204" s="63"/>
      <x:c r="M204" s="68"/>
      <x:c r="N204" s="68"/>
      <x:c r="O204" s="55"/>
      <x:c r="P204" s="55"/>
      <x:c r="Q204" s="56"/>
      <x:c r="R204" s="56"/>
      <x:c r="S204" s="55"/>
      <x:c r="T204" s="55"/>
      <x:c r="U204" s="63"/>
      <x:c r="V204" s="63"/>
      <x:c r="W204" s="55"/>
      <x:c r="X204" s="55"/>
      <x:c r="Y204" s="55"/>
      <x:c r="Z204" s="55"/>
      <x:c r="AA204" s="55"/>
      <x:c r="AB204" s="55"/>
      <x:c r="AC204" s="55"/>
      <x:c r="AD204" s="57"/>
      <x:c r="AE204" s="55"/>
      <x:c r="AF204" s="56"/>
      <x:c r="AG204" s="63"/>
      <x:c r="AH204" s="55"/>
      <x:c r="AI204" s="56"/>
      <x:c r="AJ204" s="55"/>
    </x:row>
    <x:row r="205" ht="28" customHeight="1">
      <x:c r="A205" s="55"/>
      <x:c r="B205" s="55"/>
      <x:c r="C205" s="60"/>
      <x:c r="D205" s="55"/>
      <x:c r="E205" s="55"/>
      <x:c r="F205" s="55"/>
      <x:c r="G205" s="56"/>
      <x:c r="H205" s="55"/>
      <x:c r="I205" s="63"/>
      <x:c r="J205" s="63"/>
      <x:c r="K205" s="65" t="str">
        <x:f>IF(COUNT(I205:J205)&lt;2,"",MAX(I205-J205,0))</x:f>
      </x:c>
      <x:c r="L205" s="63"/>
      <x:c r="M205" s="68"/>
      <x:c r="N205" s="68"/>
      <x:c r="O205" s="55"/>
      <x:c r="P205" s="55"/>
      <x:c r="Q205" s="56"/>
      <x:c r="R205" s="56"/>
      <x:c r="S205" s="55"/>
      <x:c r="T205" s="55"/>
      <x:c r="U205" s="63"/>
      <x:c r="V205" s="63"/>
      <x:c r="W205" s="55"/>
      <x:c r="X205" s="55"/>
      <x:c r="Y205" s="55"/>
      <x:c r="Z205" s="55"/>
      <x:c r="AA205" s="55"/>
      <x:c r="AB205" s="55"/>
      <x:c r="AC205" s="55"/>
      <x:c r="AD205" s="57"/>
      <x:c r="AE205" s="55"/>
      <x:c r="AF205" s="56"/>
      <x:c r="AG205" s="63"/>
      <x:c r="AH205" s="55"/>
      <x:c r="AI205" s="56"/>
      <x:c r="AJ205" s="55"/>
    </x:row>
    <x:row r="206" ht="28" customHeight="1">
      <x:c r="A206" s="55"/>
      <x:c r="B206" s="55"/>
      <x:c r="C206" s="60"/>
      <x:c r="D206" s="55"/>
      <x:c r="E206" s="55"/>
      <x:c r="F206" s="55"/>
      <x:c r="G206" s="56"/>
      <x:c r="H206" s="55"/>
      <x:c r="I206" s="63"/>
      <x:c r="J206" s="63"/>
      <x:c r="K206" s="65" t="str">
        <x:f>IF(COUNT(I206:J206)&lt;2,"",MAX(I206-J206,0))</x:f>
      </x:c>
      <x:c r="L206" s="63"/>
      <x:c r="M206" s="68"/>
      <x:c r="N206" s="68"/>
      <x:c r="O206" s="55"/>
      <x:c r="P206" s="55"/>
      <x:c r="Q206" s="56"/>
      <x:c r="R206" s="56"/>
      <x:c r="S206" s="55"/>
      <x:c r="T206" s="55"/>
      <x:c r="U206" s="63"/>
      <x:c r="V206" s="63"/>
      <x:c r="W206" s="55"/>
      <x:c r="X206" s="55"/>
      <x:c r="Y206" s="55"/>
      <x:c r="Z206" s="55"/>
      <x:c r="AA206" s="55"/>
      <x:c r="AB206" s="55"/>
      <x:c r="AC206" s="55"/>
      <x:c r="AD206" s="57"/>
      <x:c r="AE206" s="55"/>
      <x:c r="AF206" s="56"/>
      <x:c r="AG206" s="63"/>
      <x:c r="AH206" s="55"/>
      <x:c r="AI206" s="56"/>
      <x:c r="AJ206" s="55"/>
    </x:row>
    <x:row r="207" ht="28" customHeight="1">
      <x:c r="A207" s="55"/>
      <x:c r="B207" s="55"/>
      <x:c r="C207" s="60"/>
      <x:c r="D207" s="55"/>
      <x:c r="E207" s="55"/>
      <x:c r="F207" s="55"/>
      <x:c r="G207" s="56"/>
      <x:c r="H207" s="55"/>
      <x:c r="I207" s="63"/>
      <x:c r="J207" s="63"/>
      <x:c r="K207" s="65" t="str">
        <x:f>IF(COUNT(I207:J207)&lt;2,"",MAX(I207-J207,0))</x:f>
      </x:c>
      <x:c r="L207" s="63"/>
      <x:c r="M207" s="68"/>
      <x:c r="N207" s="68"/>
      <x:c r="O207" s="55"/>
      <x:c r="P207" s="55"/>
      <x:c r="Q207" s="56"/>
      <x:c r="R207" s="56"/>
      <x:c r="S207" s="55"/>
      <x:c r="T207" s="55"/>
      <x:c r="U207" s="63"/>
      <x:c r="V207" s="63"/>
      <x:c r="W207" s="55"/>
      <x:c r="X207" s="55"/>
      <x:c r="Y207" s="55"/>
      <x:c r="Z207" s="55"/>
      <x:c r="AA207" s="55"/>
      <x:c r="AB207" s="55"/>
      <x:c r="AC207" s="55"/>
      <x:c r="AD207" s="57"/>
      <x:c r="AE207" s="55"/>
      <x:c r="AF207" s="56"/>
      <x:c r="AG207" s="63"/>
      <x:c r="AH207" s="55"/>
      <x:c r="AI207" s="56"/>
      <x:c r="AJ207" s="55"/>
    </x:row>
    <x:row r="208" ht="28" customHeight="1">
      <x:c r="A208" s="55"/>
      <x:c r="B208" s="55"/>
      <x:c r="C208" s="60"/>
      <x:c r="D208" s="55"/>
      <x:c r="E208" s="55"/>
      <x:c r="F208" s="55"/>
      <x:c r="G208" s="56"/>
      <x:c r="H208" s="55"/>
      <x:c r="I208" s="63"/>
      <x:c r="J208" s="63"/>
      <x:c r="K208" s="65" t="str">
        <x:f>IF(COUNT(I208:J208)&lt;2,"",MAX(I208-J208,0))</x:f>
      </x:c>
      <x:c r="L208" s="63"/>
      <x:c r="M208" s="68"/>
      <x:c r="N208" s="68"/>
      <x:c r="O208" s="55"/>
      <x:c r="P208" s="55"/>
      <x:c r="Q208" s="56"/>
      <x:c r="R208" s="56"/>
      <x:c r="S208" s="55"/>
      <x:c r="T208" s="55"/>
      <x:c r="U208" s="63"/>
      <x:c r="V208" s="63"/>
      <x:c r="W208" s="55"/>
      <x:c r="X208" s="55"/>
      <x:c r="Y208" s="55"/>
      <x:c r="Z208" s="55"/>
      <x:c r="AA208" s="55"/>
      <x:c r="AB208" s="55"/>
      <x:c r="AC208" s="55"/>
      <x:c r="AD208" s="57"/>
      <x:c r="AE208" s="55"/>
      <x:c r="AF208" s="56"/>
      <x:c r="AG208" s="63"/>
      <x:c r="AH208" s="55"/>
      <x:c r="AI208" s="56"/>
      <x:c r="AJ208" s="55"/>
    </x:row>
    <x:row r="209" ht="28" customHeight="1">
      <x:c r="A209" s="55"/>
      <x:c r="B209" s="55"/>
      <x:c r="C209" s="60"/>
      <x:c r="D209" s="55"/>
      <x:c r="E209" s="55"/>
      <x:c r="F209" s="55"/>
      <x:c r="G209" s="56"/>
      <x:c r="H209" s="55"/>
      <x:c r="I209" s="63"/>
      <x:c r="J209" s="63"/>
      <x:c r="K209" s="65" t="str">
        <x:f>IF(COUNT(I209:J209)&lt;2,"",MAX(I209-J209,0))</x:f>
      </x:c>
      <x:c r="L209" s="63"/>
      <x:c r="M209" s="68"/>
      <x:c r="N209" s="68"/>
      <x:c r="O209" s="55"/>
      <x:c r="P209" s="55"/>
      <x:c r="Q209" s="56"/>
      <x:c r="R209" s="56"/>
      <x:c r="S209" s="55"/>
      <x:c r="T209" s="55"/>
      <x:c r="U209" s="63"/>
      <x:c r="V209" s="63"/>
      <x:c r="W209" s="55"/>
      <x:c r="X209" s="55"/>
      <x:c r="Y209" s="55"/>
      <x:c r="Z209" s="55"/>
      <x:c r="AA209" s="55"/>
      <x:c r="AB209" s="55"/>
      <x:c r="AC209" s="55"/>
      <x:c r="AD209" s="57"/>
      <x:c r="AE209" s="55"/>
      <x:c r="AF209" s="56"/>
      <x:c r="AG209" s="63"/>
      <x:c r="AH209" s="55"/>
      <x:c r="AI209" s="56"/>
      <x:c r="AJ209" s="55"/>
    </x:row>
    <x:row r="210" ht="28" customHeight="1">
      <x:c r="A210" s="55"/>
      <x:c r="B210" s="55"/>
      <x:c r="C210" s="60"/>
      <x:c r="D210" s="55"/>
      <x:c r="E210" s="55"/>
      <x:c r="F210" s="55"/>
      <x:c r="G210" s="56"/>
      <x:c r="H210" s="55"/>
      <x:c r="I210" s="63"/>
      <x:c r="J210" s="63"/>
      <x:c r="K210" s="65" t="str">
        <x:f>IF(COUNT(I210:J210)&lt;2,"",MAX(I210-J210,0))</x:f>
      </x:c>
      <x:c r="L210" s="63"/>
      <x:c r="M210" s="68"/>
      <x:c r="N210" s="68"/>
      <x:c r="O210" s="55"/>
      <x:c r="P210" s="55"/>
      <x:c r="Q210" s="56"/>
      <x:c r="R210" s="56"/>
      <x:c r="S210" s="55"/>
      <x:c r="T210" s="55"/>
      <x:c r="U210" s="63"/>
      <x:c r="V210" s="63"/>
      <x:c r="W210" s="55"/>
      <x:c r="X210" s="55"/>
      <x:c r="Y210" s="55"/>
      <x:c r="Z210" s="55"/>
      <x:c r="AA210" s="55"/>
      <x:c r="AB210" s="55"/>
      <x:c r="AC210" s="55"/>
      <x:c r="AD210" s="57"/>
      <x:c r="AE210" s="55"/>
      <x:c r="AF210" s="56"/>
      <x:c r="AG210" s="63"/>
      <x:c r="AH210" s="55"/>
      <x:c r="AI210" s="56"/>
      <x:c r="AJ210" s="55"/>
    </x:row>
    <x:row r="211" ht="28" customHeight="1">
      <x:c r="A211" s="55"/>
      <x:c r="B211" s="55"/>
      <x:c r="C211" s="60"/>
      <x:c r="D211" s="55"/>
      <x:c r="E211" s="55"/>
      <x:c r="F211" s="55"/>
      <x:c r="G211" s="56"/>
      <x:c r="H211" s="55"/>
      <x:c r="I211" s="63"/>
      <x:c r="J211" s="63"/>
      <x:c r="K211" s="65" t="str">
        <x:f>IF(COUNT(I211:J211)&lt;2,"",MAX(I211-J211,0))</x:f>
      </x:c>
      <x:c r="L211" s="63"/>
      <x:c r="M211" s="68"/>
      <x:c r="N211" s="68"/>
      <x:c r="O211" s="55"/>
      <x:c r="P211" s="55"/>
      <x:c r="Q211" s="56"/>
      <x:c r="R211" s="56"/>
      <x:c r="S211" s="55"/>
      <x:c r="T211" s="55"/>
      <x:c r="U211" s="63"/>
      <x:c r="V211" s="63"/>
      <x:c r="W211" s="55"/>
      <x:c r="X211" s="55"/>
      <x:c r="Y211" s="55"/>
      <x:c r="Z211" s="55"/>
      <x:c r="AA211" s="55"/>
      <x:c r="AB211" s="55"/>
      <x:c r="AC211" s="55"/>
      <x:c r="AD211" s="57"/>
      <x:c r="AE211" s="55"/>
      <x:c r="AF211" s="56"/>
      <x:c r="AG211" s="63"/>
      <x:c r="AH211" s="55"/>
      <x:c r="AI211" s="56"/>
      <x:c r="AJ211" s="55"/>
    </x:row>
    <x:row r="212" ht="28" customHeight="1">
      <x:c r="A212" s="55"/>
      <x:c r="B212" s="55"/>
      <x:c r="C212" s="60"/>
      <x:c r="D212" s="55"/>
      <x:c r="E212" s="55"/>
      <x:c r="F212" s="55"/>
      <x:c r="G212" s="56"/>
      <x:c r="H212" s="55"/>
      <x:c r="I212" s="63"/>
      <x:c r="J212" s="63"/>
      <x:c r="K212" s="65" t="str">
        <x:f>IF(COUNT(I212:J212)&lt;2,"",MAX(I212-J212,0))</x:f>
      </x:c>
      <x:c r="L212" s="63"/>
      <x:c r="M212" s="68"/>
      <x:c r="N212" s="68"/>
      <x:c r="O212" s="55"/>
      <x:c r="P212" s="55"/>
      <x:c r="Q212" s="56"/>
      <x:c r="R212" s="56"/>
      <x:c r="S212" s="55"/>
      <x:c r="T212" s="55"/>
      <x:c r="U212" s="63"/>
      <x:c r="V212" s="63"/>
      <x:c r="W212" s="55"/>
      <x:c r="X212" s="55"/>
      <x:c r="Y212" s="55"/>
      <x:c r="Z212" s="55"/>
      <x:c r="AA212" s="55"/>
      <x:c r="AB212" s="55"/>
      <x:c r="AC212" s="55"/>
      <x:c r="AD212" s="57"/>
      <x:c r="AE212" s="55"/>
      <x:c r="AF212" s="56"/>
      <x:c r="AG212" s="63"/>
      <x:c r="AH212" s="55"/>
      <x:c r="AI212" s="56"/>
      <x:c r="AJ212" s="55"/>
    </x:row>
    <x:row r="213" ht="28" customHeight="1">
      <x:c r="A213" s="55"/>
      <x:c r="B213" s="55"/>
      <x:c r="C213" s="60"/>
      <x:c r="D213" s="55"/>
      <x:c r="E213" s="55"/>
      <x:c r="F213" s="55"/>
      <x:c r="G213" s="56"/>
      <x:c r="H213" s="55"/>
      <x:c r="I213" s="63"/>
      <x:c r="J213" s="63"/>
      <x:c r="K213" s="65" t="str">
        <x:f>IF(COUNT(I213:J213)&lt;2,"",MAX(I213-J213,0))</x:f>
      </x:c>
      <x:c r="L213" s="63"/>
      <x:c r="M213" s="68"/>
      <x:c r="N213" s="68"/>
      <x:c r="O213" s="55"/>
      <x:c r="P213" s="55"/>
      <x:c r="Q213" s="56"/>
      <x:c r="R213" s="56"/>
      <x:c r="S213" s="55"/>
      <x:c r="T213" s="55"/>
      <x:c r="U213" s="63"/>
      <x:c r="V213" s="63"/>
      <x:c r="W213" s="55"/>
      <x:c r="X213" s="55"/>
      <x:c r="Y213" s="55"/>
      <x:c r="Z213" s="55"/>
      <x:c r="AA213" s="55"/>
      <x:c r="AB213" s="55"/>
      <x:c r="AC213" s="55"/>
      <x:c r="AD213" s="57"/>
      <x:c r="AE213" s="55"/>
      <x:c r="AF213" s="56"/>
      <x:c r="AG213" s="63"/>
      <x:c r="AH213" s="55"/>
      <x:c r="AI213" s="56"/>
      <x:c r="AJ213" s="55"/>
    </x:row>
    <x:row r="214" ht="28" customHeight="1">
      <x:c r="A214" s="55"/>
      <x:c r="B214" s="55"/>
      <x:c r="C214" s="60"/>
      <x:c r="D214" s="55"/>
      <x:c r="E214" s="55"/>
      <x:c r="F214" s="55"/>
      <x:c r="G214" s="56"/>
      <x:c r="H214" s="55"/>
      <x:c r="I214" s="63"/>
      <x:c r="J214" s="63"/>
      <x:c r="K214" s="65" t="str">
        <x:f>IF(COUNT(I214:J214)&lt;2,"",MAX(I214-J214,0))</x:f>
      </x:c>
      <x:c r="L214" s="63"/>
      <x:c r="M214" s="68"/>
      <x:c r="N214" s="68"/>
      <x:c r="O214" s="55"/>
      <x:c r="P214" s="55"/>
      <x:c r="Q214" s="56"/>
      <x:c r="R214" s="56"/>
      <x:c r="S214" s="55"/>
      <x:c r="T214" s="55"/>
      <x:c r="U214" s="63"/>
      <x:c r="V214" s="63"/>
      <x:c r="W214" s="55"/>
      <x:c r="X214" s="55"/>
      <x:c r="Y214" s="55"/>
      <x:c r="Z214" s="55"/>
      <x:c r="AA214" s="55"/>
      <x:c r="AB214" s="55"/>
      <x:c r="AC214" s="55"/>
      <x:c r="AD214" s="57"/>
      <x:c r="AE214" s="55"/>
      <x:c r="AF214" s="56"/>
      <x:c r="AG214" s="63"/>
      <x:c r="AH214" s="55"/>
      <x:c r="AI214" s="56"/>
      <x:c r="AJ214" s="55"/>
    </x:row>
    <x:row r="215" ht="28" customHeight="1">
      <x:c r="A215" s="55"/>
      <x:c r="B215" s="55"/>
      <x:c r="C215" s="60"/>
      <x:c r="D215" s="55"/>
      <x:c r="E215" s="55"/>
      <x:c r="F215" s="55"/>
      <x:c r="G215" s="56"/>
      <x:c r="H215" s="55"/>
      <x:c r="I215" s="63"/>
      <x:c r="J215" s="63"/>
      <x:c r="K215" s="65" t="str">
        <x:f>IF(COUNT(I215:J215)&lt;2,"",MAX(I215-J215,0))</x:f>
      </x:c>
      <x:c r="L215" s="63"/>
      <x:c r="M215" s="68"/>
      <x:c r="N215" s="68"/>
      <x:c r="O215" s="55"/>
      <x:c r="P215" s="55"/>
      <x:c r="Q215" s="56"/>
      <x:c r="R215" s="56"/>
      <x:c r="S215" s="55"/>
      <x:c r="T215" s="55"/>
      <x:c r="U215" s="63"/>
      <x:c r="V215" s="63"/>
      <x:c r="W215" s="55"/>
      <x:c r="X215" s="55"/>
      <x:c r="Y215" s="55"/>
      <x:c r="Z215" s="55"/>
      <x:c r="AA215" s="55"/>
      <x:c r="AB215" s="55"/>
      <x:c r="AC215" s="55"/>
      <x:c r="AD215" s="57"/>
      <x:c r="AE215" s="55"/>
      <x:c r="AF215" s="56"/>
      <x:c r="AG215" s="63"/>
      <x:c r="AH215" s="55"/>
      <x:c r="AI215" s="56"/>
      <x:c r="AJ215" s="55"/>
    </x:row>
    <x:row r="216" ht="28" customHeight="1">
      <x:c r="A216" s="55"/>
      <x:c r="B216" s="55"/>
      <x:c r="C216" s="60"/>
      <x:c r="D216" s="55"/>
      <x:c r="E216" s="55"/>
      <x:c r="F216" s="55"/>
      <x:c r="G216" s="56"/>
      <x:c r="H216" s="55"/>
      <x:c r="I216" s="63"/>
      <x:c r="J216" s="63"/>
      <x:c r="K216" s="65" t="str">
        <x:f>IF(COUNT(I216:J216)&lt;2,"",MAX(I216-J216,0))</x:f>
      </x:c>
      <x:c r="L216" s="63"/>
      <x:c r="M216" s="68"/>
      <x:c r="N216" s="68"/>
      <x:c r="O216" s="55"/>
      <x:c r="P216" s="55"/>
      <x:c r="Q216" s="56"/>
      <x:c r="R216" s="56"/>
      <x:c r="S216" s="55"/>
      <x:c r="T216" s="55"/>
      <x:c r="U216" s="63"/>
      <x:c r="V216" s="63"/>
      <x:c r="W216" s="55"/>
      <x:c r="X216" s="55"/>
      <x:c r="Y216" s="55"/>
      <x:c r="Z216" s="55"/>
      <x:c r="AA216" s="55"/>
      <x:c r="AB216" s="55"/>
      <x:c r="AC216" s="55"/>
      <x:c r="AD216" s="57"/>
      <x:c r="AE216" s="55"/>
      <x:c r="AF216" s="56"/>
      <x:c r="AG216" s="63"/>
      <x:c r="AH216" s="55"/>
      <x:c r="AI216" s="56"/>
      <x:c r="AJ216" s="55"/>
    </x:row>
    <x:row r="224">
      <x:c r="A224" s="41" t="str">
        <x:v>Project deployment snapshots</x:v>
      </x:c>
    </x:row>
    <x:row r="225">
      <x:c r="A225" s="40" t="str">
        <x:v>One row per project/site/date. Count each worker or machine once. Replace an all-sites row before adding its site breakdown.</x:v>
      </x:c>
    </x:row>
    <x:row r="227" ht="44" customHeight="1">
      <x:c r="A227" s="44" t="str">
        <x:v>Project code</x:v>
      </x:c>
      <x:c r="B227" s="44" t="str">
        <x:v>Site / scope</x:v>
      </x:c>
      <x:c r="C227" s="44" t="str">
        <x:v>Reporting date</x:v>
      </x:c>
      <x:c r="D227" s="44" t="str">
        <x:v>Labour planned</x:v>
      </x:c>
      <x:c r="E227" s="44" t="str">
        <x:v>Labour actual</x:v>
      </x:c>
      <x:c r="F227" s="44" t="str">
        <x:v>Batching plant</x:v>
      </x:c>
      <x:c r="G227" s="44" t="str">
        <x:v>Ajax</x:v>
      </x:c>
      <x:c r="H227" s="44" t="str">
        <x:v>Excavator</x:v>
      </x:c>
      <x:c r="I227" s="44" t="str">
        <x:v>Miller</x:v>
      </x:c>
      <x:c r="J227" s="44" t="str">
        <x:v>Truck / dumper</x:v>
      </x:c>
      <x:c r="K227" s="44" t="str">
        <x:v>Tractor / breaker</x:v>
      </x:c>
      <x:c r="L227" s="44" t="str">
        <x:v>JCB</x:v>
      </x:c>
      <x:c r="M227" s="44" t="str">
        <x:v>Other machines</x:v>
      </x:c>
      <x:c r="N227" s="44" t="str">
        <x:v>Snapshot notes</x:v>
      </x:c>
    </x:row>
    <x:row r="228" ht="100" customHeight="1">
      <x:c r="A228" s="73" t="str">
        <x:v>S25WRJ01</x:v>
      </x:c>
      <x:c r="B228" s="73" t="str">
        <x:v>P1-SITE-1</x:v>
      </x:c>
      <x:c r="C228" s="74" t="n">
        <x:v>46285</x:v>
      </x:c>
      <x:c r="D228" s="75" t="n">
        <x:v>75</x:v>
      </x:c>
      <x:c r="E228" s="75" t="n">
        <x:v>65</x:v>
      </x:c>
      <x:c r="F228" s="75" t="n">
        <x:v>1</x:v>
      </x:c>
      <x:c r="G228" s="75" t="n">
        <x:v>1</x:v>
      </x:c>
      <x:c r="H228" s="75" t="n">
        <x:v>2</x:v>
      </x:c>
      <x:c r="I228" s="75" t="n">
        <x:v>1</x:v>
      </x:c>
      <x:c r="J228" s="75" t="n">
        <x:v>3</x:v>
      </x:c>
      <x:c r="K228" s="75" t="n">
        <x:v>1</x:v>
      </x:c>
      <x:c r="L228" s="75" t="n">
        <x:v>1</x:v>
      </x:c>
      <x:c r="M228" s="75" t="n">
        <x:v>1</x:v>
      </x:c>
      <x:c r="N228" s="55" t="str">
        <x:v>FICTIONAL TEST DATA. Distinct people and machines at this site as of 20-Sep-2026.</x:v>
      </x:c>
    </x:row>
    <x:row r="229" ht="100" customHeight="1">
      <x:c r="A229" s="73" t="str">
        <x:v>S25WRJ01</x:v>
      </x:c>
      <x:c r="B229" s="73" t="str">
        <x:v>P1-SITE-2</x:v>
      </x:c>
      <x:c r="C229" s="74" t="n">
        <x:v>46285</x:v>
      </x:c>
      <x:c r="D229" s="75" t="n">
        <x:v>80</x:v>
      </x:c>
      <x:c r="E229" s="75" t="n">
        <x:v>70</x:v>
      </x:c>
      <x:c r="F229" s="75" t="n">
        <x:v>1</x:v>
      </x:c>
      <x:c r="G229" s="75" t="n">
        <x:v>1</x:v>
      </x:c>
      <x:c r="H229" s="75" t="n">
        <x:v>3</x:v>
      </x:c>
      <x:c r="I229" s="75" t="n">
        <x:v>1</x:v>
      </x:c>
      <x:c r="J229" s="75" t="n">
        <x:v>4</x:v>
      </x:c>
      <x:c r="K229" s="75" t="n">
        <x:v>1</x:v>
      </x:c>
      <x:c r="L229" s="75" t="n">
        <x:v>1</x:v>
      </x:c>
      <x:c r="M229" s="75" t="n">
        <x:v>1</x:v>
      </x:c>
      <x:c r="N229" s="55" t="str">
        <x:v>FICTIONAL TEST DATA. Distinct people and machines at this site as of 20-Sep-2026.</x:v>
      </x:c>
    </x:row>
    <x:row r="230" ht="100" customHeight="1">
      <x:c r="A230" s="73" t="str">
        <x:v>S25WJH01</x:v>
      </x:c>
      <x:c r="B230" s="73" t="str">
        <x:v>P2-SITE-1</x:v>
      </x:c>
      <x:c r="C230" s="74" t="n">
        <x:v>46285</x:v>
      </x:c>
      <x:c r="D230" s="75" t="n">
        <x:v>85</x:v>
      </x:c>
      <x:c r="E230" s="75" t="n">
        <x:v>77</x:v>
      </x:c>
      <x:c r="F230" s="75" t="n">
        <x:v>1</x:v>
      </x:c>
      <x:c r="G230" s="75" t="n">
        <x:v>1</x:v>
      </x:c>
      <x:c r="H230" s="75" t="n">
        <x:v>2</x:v>
      </x:c>
      <x:c r="I230" s="75" t="n">
        <x:v>1</x:v>
      </x:c>
      <x:c r="J230" s="75" t="n">
        <x:v>3</x:v>
      </x:c>
      <x:c r="K230" s="75" t="n">
        <x:v>1</x:v>
      </x:c>
      <x:c r="L230" s="75" t="n">
        <x:v>1</x:v>
      </x:c>
      <x:c r="M230" s="75" t="n">
        <x:v>1</x:v>
      </x:c>
      <x:c r="N230" s="55" t="str">
        <x:v>FICTIONAL TEST DATA. Distinct people and machines at this site as of 20-Sep-2026.</x:v>
      </x:c>
    </x:row>
    <x:row r="231" ht="100" customHeight="1">
      <x:c r="A231" s="73" t="str">
        <x:v>S25WJH01</x:v>
      </x:c>
      <x:c r="B231" s="73" t="str">
        <x:v>P2-SITE-2</x:v>
      </x:c>
      <x:c r="C231" s="74" t="n">
        <x:v>46285</x:v>
      </x:c>
      <x:c r="D231" s="75" t="n">
        <x:v>90</x:v>
      </x:c>
      <x:c r="E231" s="75" t="n">
        <x:v>82</x:v>
      </x:c>
      <x:c r="F231" s="75" t="n">
        <x:v>1</x:v>
      </x:c>
      <x:c r="G231" s="75" t="n">
        <x:v>1</x:v>
      </x:c>
      <x:c r="H231" s="75" t="n">
        <x:v>3</x:v>
      </x:c>
      <x:c r="I231" s="75" t="n">
        <x:v>1</x:v>
      </x:c>
      <x:c r="J231" s="75" t="n">
        <x:v>4</x:v>
      </x:c>
      <x:c r="K231" s="75" t="n">
        <x:v>1</x:v>
      </x:c>
      <x:c r="L231" s="75" t="n">
        <x:v>1</x:v>
      </x:c>
      <x:c r="M231" s="75" t="n">
        <x:v>1</x:v>
      </x:c>
      <x:c r="N231" s="55" t="str">
        <x:v>FICTIONAL TEST DATA. Distinct people and machines at this site as of 20-Sep-2026.</x:v>
      </x:c>
    </x:row>
    <x:row r="232" ht="100" customHeight="1">
      <x:c r="A232" s="73" t="str">
        <x:v>S25WMP01</x:v>
      </x:c>
      <x:c r="B232" s="73" t="str">
        <x:v>P3-SITE-1</x:v>
      </x:c>
      <x:c r="C232" s="74" t="n">
        <x:v>46285</x:v>
      </x:c>
      <x:c r="D232" s="75" t="n">
        <x:v>95</x:v>
      </x:c>
      <x:c r="E232" s="75" t="n">
        <x:v>89</x:v>
      </x:c>
      <x:c r="F232" s="75" t="n">
        <x:v>1</x:v>
      </x:c>
      <x:c r="G232" s="75" t="n">
        <x:v>1</x:v>
      </x:c>
      <x:c r="H232" s="75" t="n">
        <x:v>2</x:v>
      </x:c>
      <x:c r="I232" s="75" t="n">
        <x:v>1</x:v>
      </x:c>
      <x:c r="J232" s="75" t="n">
        <x:v>3</x:v>
      </x:c>
      <x:c r="K232" s="75" t="n">
        <x:v>1</x:v>
      </x:c>
      <x:c r="L232" s="75" t="n">
        <x:v>1</x:v>
      </x:c>
      <x:c r="M232" s="75" t="n">
        <x:v>1</x:v>
      </x:c>
      <x:c r="N232" s="55" t="str">
        <x:v>FICTIONAL TEST DATA. Distinct people and machines at this site as of 20-Sep-2026.</x:v>
      </x:c>
    </x:row>
    <x:row r="233" ht="100" customHeight="1">
      <x:c r="A233" s="73" t="str">
        <x:v>S25WMP01</x:v>
      </x:c>
      <x:c r="B233" s="73" t="str">
        <x:v>P3-SITE-2</x:v>
      </x:c>
      <x:c r="C233" s="74" t="n">
        <x:v>46285</x:v>
      </x:c>
      <x:c r="D233" s="75" t="n">
        <x:v>100</x:v>
      </x:c>
      <x:c r="E233" s="75" t="n">
        <x:v>94</x:v>
      </x:c>
      <x:c r="F233" s="75" t="n">
        <x:v>1</x:v>
      </x:c>
      <x:c r="G233" s="75" t="n">
        <x:v>1</x:v>
      </x:c>
      <x:c r="H233" s="75" t="n">
        <x:v>3</x:v>
      </x:c>
      <x:c r="I233" s="75" t="n">
        <x:v>1</x:v>
      </x:c>
      <x:c r="J233" s="75" t="n">
        <x:v>4</x:v>
      </x:c>
      <x:c r="K233" s="75" t="n">
        <x:v>1</x:v>
      </x:c>
      <x:c r="L233" s="75" t="n">
        <x:v>1</x:v>
      </x:c>
      <x:c r="M233" s="75" t="n">
        <x:v>1</x:v>
      </x:c>
      <x:c r="N233" s="55" t="str">
        <x:v>FICTIONAL TEST DATA. Distinct people and machines at this site as of 20-Sep-2026.</x:v>
      </x:c>
    </x:row>
    <x:row r="234" ht="100" customHeight="1">
      <x:c r="A234" s="73" t="str">
        <x:v>S26BBI01</x:v>
      </x:c>
      <x:c r="B234" s="73" t="str">
        <x:v>P4-SITE-1</x:v>
      </x:c>
      <x:c r="C234" s="74" t="n">
        <x:v>46285</x:v>
      </x:c>
      <x:c r="D234" s="75" t="n">
        <x:v>105</x:v>
      </x:c>
      <x:c r="E234" s="75" t="n">
        <x:v>101</x:v>
      </x:c>
      <x:c r="F234" s="75" t="n">
        <x:v>1</x:v>
      </x:c>
      <x:c r="G234" s="75" t="n">
        <x:v>1</x:v>
      </x:c>
      <x:c r="H234" s="75" t="n">
        <x:v>2</x:v>
      </x:c>
      <x:c r="I234" s="75" t="n">
        <x:v>1</x:v>
      </x:c>
      <x:c r="J234" s="75" t="n">
        <x:v>3</x:v>
      </x:c>
      <x:c r="K234" s="75" t="n">
        <x:v>1</x:v>
      </x:c>
      <x:c r="L234" s="75" t="n">
        <x:v>1</x:v>
      </x:c>
      <x:c r="M234" s="75" t="n">
        <x:v>1</x:v>
      </x:c>
      <x:c r="N234" s="55" t="str">
        <x:v>FICTIONAL TEST DATA. Distinct people and machines at this site as of 20-Sep-2026.</x:v>
      </x:c>
    </x:row>
    <x:row r="235" ht="100" customHeight="1">
      <x:c r="A235" s="73" t="str">
        <x:v>S26BBI01</x:v>
      </x:c>
      <x:c r="B235" s="73" t="str">
        <x:v>P4-SITE-2</x:v>
      </x:c>
      <x:c r="C235" s="74" t="n">
        <x:v>46285</x:v>
      </x:c>
      <x:c r="D235" s="75" t="n">
        <x:v>110</x:v>
      </x:c>
      <x:c r="E235" s="75" t="n">
        <x:v>106</x:v>
      </x:c>
      <x:c r="F235" s="75" t="n">
        <x:v>1</x:v>
      </x:c>
      <x:c r="G235" s="75" t="n">
        <x:v>1</x:v>
      </x:c>
      <x:c r="H235" s="75" t="n">
        <x:v>3</x:v>
      </x:c>
      <x:c r="I235" s="75" t="n">
        <x:v>1</x:v>
      </x:c>
      <x:c r="J235" s="75" t="n">
        <x:v>4</x:v>
      </x:c>
      <x:c r="K235" s="75" t="n">
        <x:v>1</x:v>
      </x:c>
      <x:c r="L235" s="75" t="n">
        <x:v>1</x:v>
      </x:c>
      <x:c r="M235" s="75" t="n">
        <x:v>1</x:v>
      </x:c>
      <x:c r="N235" s="55" t="str">
        <x:v>FICTIONAL TEST DATA. Distinct people and machines at this site as of 20-Sep-2026.</x:v>
      </x:c>
    </x:row>
    <x:row r="236" ht="100" customHeight="1">
      <x:c r="A236" s="73" t="str">
        <x:v>S26PRJ01</x:v>
      </x:c>
      <x:c r="B236" s="73" t="str">
        <x:v>P5-SITE-1</x:v>
      </x:c>
      <x:c r="C236" s="74" t="n">
        <x:v>46285</x:v>
      </x:c>
      <x:c r="D236" s="75" t="n">
        <x:v>115</x:v>
      </x:c>
      <x:c r="E236" s="75" t="n">
        <x:v>113</x:v>
      </x:c>
      <x:c r="F236" s="75" t="n">
        <x:v>1</x:v>
      </x:c>
      <x:c r="G236" s="75" t="n">
        <x:v>1</x:v>
      </x:c>
      <x:c r="H236" s="75" t="n">
        <x:v>2</x:v>
      </x:c>
      <x:c r="I236" s="75" t="n">
        <x:v>1</x:v>
      </x:c>
      <x:c r="J236" s="75" t="n">
        <x:v>3</x:v>
      </x:c>
      <x:c r="K236" s="75" t="n">
        <x:v>1</x:v>
      </x:c>
      <x:c r="L236" s="75" t="n">
        <x:v>1</x:v>
      </x:c>
      <x:c r="M236" s="75" t="n">
        <x:v>1</x:v>
      </x:c>
      <x:c r="N236" s="55" t="str">
        <x:v>FICTIONAL TEST DATA. Distinct people and machines at this site as of 20-Sep-2026.</x:v>
      </x:c>
    </x:row>
    <x:row r="237" ht="100" customHeight="1">
      <x:c r="A237" s="73" t="str">
        <x:v>S26PRJ01</x:v>
      </x:c>
      <x:c r="B237" s="73" t="str">
        <x:v>P5-SITE-2</x:v>
      </x:c>
      <x:c r="C237" s="74" t="n">
        <x:v>46285</x:v>
      </x:c>
      <x:c r="D237" s="75" t="n">
        <x:v>120</x:v>
      </x:c>
      <x:c r="E237" s="75" t="n">
        <x:v>118</x:v>
      </x:c>
      <x:c r="F237" s="75" t="n">
        <x:v>1</x:v>
      </x:c>
      <x:c r="G237" s="75" t="n">
        <x:v>1</x:v>
      </x:c>
      <x:c r="H237" s="75" t="n">
        <x:v>3</x:v>
      </x:c>
      <x:c r="I237" s="75" t="n">
        <x:v>1</x:v>
      </x:c>
      <x:c r="J237" s="75" t="n">
        <x:v>4</x:v>
      </x:c>
      <x:c r="K237" s="75" t="n">
        <x:v>1</x:v>
      </x:c>
      <x:c r="L237" s="75" t="n">
        <x:v>1</x:v>
      </x:c>
      <x:c r="M237" s="75" t="n">
        <x:v>1</x:v>
      </x:c>
      <x:c r="N237" s="55" t="str">
        <x:v>FICTIONAL TEST DATA. Distinct people and machines at this site as of 20-Sep-2026.</x:v>
      </x:c>
    </x:row>
    <x:row r="238" ht="32" customHeight="1">
      <x:c r="A238" s="73"/>
      <x:c r="B238" s="73"/>
      <x:c r="C238" s="74"/>
      <x:c r="D238" s="75"/>
      <x:c r="E238" s="75"/>
      <x:c r="F238" s="75"/>
      <x:c r="G238" s="75"/>
      <x:c r="H238" s="75"/>
      <x:c r="I238" s="75"/>
      <x:c r="J238" s="75"/>
      <x:c r="K238" s="75"/>
      <x:c r="L238" s="75"/>
      <x:c r="M238" s="75"/>
      <x:c r="N238" s="73"/>
    </x:row>
    <x:row r="239" ht="32" customHeight="1">
      <x:c r="A239" s="73"/>
      <x:c r="B239" s="73"/>
      <x:c r="C239" s="74"/>
      <x:c r="D239" s="75"/>
      <x:c r="E239" s="75"/>
      <x:c r="F239" s="75"/>
      <x:c r="G239" s="75"/>
      <x:c r="H239" s="75"/>
      <x:c r="I239" s="75"/>
      <x:c r="J239" s="75"/>
      <x:c r="K239" s="75"/>
      <x:c r="L239" s="75"/>
      <x:c r="M239" s="75"/>
      <x:c r="N239" s="73"/>
    </x:row>
    <x:row r="240" ht="32" customHeight="1">
      <x:c r="A240" s="73"/>
      <x:c r="B240" s="73"/>
      <x:c r="C240" s="74"/>
      <x:c r="D240" s="75"/>
      <x:c r="E240" s="75"/>
      <x:c r="F240" s="75"/>
      <x:c r="G240" s="75"/>
      <x:c r="H240" s="75"/>
      <x:c r="I240" s="75"/>
      <x:c r="J240" s="75"/>
      <x:c r="K240" s="75"/>
      <x:c r="L240" s="75"/>
      <x:c r="M240" s="75"/>
      <x:c r="N240" s="73"/>
    </x:row>
    <x:row r="241" ht="32" customHeight="1">
      <x:c r="A241" s="73"/>
      <x:c r="B241" s="73"/>
      <x:c r="C241" s="74"/>
      <x:c r="D241" s="75"/>
      <x:c r="E241" s="75"/>
      <x:c r="F241" s="75"/>
      <x:c r="G241" s="75"/>
      <x:c r="H241" s="75"/>
      <x:c r="I241" s="75"/>
      <x:c r="J241" s="75"/>
      <x:c r="K241" s="75"/>
      <x:c r="L241" s="75"/>
      <x:c r="M241" s="75"/>
      <x:c r="N241" s="73"/>
    </x:row>
    <x:row r="242" ht="32" customHeight="1">
      <x:c r="A242" s="73"/>
      <x:c r="B242" s="73"/>
      <x:c r="C242" s="74"/>
      <x:c r="D242" s="75"/>
      <x:c r="E242" s="75"/>
      <x:c r="F242" s="75"/>
      <x:c r="G242" s="75"/>
      <x:c r="H242" s="75"/>
      <x:c r="I242" s="75"/>
      <x:c r="J242" s="75"/>
      <x:c r="K242" s="75"/>
      <x:c r="L242" s="75"/>
      <x:c r="M242" s="75"/>
      <x:c r="N242" s="73"/>
    </x:row>
    <x:row r="243" ht="32" customHeight="1">
      <x:c r="A243" s="73"/>
      <x:c r="B243" s="73"/>
      <x:c r="C243" s="74"/>
      <x:c r="D243" s="75"/>
      <x:c r="E243" s="75"/>
      <x:c r="F243" s="75"/>
      <x:c r="G243" s="75"/>
      <x:c r="H243" s="75"/>
      <x:c r="I243" s="75"/>
      <x:c r="J243" s="75"/>
      <x:c r="K243" s="75"/>
      <x:c r="L243" s="75"/>
      <x:c r="M243" s="75"/>
      <x:c r="N243" s="73"/>
    </x:row>
    <x:row r="244" ht="32" customHeight="1">
      <x:c r="A244" s="73"/>
      <x:c r="B244" s="73"/>
      <x:c r="C244" s="74"/>
      <x:c r="D244" s="75"/>
      <x:c r="E244" s="75"/>
      <x:c r="F244" s="75"/>
      <x:c r="G244" s="75"/>
      <x:c r="H244" s="75"/>
      <x:c r="I244" s="75"/>
      <x:c r="J244" s="75"/>
      <x:c r="K244" s="75"/>
      <x:c r="L244" s="75"/>
      <x:c r="M244" s="75"/>
      <x:c r="N244" s="73"/>
    </x:row>
    <x:row r="245" ht="32" customHeight="1">
      <x:c r="A245" s="73"/>
      <x:c r="B245" s="73"/>
      <x:c r="C245" s="74"/>
      <x:c r="D245" s="75"/>
      <x:c r="E245" s="75"/>
      <x:c r="F245" s="75"/>
      <x:c r="G245" s="75"/>
      <x:c r="H245" s="75"/>
      <x:c r="I245" s="75"/>
      <x:c r="J245" s="75"/>
      <x:c r="K245" s="75"/>
      <x:c r="L245" s="75"/>
      <x:c r="M245" s="75"/>
      <x:c r="N245" s="73"/>
    </x:row>
    <x:row r="246" ht="32" customHeight="1">
      <x:c r="A246" s="73"/>
      <x:c r="B246" s="73"/>
      <x:c r="C246" s="74"/>
      <x:c r="D246" s="75"/>
      <x:c r="E246" s="75"/>
      <x:c r="F246" s="75"/>
      <x:c r="G246" s="75"/>
      <x:c r="H246" s="75"/>
      <x:c r="I246" s="75"/>
      <x:c r="J246" s="75"/>
      <x:c r="K246" s="75"/>
      <x:c r="L246" s="75"/>
      <x:c r="M246" s="75"/>
      <x:c r="N246" s="73"/>
    </x:row>
    <x:row r="247" ht="32" customHeight="1">
      <x:c r="A247" s="73"/>
      <x:c r="B247" s="73"/>
      <x:c r="C247" s="74"/>
      <x:c r="D247" s="75"/>
      <x:c r="E247" s="75"/>
      <x:c r="F247" s="75"/>
      <x:c r="G247" s="75"/>
      <x:c r="H247" s="75"/>
      <x:c r="I247" s="75"/>
      <x:c r="J247" s="75"/>
      <x:c r="K247" s="75"/>
      <x:c r="L247" s="75"/>
      <x:c r="M247" s="75"/>
      <x:c r="N247" s="73"/>
    </x:row>
    <x:row r="248" ht="32" customHeight="1">
      <x:c r="A248" s="73"/>
      <x:c r="B248" s="73"/>
      <x:c r="C248" s="74"/>
      <x:c r="D248" s="75"/>
      <x:c r="E248" s="75"/>
      <x:c r="F248" s="75"/>
      <x:c r="G248" s="75"/>
      <x:c r="H248" s="75"/>
      <x:c r="I248" s="75"/>
      <x:c r="J248" s="75"/>
      <x:c r="K248" s="75"/>
      <x:c r="L248" s="75"/>
      <x:c r="M248" s="75"/>
      <x:c r="N248" s="73"/>
    </x:row>
    <x:row r="249" ht="32" customHeight="1">
      <x:c r="A249" s="73"/>
      <x:c r="B249" s="73"/>
      <x:c r="C249" s="74"/>
      <x:c r="D249" s="75"/>
      <x:c r="E249" s="75"/>
      <x:c r="F249" s="75"/>
      <x:c r="G249" s="75"/>
      <x:c r="H249" s="75"/>
      <x:c r="I249" s="75"/>
      <x:c r="J249" s="75"/>
      <x:c r="K249" s="75"/>
      <x:c r="L249" s="75"/>
      <x:c r="M249" s="75"/>
      <x:c r="N249" s="73"/>
    </x:row>
    <x:row r="250" ht="32" customHeight="1">
      <x:c r="A250" s="73"/>
      <x:c r="B250" s="73"/>
      <x:c r="C250" s="74"/>
      <x:c r="D250" s="75"/>
      <x:c r="E250" s="75"/>
      <x:c r="F250" s="75"/>
      <x:c r="G250" s="75"/>
      <x:c r="H250" s="75"/>
      <x:c r="I250" s="75"/>
      <x:c r="J250" s="75"/>
      <x:c r="K250" s="75"/>
      <x:c r="L250" s="75"/>
      <x:c r="M250" s="75"/>
      <x:c r="N250" s="73"/>
    </x:row>
    <x:row r="251" ht="32" customHeight="1">
      <x:c r="A251" s="73"/>
      <x:c r="B251" s="73"/>
      <x:c r="C251" s="74"/>
      <x:c r="D251" s="75"/>
      <x:c r="E251" s="75"/>
      <x:c r="F251" s="75"/>
      <x:c r="G251" s="75"/>
      <x:c r="H251" s="75"/>
      <x:c r="I251" s="75"/>
      <x:c r="J251" s="75"/>
      <x:c r="K251" s="75"/>
      <x:c r="L251" s="75"/>
      <x:c r="M251" s="75"/>
      <x:c r="N251" s="73"/>
    </x:row>
    <x:row r="252" ht="32" customHeight="1">
      <x:c r="A252" s="73"/>
      <x:c r="B252" s="73"/>
      <x:c r="C252" s="74"/>
      <x:c r="D252" s="75"/>
      <x:c r="E252" s="75"/>
      <x:c r="F252" s="75"/>
      <x:c r="G252" s="75"/>
      <x:c r="H252" s="75"/>
      <x:c r="I252" s="75"/>
      <x:c r="J252" s="75"/>
      <x:c r="K252" s="75"/>
      <x:c r="L252" s="75"/>
      <x:c r="M252" s="75"/>
      <x:c r="N252" s="73"/>
    </x:row>
    <x:row r="253" ht="32" customHeight="1">
      <x:c r="A253" s="73"/>
      <x:c r="B253" s="73"/>
      <x:c r="C253" s="74"/>
      <x:c r="D253" s="75"/>
      <x:c r="E253" s="75"/>
      <x:c r="F253" s="75"/>
      <x:c r="G253" s="75"/>
      <x:c r="H253" s="75"/>
      <x:c r="I253" s="75"/>
      <x:c r="J253" s="75"/>
      <x:c r="K253" s="75"/>
      <x:c r="L253" s="75"/>
      <x:c r="M253" s="75"/>
      <x:c r="N253" s="73"/>
    </x:row>
    <x:row r="254" ht="32" customHeight="1">
      <x:c r="A254" s="73"/>
      <x:c r="B254" s="73"/>
      <x:c r="C254" s="74"/>
      <x:c r="D254" s="75"/>
      <x:c r="E254" s="75"/>
      <x:c r="F254" s="75"/>
      <x:c r="G254" s="75"/>
      <x:c r="H254" s="75"/>
      <x:c r="I254" s="75"/>
      <x:c r="J254" s="75"/>
      <x:c r="K254" s="75"/>
      <x:c r="L254" s="75"/>
      <x:c r="M254" s="75"/>
      <x:c r="N254" s="73"/>
    </x:row>
    <x:row r="255" ht="32" customHeight="1">
      <x:c r="A255" s="73"/>
      <x:c r="B255" s="73"/>
      <x:c r="C255" s="74"/>
      <x:c r="D255" s="75"/>
      <x:c r="E255" s="75"/>
      <x:c r="F255" s="75"/>
      <x:c r="G255" s="75"/>
      <x:c r="H255" s="75"/>
      <x:c r="I255" s="75"/>
      <x:c r="J255" s="75"/>
      <x:c r="K255" s="75"/>
      <x:c r="L255" s="75"/>
      <x:c r="M255" s="75"/>
      <x:c r="N255" s="73"/>
    </x:row>
    <x:row r="256" ht="32" customHeight="1">
      <x:c r="A256" s="73"/>
      <x:c r="B256" s="73"/>
      <x:c r="C256" s="74"/>
      <x:c r="D256" s="75"/>
      <x:c r="E256" s="75"/>
      <x:c r="F256" s="75"/>
      <x:c r="G256" s="75"/>
      <x:c r="H256" s="75"/>
      <x:c r="I256" s="75"/>
      <x:c r="J256" s="75"/>
      <x:c r="K256" s="75"/>
      <x:c r="L256" s="75"/>
      <x:c r="M256" s="75"/>
      <x:c r="N256" s="73"/>
    </x:row>
    <x:row r="257" ht="32" customHeight="1">
      <x:c r="A257" s="73"/>
      <x:c r="B257" s="73"/>
      <x:c r="C257" s="74"/>
      <x:c r="D257" s="75"/>
      <x:c r="E257" s="75"/>
      <x:c r="F257" s="75"/>
      <x:c r="G257" s="75"/>
      <x:c r="H257" s="75"/>
      <x:c r="I257" s="75"/>
      <x:c r="J257" s="75"/>
      <x:c r="K257" s="75"/>
      <x:c r="L257" s="75"/>
      <x:c r="M257" s="75"/>
      <x:c r="N257" s="73"/>
    </x:row>
    <x:row r="258" ht="32" customHeight="1">
      <x:c r="A258" s="73"/>
      <x:c r="B258" s="73"/>
      <x:c r="C258" s="74"/>
      <x:c r="D258" s="75"/>
      <x:c r="E258" s="75"/>
      <x:c r="F258" s="75"/>
      <x:c r="G258" s="75"/>
      <x:c r="H258" s="75"/>
      <x:c r="I258" s="75"/>
      <x:c r="J258" s="75"/>
      <x:c r="K258" s="75"/>
      <x:c r="L258" s="75"/>
      <x:c r="M258" s="75"/>
      <x:c r="N258" s="73"/>
    </x:row>
    <x:row r="259" ht="32" customHeight="1">
      <x:c r="A259" s="73"/>
      <x:c r="B259" s="73"/>
      <x:c r="C259" s="74"/>
      <x:c r="D259" s="75"/>
      <x:c r="E259" s="75"/>
      <x:c r="F259" s="75"/>
      <x:c r="G259" s="75"/>
      <x:c r="H259" s="75"/>
      <x:c r="I259" s="75"/>
      <x:c r="J259" s="75"/>
      <x:c r="K259" s="75"/>
      <x:c r="L259" s="75"/>
      <x:c r="M259" s="75"/>
      <x:c r="N259" s="73"/>
    </x:row>
    <x:row r="260" ht="32" customHeight="1">
      <x:c r="A260" s="73"/>
      <x:c r="B260" s="73"/>
      <x:c r="C260" s="74"/>
      <x:c r="D260" s="75"/>
      <x:c r="E260" s="75"/>
      <x:c r="F260" s="75"/>
      <x:c r="G260" s="75"/>
      <x:c r="H260" s="75"/>
      <x:c r="I260" s="75"/>
      <x:c r="J260" s="75"/>
      <x:c r="K260" s="75"/>
      <x:c r="L260" s="75"/>
      <x:c r="M260" s="75"/>
      <x:c r="N260" s="73"/>
    </x:row>
    <x:row r="261" ht="32" customHeight="1">
      <x:c r="A261" s="73"/>
      <x:c r="B261" s="73"/>
      <x:c r="C261" s="74"/>
      <x:c r="D261" s="75"/>
      <x:c r="E261" s="75"/>
      <x:c r="F261" s="75"/>
      <x:c r="G261" s="75"/>
      <x:c r="H261" s="75"/>
      <x:c r="I261" s="75"/>
      <x:c r="J261" s="75"/>
      <x:c r="K261" s="75"/>
      <x:c r="L261" s="75"/>
      <x:c r="M261" s="75"/>
      <x:c r="N261" s="73"/>
    </x:row>
    <x:row r="262" ht="32" customHeight="1">
      <x:c r="A262" s="73"/>
      <x:c r="B262" s="73"/>
      <x:c r="C262" s="74"/>
      <x:c r="D262" s="75"/>
      <x:c r="E262" s="75"/>
      <x:c r="F262" s="75"/>
      <x:c r="G262" s="75"/>
      <x:c r="H262" s="75"/>
      <x:c r="I262" s="75"/>
      <x:c r="J262" s="75"/>
      <x:c r="K262" s="75"/>
      <x:c r="L262" s="75"/>
      <x:c r="M262" s="75"/>
      <x:c r="N262" s="73"/>
    </x:row>
    <x:row r="263" ht="32" customHeight="1">
      <x:c r="A263" s="73"/>
      <x:c r="B263" s="73"/>
      <x:c r="C263" s="74"/>
      <x:c r="D263" s="75"/>
      <x:c r="E263" s="75"/>
      <x:c r="F263" s="75"/>
      <x:c r="G263" s="75"/>
      <x:c r="H263" s="75"/>
      <x:c r="I263" s="75"/>
      <x:c r="J263" s="75"/>
      <x:c r="K263" s="75"/>
      <x:c r="L263" s="75"/>
      <x:c r="M263" s="75"/>
      <x:c r="N263" s="73"/>
    </x:row>
    <x:row r="264" ht="32" customHeight="1">
      <x:c r="A264" s="73"/>
      <x:c r="B264" s="73"/>
      <x:c r="C264" s="74"/>
      <x:c r="D264" s="75"/>
      <x:c r="E264" s="75"/>
      <x:c r="F264" s="75"/>
      <x:c r="G264" s="75"/>
      <x:c r="H264" s="75"/>
      <x:c r="I264" s="75"/>
      <x:c r="J264" s="75"/>
      <x:c r="K264" s="75"/>
      <x:c r="L264" s="75"/>
      <x:c r="M264" s="75"/>
      <x:c r="N264" s="73"/>
    </x:row>
    <x:row r="265" ht="32" customHeight="1">
      <x:c r="A265" s="73"/>
      <x:c r="B265" s="73"/>
      <x:c r="C265" s="74"/>
      <x:c r="D265" s="75"/>
      <x:c r="E265" s="75"/>
      <x:c r="F265" s="75"/>
      <x:c r="G265" s="75"/>
      <x:c r="H265" s="75"/>
      <x:c r="I265" s="75"/>
      <x:c r="J265" s="75"/>
      <x:c r="K265" s="75"/>
      <x:c r="L265" s="75"/>
      <x:c r="M265" s="75"/>
      <x:c r="N265" s="73"/>
    </x:row>
    <x:row r="266" ht="32" customHeight="1">
      <x:c r="A266" s="73"/>
      <x:c r="B266" s="73"/>
      <x:c r="C266" s="74"/>
      <x:c r="D266" s="75"/>
      <x:c r="E266" s="75"/>
      <x:c r="F266" s="75"/>
      <x:c r="G266" s="75"/>
      <x:c r="H266" s="75"/>
      <x:c r="I266" s="75"/>
      <x:c r="J266" s="75"/>
      <x:c r="K266" s="75"/>
      <x:c r="L266" s="75"/>
      <x:c r="M266" s="75"/>
      <x:c r="N266" s="73"/>
    </x:row>
    <x:row r="267" ht="32" customHeight="1">
      <x:c r="A267" s="73"/>
      <x:c r="B267" s="73"/>
      <x:c r="C267" s="74"/>
      <x:c r="D267" s="75"/>
      <x:c r="E267" s="75"/>
      <x:c r="F267" s="75"/>
      <x:c r="G267" s="75"/>
      <x:c r="H267" s="75"/>
      <x:c r="I267" s="75"/>
      <x:c r="J267" s="75"/>
      <x:c r="K267" s="75"/>
      <x:c r="L267" s="75"/>
      <x:c r="M267" s="75"/>
      <x:c r="N267" s="73"/>
    </x:row>
    <x:row r="268" ht="32" customHeight="1">
      <x:c r="A268" s="73"/>
      <x:c r="B268" s="73"/>
      <x:c r="C268" s="74"/>
      <x:c r="D268" s="75"/>
      <x:c r="E268" s="75"/>
      <x:c r="F268" s="75"/>
      <x:c r="G268" s="75"/>
      <x:c r="H268" s="75"/>
      <x:c r="I268" s="75"/>
      <x:c r="J268" s="75"/>
      <x:c r="K268" s="75"/>
      <x:c r="L268" s="75"/>
      <x:c r="M268" s="75"/>
      <x:c r="N268" s="73"/>
    </x:row>
    <x:row r="269" ht="32" customHeight="1">
      <x:c r="A269" s="73"/>
      <x:c r="B269" s="73"/>
      <x:c r="C269" s="74"/>
      <x:c r="D269" s="75"/>
      <x:c r="E269" s="75"/>
      <x:c r="F269" s="75"/>
      <x:c r="G269" s="75"/>
      <x:c r="H269" s="75"/>
      <x:c r="I269" s="75"/>
      <x:c r="J269" s="75"/>
      <x:c r="K269" s="75"/>
      <x:c r="L269" s="75"/>
      <x:c r="M269" s="75"/>
      <x:c r="N269" s="73"/>
    </x:row>
    <x:row r="270" ht="32" customHeight="1">
      <x:c r="A270" s="73"/>
      <x:c r="B270" s="73"/>
      <x:c r="C270" s="74"/>
      <x:c r="D270" s="75"/>
      <x:c r="E270" s="75"/>
      <x:c r="F270" s="75"/>
      <x:c r="G270" s="75"/>
      <x:c r="H270" s="75"/>
      <x:c r="I270" s="75"/>
      <x:c r="J270" s="75"/>
      <x:c r="K270" s="75"/>
      <x:c r="L270" s="75"/>
      <x:c r="M270" s="75"/>
      <x:c r="N270" s="73"/>
    </x:row>
    <x:row r="271" ht="32" customHeight="1">
      <x:c r="A271" s="73"/>
      <x:c r="B271" s="73"/>
      <x:c r="C271" s="74"/>
      <x:c r="D271" s="75"/>
      <x:c r="E271" s="75"/>
      <x:c r="F271" s="75"/>
      <x:c r="G271" s="75"/>
      <x:c r="H271" s="75"/>
      <x:c r="I271" s="75"/>
      <x:c r="J271" s="75"/>
      <x:c r="K271" s="75"/>
      <x:c r="L271" s="75"/>
      <x:c r="M271" s="75"/>
      <x:c r="N271" s="73"/>
    </x:row>
    <x:row r="272" ht="32" customHeight="1">
      <x:c r="A272" s="73"/>
      <x:c r="B272" s="73"/>
      <x:c r="C272" s="74"/>
      <x:c r="D272" s="75"/>
      <x:c r="E272" s="75"/>
      <x:c r="F272" s="75"/>
      <x:c r="G272" s="75"/>
      <x:c r="H272" s="75"/>
      <x:c r="I272" s="75"/>
      <x:c r="J272" s="75"/>
      <x:c r="K272" s="75"/>
      <x:c r="L272" s="75"/>
      <x:c r="M272" s="75"/>
      <x:c r="N272" s="73"/>
    </x:row>
    <x:row r="273" ht="32" customHeight="1">
      <x:c r="A273" s="73"/>
      <x:c r="B273" s="73"/>
      <x:c r="C273" s="74"/>
      <x:c r="D273" s="75"/>
      <x:c r="E273" s="75"/>
      <x:c r="F273" s="75"/>
      <x:c r="G273" s="75"/>
      <x:c r="H273" s="75"/>
      <x:c r="I273" s="75"/>
      <x:c r="J273" s="75"/>
      <x:c r="K273" s="75"/>
      <x:c r="L273" s="75"/>
      <x:c r="M273" s="75"/>
      <x:c r="N273" s="73"/>
    </x:row>
    <x:row r="274" ht="32" customHeight="1">
      <x:c r="A274" s="73"/>
      <x:c r="B274" s="73"/>
      <x:c r="C274" s="74"/>
      <x:c r="D274" s="75"/>
      <x:c r="E274" s="75"/>
      <x:c r="F274" s="75"/>
      <x:c r="G274" s="75"/>
      <x:c r="H274" s="75"/>
      <x:c r="I274" s="75"/>
      <x:c r="J274" s="75"/>
      <x:c r="K274" s="75"/>
      <x:c r="L274" s="75"/>
      <x:c r="M274" s="75"/>
      <x:c r="N274" s="73"/>
    </x:row>
    <x:row r="275" ht="32" customHeight="1">
      <x:c r="A275" s="73"/>
      <x:c r="B275" s="73"/>
      <x:c r="C275" s="74"/>
      <x:c r="D275" s="75"/>
      <x:c r="E275" s="75"/>
      <x:c r="F275" s="75"/>
      <x:c r="G275" s="75"/>
      <x:c r="H275" s="75"/>
      <x:c r="I275" s="75"/>
      <x:c r="J275" s="75"/>
      <x:c r="K275" s="75"/>
      <x:c r="L275" s="75"/>
      <x:c r="M275" s="75"/>
      <x:c r="N275" s="73"/>
    </x:row>
    <x:row r="276" ht="32" customHeight="1">
      <x:c r="A276" s="73"/>
      <x:c r="B276" s="73"/>
      <x:c r="C276" s="74"/>
      <x:c r="D276" s="75"/>
      <x:c r="E276" s="75"/>
      <x:c r="F276" s="75"/>
      <x:c r="G276" s="75"/>
      <x:c r="H276" s="75"/>
      <x:c r="I276" s="75"/>
      <x:c r="J276" s="75"/>
      <x:c r="K276" s="75"/>
      <x:c r="L276" s="75"/>
      <x:c r="M276" s="75"/>
      <x:c r="N276" s="73"/>
    </x:row>
    <x:row r="277" ht="32" customHeight="1">
      <x:c r="A277" s="73"/>
      <x:c r="B277" s="73"/>
      <x:c r="C277" s="74"/>
      <x:c r="D277" s="75"/>
      <x:c r="E277" s="75"/>
      <x:c r="F277" s="75"/>
      <x:c r="G277" s="75"/>
      <x:c r="H277" s="75"/>
      <x:c r="I277" s="75"/>
      <x:c r="J277" s="75"/>
      <x:c r="K277" s="75"/>
      <x:c r="L277" s="75"/>
      <x:c r="M277" s="75"/>
      <x:c r="N277" s="73"/>
    </x:row>
    <x:row r="278" ht="32" customHeight="1">
      <x:c r="A278" s="73"/>
      <x:c r="B278" s="73"/>
      <x:c r="C278" s="74"/>
      <x:c r="D278" s="75"/>
      <x:c r="E278" s="75"/>
      <x:c r="F278" s="75"/>
      <x:c r="G278" s="75"/>
      <x:c r="H278" s="75"/>
      <x:c r="I278" s="75"/>
      <x:c r="J278" s="75"/>
      <x:c r="K278" s="75"/>
      <x:c r="L278" s="75"/>
      <x:c r="M278" s="75"/>
      <x:c r="N278" s="73"/>
    </x:row>
    <x:row r="279" ht="32" customHeight="1">
      <x:c r="A279" s="73"/>
      <x:c r="B279" s="73"/>
      <x:c r="C279" s="74"/>
      <x:c r="D279" s="75"/>
      <x:c r="E279" s="75"/>
      <x:c r="F279" s="75"/>
      <x:c r="G279" s="75"/>
      <x:c r="H279" s="75"/>
      <x:c r="I279" s="75"/>
      <x:c r="J279" s="75"/>
      <x:c r="K279" s="75"/>
      <x:c r="L279" s="75"/>
      <x:c r="M279" s="75"/>
      <x:c r="N279" s="73"/>
    </x:row>
    <x:row r="280" ht="32" customHeight="1">
      <x:c r="A280" s="73"/>
      <x:c r="B280" s="73"/>
      <x:c r="C280" s="74"/>
      <x:c r="D280" s="75"/>
      <x:c r="E280" s="75"/>
      <x:c r="F280" s="75"/>
      <x:c r="G280" s="75"/>
      <x:c r="H280" s="75"/>
      <x:c r="I280" s="75"/>
      <x:c r="J280" s="75"/>
      <x:c r="K280" s="75"/>
      <x:c r="L280" s="75"/>
      <x:c r="M280" s="75"/>
      <x:c r="N280" s="73"/>
    </x:row>
    <x:row r="281" ht="32" customHeight="1">
      <x:c r="A281" s="73"/>
      <x:c r="B281" s="73"/>
      <x:c r="C281" s="74"/>
      <x:c r="D281" s="75"/>
      <x:c r="E281" s="75"/>
      <x:c r="F281" s="75"/>
      <x:c r="G281" s="75"/>
      <x:c r="H281" s="75"/>
      <x:c r="I281" s="75"/>
      <x:c r="J281" s="75"/>
      <x:c r="K281" s="75"/>
      <x:c r="L281" s="75"/>
      <x:c r="M281" s="75"/>
      <x:c r="N281" s="73"/>
    </x:row>
    <x:row r="282" ht="32" customHeight="1">
      <x:c r="A282" s="73"/>
      <x:c r="B282" s="73"/>
      <x:c r="C282" s="74"/>
      <x:c r="D282" s="75"/>
      <x:c r="E282" s="75"/>
      <x:c r="F282" s="75"/>
      <x:c r="G282" s="75"/>
      <x:c r="H282" s="75"/>
      <x:c r="I282" s="75"/>
      <x:c r="J282" s="75"/>
      <x:c r="K282" s="75"/>
      <x:c r="L282" s="75"/>
      <x:c r="M282" s="75"/>
      <x:c r="N282" s="73"/>
    </x:row>
    <x:row r="283" ht="32" customHeight="1">
      <x:c r="A283" s="73"/>
      <x:c r="B283" s="73"/>
      <x:c r="C283" s="74"/>
      <x:c r="D283" s="75"/>
      <x:c r="E283" s="75"/>
      <x:c r="F283" s="75"/>
      <x:c r="G283" s="75"/>
      <x:c r="H283" s="75"/>
      <x:c r="I283" s="75"/>
      <x:c r="J283" s="75"/>
      <x:c r="K283" s="75"/>
      <x:c r="L283" s="75"/>
      <x:c r="M283" s="75"/>
      <x:c r="N283" s="73"/>
    </x:row>
    <x:row r="284" ht="32" customHeight="1">
      <x:c r="A284" s="73"/>
      <x:c r="B284" s="73"/>
      <x:c r="C284" s="74"/>
      <x:c r="D284" s="75"/>
      <x:c r="E284" s="75"/>
      <x:c r="F284" s="75"/>
      <x:c r="G284" s="75"/>
      <x:c r="H284" s="75"/>
      <x:c r="I284" s="75"/>
      <x:c r="J284" s="75"/>
      <x:c r="K284" s="75"/>
      <x:c r="L284" s="75"/>
      <x:c r="M284" s="75"/>
      <x:c r="N284" s="73"/>
    </x:row>
    <x:row r="285" ht="32" customHeight="1">
      <x:c r="A285" s="73"/>
      <x:c r="B285" s="73"/>
      <x:c r="C285" s="74"/>
      <x:c r="D285" s="75"/>
      <x:c r="E285" s="75"/>
      <x:c r="F285" s="75"/>
      <x:c r="G285" s="75"/>
      <x:c r="H285" s="75"/>
      <x:c r="I285" s="75"/>
      <x:c r="J285" s="75"/>
      <x:c r="K285" s="75"/>
      <x:c r="L285" s="75"/>
      <x:c r="M285" s="75"/>
      <x:c r="N285" s="73"/>
    </x:row>
    <x:row r="286" ht="32" customHeight="1">
      <x:c r="A286" s="73"/>
      <x:c r="B286" s="73"/>
      <x:c r="C286" s="74"/>
      <x:c r="D286" s="75"/>
      <x:c r="E286" s="75"/>
      <x:c r="F286" s="75"/>
      <x:c r="G286" s="75"/>
      <x:c r="H286" s="75"/>
      <x:c r="I286" s="75"/>
      <x:c r="J286" s="75"/>
      <x:c r="K286" s="75"/>
      <x:c r="L286" s="75"/>
      <x:c r="M286" s="75"/>
      <x:c r="N286" s="73"/>
    </x:row>
    <x:row r="287" ht="32" customHeight="1">
      <x:c r="A287" s="73"/>
      <x:c r="B287" s="73"/>
      <x:c r="C287" s="74"/>
      <x:c r="D287" s="75"/>
      <x:c r="E287" s="75"/>
      <x:c r="F287" s="75"/>
      <x:c r="G287" s="75"/>
      <x:c r="H287" s="75"/>
      <x:c r="I287" s="75"/>
      <x:c r="J287" s="75"/>
      <x:c r="K287" s="75"/>
      <x:c r="L287" s="75"/>
      <x:c r="M287" s="75"/>
      <x:c r="N287" s="73"/>
    </x:row>
    <x:row r="288" ht="32" customHeight="1">
      <x:c r="A288" s="73"/>
      <x:c r="B288" s="73"/>
      <x:c r="C288" s="74"/>
      <x:c r="D288" s="75"/>
      <x:c r="E288" s="75"/>
      <x:c r="F288" s="75"/>
      <x:c r="G288" s="75"/>
      <x:c r="H288" s="75"/>
      <x:c r="I288" s="75"/>
      <x:c r="J288" s="75"/>
      <x:c r="K288" s="75"/>
      <x:c r="L288" s="75"/>
      <x:c r="M288" s="75"/>
      <x:c r="N288" s="73"/>
    </x:row>
    <x:row r="289" ht="32" customHeight="1">
      <x:c r="A289" s="73"/>
      <x:c r="B289" s="73"/>
      <x:c r="C289" s="74"/>
      <x:c r="D289" s="75"/>
      <x:c r="E289" s="75"/>
      <x:c r="F289" s="75"/>
      <x:c r="G289" s="75"/>
      <x:c r="H289" s="75"/>
      <x:c r="I289" s="75"/>
      <x:c r="J289" s="75"/>
      <x:c r="K289" s="75"/>
      <x:c r="L289" s="75"/>
      <x:c r="M289" s="75"/>
      <x:c r="N289" s="73"/>
    </x:row>
    <x:row r="290" ht="32" customHeight="1">
      <x:c r="A290" s="73"/>
      <x:c r="B290" s="73"/>
      <x:c r="C290" s="74"/>
      <x:c r="D290" s="75"/>
      <x:c r="E290" s="75"/>
      <x:c r="F290" s="75"/>
      <x:c r="G290" s="75"/>
      <x:c r="H290" s="75"/>
      <x:c r="I290" s="75"/>
      <x:c r="J290" s="75"/>
      <x:c r="K290" s="75"/>
      <x:c r="L290" s="75"/>
      <x:c r="M290" s="75"/>
      <x:c r="N290" s="73"/>
    </x:row>
    <x:row r="291" ht="32" customHeight="1">
      <x:c r="A291" s="73"/>
      <x:c r="B291" s="73"/>
      <x:c r="C291" s="74"/>
      <x:c r="D291" s="75"/>
      <x:c r="E291" s="75"/>
      <x:c r="F291" s="75"/>
      <x:c r="G291" s="75"/>
      <x:c r="H291" s="75"/>
      <x:c r="I291" s="75"/>
      <x:c r="J291" s="75"/>
      <x:c r="K291" s="75"/>
      <x:c r="L291" s="75"/>
      <x:c r="M291" s="75"/>
      <x:c r="N291" s="73"/>
    </x:row>
    <x:row r="292" ht="32" customHeight="1">
      <x:c r="A292" s="73"/>
      <x:c r="B292" s="73"/>
      <x:c r="C292" s="74"/>
      <x:c r="D292" s="75"/>
      <x:c r="E292" s="75"/>
      <x:c r="F292" s="75"/>
      <x:c r="G292" s="75"/>
      <x:c r="H292" s="75"/>
      <x:c r="I292" s="75"/>
      <x:c r="J292" s="75"/>
      <x:c r="K292" s="75"/>
      <x:c r="L292" s="75"/>
      <x:c r="M292" s="75"/>
      <x:c r="N292" s="73"/>
    </x:row>
    <x:row r="293" ht="32" customHeight="1">
      <x:c r="A293" s="73"/>
      <x:c r="B293" s="73"/>
      <x:c r="C293" s="74"/>
      <x:c r="D293" s="75"/>
      <x:c r="E293" s="75"/>
      <x:c r="F293" s="75"/>
      <x:c r="G293" s="75"/>
      <x:c r="H293" s="75"/>
      <x:c r="I293" s="75"/>
      <x:c r="J293" s="75"/>
      <x:c r="K293" s="75"/>
      <x:c r="L293" s="75"/>
      <x:c r="M293" s="75"/>
      <x:c r="N293" s="73"/>
    </x:row>
    <x:row r="294" ht="32" customHeight="1">
      <x:c r="A294" s="73"/>
      <x:c r="B294" s="73"/>
      <x:c r="C294" s="74"/>
      <x:c r="D294" s="75"/>
      <x:c r="E294" s="75"/>
      <x:c r="F294" s="75"/>
      <x:c r="G294" s="75"/>
      <x:c r="H294" s="75"/>
      <x:c r="I294" s="75"/>
      <x:c r="J294" s="75"/>
      <x:c r="K294" s="75"/>
      <x:c r="L294" s="75"/>
      <x:c r="M294" s="75"/>
      <x:c r="N294" s="73"/>
    </x:row>
    <x:row r="295" ht="32" customHeight="1">
      <x:c r="A295" s="73"/>
      <x:c r="B295" s="73"/>
      <x:c r="C295" s="74"/>
      <x:c r="D295" s="75"/>
      <x:c r="E295" s="75"/>
      <x:c r="F295" s="75"/>
      <x:c r="G295" s="75"/>
      <x:c r="H295" s="75"/>
      <x:c r="I295" s="75"/>
      <x:c r="J295" s="75"/>
      <x:c r="K295" s="75"/>
      <x:c r="L295" s="75"/>
      <x:c r="M295" s="75"/>
      <x:c r="N295" s="73"/>
    </x:row>
    <x:row r="296" ht="32" customHeight="1">
      <x:c r="A296" s="73"/>
      <x:c r="B296" s="73"/>
      <x:c r="C296" s="74"/>
      <x:c r="D296" s="75"/>
      <x:c r="E296" s="75"/>
      <x:c r="F296" s="75"/>
      <x:c r="G296" s="75"/>
      <x:c r="H296" s="75"/>
      <x:c r="I296" s="75"/>
      <x:c r="J296" s="75"/>
      <x:c r="K296" s="75"/>
      <x:c r="L296" s="75"/>
      <x:c r="M296" s="75"/>
      <x:c r="N296" s="73"/>
    </x:row>
    <x:row r="297" ht="32" customHeight="1">
      <x:c r="A297" s="73"/>
      <x:c r="B297" s="73"/>
      <x:c r="C297" s="74"/>
      <x:c r="D297" s="75"/>
      <x:c r="E297" s="75"/>
      <x:c r="F297" s="75"/>
      <x:c r="G297" s="75"/>
      <x:c r="H297" s="75"/>
      <x:c r="I297" s="75"/>
      <x:c r="J297" s="75"/>
      <x:c r="K297" s="75"/>
      <x:c r="L297" s="75"/>
      <x:c r="M297" s="75"/>
      <x:c r="N297" s="73"/>
    </x:row>
    <x:row r="298" ht="32" customHeight="1">
      <x:c r="A298" s="73"/>
      <x:c r="B298" s="73"/>
      <x:c r="C298" s="74"/>
      <x:c r="D298" s="75"/>
      <x:c r="E298" s="75"/>
      <x:c r="F298" s="75"/>
      <x:c r="G298" s="75"/>
      <x:c r="H298" s="75"/>
      <x:c r="I298" s="75"/>
      <x:c r="J298" s="75"/>
      <x:c r="K298" s="75"/>
      <x:c r="L298" s="75"/>
      <x:c r="M298" s="75"/>
      <x:c r="N298" s="73"/>
    </x:row>
    <x:row r="299" ht="32" customHeight="1">
      <x:c r="A299" s="73"/>
      <x:c r="B299" s="73"/>
      <x:c r="C299" s="74"/>
      <x:c r="D299" s="75"/>
      <x:c r="E299" s="75"/>
      <x:c r="F299" s="75"/>
      <x:c r="G299" s="75"/>
      <x:c r="H299" s="75"/>
      <x:c r="I299" s="75"/>
      <x:c r="J299" s="75"/>
      <x:c r="K299" s="75"/>
      <x:c r="L299" s="75"/>
      <x:c r="M299" s="75"/>
      <x:c r="N299" s="73"/>
    </x:row>
    <x:row r="300" ht="32" customHeight="1">
      <x:c r="A300" s="73"/>
      <x:c r="B300" s="73"/>
      <x:c r="C300" s="74"/>
      <x:c r="D300" s="75"/>
      <x:c r="E300" s="75"/>
      <x:c r="F300" s="75"/>
      <x:c r="G300" s="75"/>
      <x:c r="H300" s="75"/>
      <x:c r="I300" s="75"/>
      <x:c r="J300" s="75"/>
      <x:c r="K300" s="75"/>
      <x:c r="L300" s="75"/>
      <x:c r="M300" s="75"/>
      <x:c r="N300" s="73"/>
    </x:row>
    <x:row r="301" ht="32" customHeight="1">
      <x:c r="A301" s="73"/>
      <x:c r="B301" s="73"/>
      <x:c r="C301" s="74"/>
      <x:c r="D301" s="75"/>
      <x:c r="E301" s="75"/>
      <x:c r="F301" s="75"/>
      <x:c r="G301" s="75"/>
      <x:c r="H301" s="75"/>
      <x:c r="I301" s="75"/>
      <x:c r="J301" s="75"/>
      <x:c r="K301" s="75"/>
      <x:c r="L301" s="75"/>
      <x:c r="M301" s="75"/>
      <x:c r="N301" s="73"/>
    </x:row>
    <x:row r="302" ht="32" customHeight="1">
      <x:c r="A302" s="73"/>
      <x:c r="B302" s="73"/>
      <x:c r="C302" s="74"/>
      <x:c r="D302" s="75"/>
      <x:c r="E302" s="75"/>
      <x:c r="F302" s="75"/>
      <x:c r="G302" s="75"/>
      <x:c r="H302" s="75"/>
      <x:c r="I302" s="75"/>
      <x:c r="J302" s="75"/>
      <x:c r="K302" s="75"/>
      <x:c r="L302" s="75"/>
      <x:c r="M302" s="75"/>
      <x:c r="N302" s="73"/>
    </x:row>
    <x:row r="303" ht="32" customHeight="1">
      <x:c r="A303" s="73"/>
      <x:c r="B303" s="73"/>
      <x:c r="C303" s="74"/>
      <x:c r="D303" s="75"/>
      <x:c r="E303" s="75"/>
      <x:c r="F303" s="75"/>
      <x:c r="G303" s="75"/>
      <x:c r="H303" s="75"/>
      <x:c r="I303" s="75"/>
      <x:c r="J303" s="75"/>
      <x:c r="K303" s="75"/>
      <x:c r="L303" s="75"/>
      <x:c r="M303" s="75"/>
      <x:c r="N303" s="73"/>
    </x:row>
    <x:row r="304" ht="32" customHeight="1">
      <x:c r="A304" s="73"/>
      <x:c r="B304" s="73"/>
      <x:c r="C304" s="74"/>
      <x:c r="D304" s="75"/>
      <x:c r="E304" s="75"/>
      <x:c r="F304" s="75"/>
      <x:c r="G304" s="75"/>
      <x:c r="H304" s="75"/>
      <x:c r="I304" s="75"/>
      <x:c r="J304" s="75"/>
      <x:c r="K304" s="75"/>
      <x:c r="L304" s="75"/>
      <x:c r="M304" s="75"/>
      <x:c r="N304" s="73"/>
    </x:row>
    <x:row r="305" ht="32" customHeight="1">
      <x:c r="A305" s="73"/>
      <x:c r="B305" s="73"/>
      <x:c r="C305" s="74"/>
      <x:c r="D305" s="75"/>
      <x:c r="E305" s="75"/>
      <x:c r="F305" s="75"/>
      <x:c r="G305" s="75"/>
      <x:c r="H305" s="75"/>
      <x:c r="I305" s="75"/>
      <x:c r="J305" s="75"/>
      <x:c r="K305" s="75"/>
      <x:c r="L305" s="75"/>
      <x:c r="M305" s="75"/>
      <x:c r="N305" s="73"/>
    </x:row>
    <x:row r="306" ht="32" customHeight="1">
      <x:c r="A306" s="73"/>
      <x:c r="B306" s="73"/>
      <x:c r="C306" s="74"/>
      <x:c r="D306" s="75"/>
      <x:c r="E306" s="75"/>
      <x:c r="F306" s="75"/>
      <x:c r="G306" s="75"/>
      <x:c r="H306" s="75"/>
      <x:c r="I306" s="75"/>
      <x:c r="J306" s="75"/>
      <x:c r="K306" s="75"/>
      <x:c r="L306" s="75"/>
      <x:c r="M306" s="75"/>
      <x:c r="N306" s="73"/>
    </x:row>
    <x:row r="307" ht="32" customHeight="1">
      <x:c r="A307" s="73"/>
      <x:c r="B307" s="73"/>
      <x:c r="C307" s="74"/>
      <x:c r="D307" s="75"/>
      <x:c r="E307" s="75"/>
      <x:c r="F307" s="75"/>
      <x:c r="G307" s="75"/>
      <x:c r="H307" s="75"/>
      <x:c r="I307" s="75"/>
      <x:c r="J307" s="75"/>
      <x:c r="K307" s="75"/>
      <x:c r="L307" s="75"/>
      <x:c r="M307" s="75"/>
      <x:c r="N307" s="73"/>
    </x:row>
    <x:row r="308" ht="32" customHeight="1">
      <x:c r="A308" s="73"/>
      <x:c r="B308" s="73"/>
      <x:c r="C308" s="74"/>
      <x:c r="D308" s="75"/>
      <x:c r="E308" s="75"/>
      <x:c r="F308" s="75"/>
      <x:c r="G308" s="75"/>
      <x:c r="H308" s="75"/>
      <x:c r="I308" s="75"/>
      <x:c r="J308" s="75"/>
      <x:c r="K308" s="75"/>
      <x:c r="L308" s="75"/>
      <x:c r="M308" s="75"/>
      <x:c r="N308" s="73"/>
    </x:row>
    <x:row r="309" ht="32" customHeight="1">
      <x:c r="A309" s="73"/>
      <x:c r="B309" s="73"/>
      <x:c r="C309" s="74"/>
      <x:c r="D309" s="75"/>
      <x:c r="E309" s="75"/>
      <x:c r="F309" s="75"/>
      <x:c r="G309" s="75"/>
      <x:c r="H309" s="75"/>
      <x:c r="I309" s="75"/>
      <x:c r="J309" s="75"/>
      <x:c r="K309" s="75"/>
      <x:c r="L309" s="75"/>
      <x:c r="M309" s="75"/>
      <x:c r="N309" s="73"/>
    </x:row>
    <x:row r="310" ht="32" customHeight="1">
      <x:c r="A310" s="73"/>
      <x:c r="B310" s="73"/>
      <x:c r="C310" s="74"/>
      <x:c r="D310" s="75"/>
      <x:c r="E310" s="75"/>
      <x:c r="F310" s="75"/>
      <x:c r="G310" s="75"/>
      <x:c r="H310" s="75"/>
      <x:c r="I310" s="75"/>
      <x:c r="J310" s="75"/>
      <x:c r="K310" s="75"/>
      <x:c r="L310" s="75"/>
      <x:c r="M310" s="75"/>
      <x:c r="N310" s="73"/>
    </x:row>
    <x:row r="311" ht="32" customHeight="1">
      <x:c r="A311" s="73"/>
      <x:c r="B311" s="73"/>
      <x:c r="C311" s="74"/>
      <x:c r="D311" s="75"/>
      <x:c r="E311" s="75"/>
      <x:c r="F311" s="75"/>
      <x:c r="G311" s="75"/>
      <x:c r="H311" s="75"/>
      <x:c r="I311" s="75"/>
      <x:c r="J311" s="75"/>
      <x:c r="K311" s="75"/>
      <x:c r="L311" s="75"/>
      <x:c r="M311" s="75"/>
      <x:c r="N311" s="73"/>
    </x:row>
    <x:row r="312" ht="32" customHeight="1">
      <x:c r="A312" s="73"/>
      <x:c r="B312" s="73"/>
      <x:c r="C312" s="74"/>
      <x:c r="D312" s="75"/>
      <x:c r="E312" s="75"/>
      <x:c r="F312" s="75"/>
      <x:c r="G312" s="75"/>
      <x:c r="H312" s="75"/>
      <x:c r="I312" s="75"/>
      <x:c r="J312" s="75"/>
      <x:c r="K312" s="75"/>
      <x:c r="L312" s="75"/>
      <x:c r="M312" s="75"/>
      <x:c r="N312" s="73"/>
    </x:row>
    <x:row r="313" ht="32" customHeight="1">
      <x:c r="A313" s="73"/>
      <x:c r="B313" s="73"/>
      <x:c r="C313" s="74"/>
      <x:c r="D313" s="75"/>
      <x:c r="E313" s="75"/>
      <x:c r="F313" s="75"/>
      <x:c r="G313" s="75"/>
      <x:c r="H313" s="75"/>
      <x:c r="I313" s="75"/>
      <x:c r="J313" s="75"/>
      <x:c r="K313" s="75"/>
      <x:c r="L313" s="75"/>
      <x:c r="M313" s="75"/>
      <x:c r="N313" s="73"/>
    </x:row>
    <x:row r="314" ht="32" customHeight="1">
      <x:c r="A314" s="73"/>
      <x:c r="B314" s="73"/>
      <x:c r="C314" s="74"/>
      <x:c r="D314" s="75"/>
      <x:c r="E314" s="75"/>
      <x:c r="F314" s="75"/>
      <x:c r="G314" s="75"/>
      <x:c r="H314" s="75"/>
      <x:c r="I314" s="75"/>
      <x:c r="J314" s="75"/>
      <x:c r="K314" s="75"/>
      <x:c r="L314" s="75"/>
      <x:c r="M314" s="75"/>
      <x:c r="N314" s="73"/>
    </x:row>
    <x:row r="315" ht="32" customHeight="1">
      <x:c r="A315" s="73"/>
      <x:c r="B315" s="73"/>
      <x:c r="C315" s="74"/>
      <x:c r="D315" s="75"/>
      <x:c r="E315" s="75"/>
      <x:c r="F315" s="75"/>
      <x:c r="G315" s="75"/>
      <x:c r="H315" s="75"/>
      <x:c r="I315" s="75"/>
      <x:c r="J315" s="75"/>
      <x:c r="K315" s="75"/>
      <x:c r="L315" s="75"/>
      <x:c r="M315" s="75"/>
      <x:c r="N315" s="73"/>
    </x:row>
    <x:row r="316" ht="32" customHeight="1">
      <x:c r="A316" s="73"/>
      <x:c r="B316" s="73"/>
      <x:c r="C316" s="74"/>
      <x:c r="D316" s="75"/>
      <x:c r="E316" s="75"/>
      <x:c r="F316" s="75"/>
      <x:c r="G316" s="75"/>
      <x:c r="H316" s="75"/>
      <x:c r="I316" s="75"/>
      <x:c r="J316" s="75"/>
      <x:c r="K316" s="75"/>
      <x:c r="L316" s="75"/>
      <x:c r="M316" s="75"/>
      <x:c r="N316" s="73"/>
    </x:row>
    <x:row r="317" ht="32" customHeight="1">
      <x:c r="A317" s="73"/>
      <x:c r="B317" s="73"/>
      <x:c r="C317" s="74"/>
      <x:c r="D317" s="75"/>
      <x:c r="E317" s="75"/>
      <x:c r="F317" s="75"/>
      <x:c r="G317" s="75"/>
      <x:c r="H317" s="75"/>
      <x:c r="I317" s="75"/>
      <x:c r="J317" s="75"/>
      <x:c r="K317" s="75"/>
      <x:c r="L317" s="75"/>
      <x:c r="M317" s="75"/>
      <x:c r="N317" s="73"/>
    </x:row>
    <x:row r="318" ht="32" customHeight="1">
      <x:c r="A318" s="73"/>
      <x:c r="B318" s="73"/>
      <x:c r="C318" s="74"/>
      <x:c r="D318" s="75"/>
      <x:c r="E318" s="75"/>
      <x:c r="F318" s="75"/>
      <x:c r="G318" s="75"/>
      <x:c r="H318" s="75"/>
      <x:c r="I318" s="75"/>
      <x:c r="J318" s="75"/>
      <x:c r="K318" s="75"/>
      <x:c r="L318" s="75"/>
      <x:c r="M318" s="75"/>
      <x:c r="N318" s="73"/>
    </x:row>
    <x:row r="319" ht="32" customHeight="1">
      <x:c r="A319" s="73"/>
      <x:c r="B319" s="73"/>
      <x:c r="C319" s="74"/>
      <x:c r="D319" s="75"/>
      <x:c r="E319" s="75"/>
      <x:c r="F319" s="75"/>
      <x:c r="G319" s="75"/>
      <x:c r="H319" s="75"/>
      <x:c r="I319" s="75"/>
      <x:c r="J319" s="75"/>
      <x:c r="K319" s="75"/>
      <x:c r="L319" s="75"/>
      <x:c r="M319" s="75"/>
      <x:c r="N319" s="73"/>
    </x:row>
    <x:row r="320" ht="32" customHeight="1">
      <x:c r="A320" s="73"/>
      <x:c r="B320" s="73"/>
      <x:c r="C320" s="74"/>
      <x:c r="D320" s="75"/>
      <x:c r="E320" s="75"/>
      <x:c r="F320" s="75"/>
      <x:c r="G320" s="75"/>
      <x:c r="H320" s="75"/>
      <x:c r="I320" s="75"/>
      <x:c r="J320" s="75"/>
      <x:c r="K320" s="75"/>
      <x:c r="L320" s="75"/>
      <x:c r="M320" s="75"/>
      <x:c r="N320" s="73"/>
    </x:row>
    <x:row r="321" ht="32" customHeight="1">
      <x:c r="A321" s="73"/>
      <x:c r="B321" s="73"/>
      <x:c r="C321" s="74"/>
      <x:c r="D321" s="75"/>
      <x:c r="E321" s="75"/>
      <x:c r="F321" s="75"/>
      <x:c r="G321" s="75"/>
      <x:c r="H321" s="75"/>
      <x:c r="I321" s="75"/>
      <x:c r="J321" s="75"/>
      <x:c r="K321" s="75"/>
      <x:c r="L321" s="75"/>
      <x:c r="M321" s="75"/>
      <x:c r="N321" s="73"/>
    </x:row>
    <x:row r="322" ht="32" customHeight="1">
      <x:c r="A322" s="73"/>
      <x:c r="B322" s="73"/>
      <x:c r="C322" s="74"/>
      <x:c r="D322" s="75"/>
      <x:c r="E322" s="75"/>
      <x:c r="F322" s="75"/>
      <x:c r="G322" s="75"/>
      <x:c r="H322" s="75"/>
      <x:c r="I322" s="75"/>
      <x:c r="J322" s="75"/>
      <x:c r="K322" s="75"/>
      <x:c r="L322" s="75"/>
      <x:c r="M322" s="75"/>
      <x:c r="N322" s="73"/>
    </x:row>
    <x:row r="323" ht="32" customHeight="1">
      <x:c r="A323" s="73"/>
      <x:c r="B323" s="73"/>
      <x:c r="C323" s="74"/>
      <x:c r="D323" s="75"/>
      <x:c r="E323" s="75"/>
      <x:c r="F323" s="75"/>
      <x:c r="G323" s="75"/>
      <x:c r="H323" s="75"/>
      <x:c r="I323" s="75"/>
      <x:c r="J323" s="75"/>
      <x:c r="K323" s="75"/>
      <x:c r="L323" s="75"/>
      <x:c r="M323" s="75"/>
      <x:c r="N323" s="73"/>
    </x:row>
    <x:row r="324" ht="32" customHeight="1">
      <x:c r="A324" s="73"/>
      <x:c r="B324" s="73"/>
      <x:c r="C324" s="74"/>
      <x:c r="D324" s="75"/>
      <x:c r="E324" s="75"/>
      <x:c r="F324" s="75"/>
      <x:c r="G324" s="75"/>
      <x:c r="H324" s="75"/>
      <x:c r="I324" s="75"/>
      <x:c r="J324" s="75"/>
      <x:c r="K324" s="75"/>
      <x:c r="L324" s="75"/>
      <x:c r="M324" s="75"/>
      <x:c r="N324" s="73"/>
    </x:row>
    <x:row r="325" ht="32" customHeight="1">
      <x:c r="A325" s="73"/>
      <x:c r="B325" s="73"/>
      <x:c r="C325" s="74"/>
      <x:c r="D325" s="75"/>
      <x:c r="E325" s="75"/>
      <x:c r="F325" s="75"/>
      <x:c r="G325" s="75"/>
      <x:c r="H325" s="75"/>
      <x:c r="I325" s="75"/>
      <x:c r="J325" s="75"/>
      <x:c r="K325" s="75"/>
      <x:c r="L325" s="75"/>
      <x:c r="M325" s="75"/>
      <x:c r="N325" s="73"/>
    </x:row>
    <x:row r="326" ht="32" customHeight="1">
      <x:c r="A326" s="73"/>
      <x:c r="B326" s="73"/>
      <x:c r="C326" s="74"/>
      <x:c r="D326" s="75"/>
      <x:c r="E326" s="75"/>
      <x:c r="F326" s="75"/>
      <x:c r="G326" s="75"/>
      <x:c r="H326" s="75"/>
      <x:c r="I326" s="75"/>
      <x:c r="J326" s="75"/>
      <x:c r="K326" s="75"/>
      <x:c r="L326" s="75"/>
      <x:c r="M326" s="75"/>
      <x:c r="N326" s="73"/>
    </x:row>
    <x:row r="327" ht="32" customHeight="1">
      <x:c r="A327" s="73"/>
      <x:c r="B327" s="73"/>
      <x:c r="C327" s="74"/>
      <x:c r="D327" s="75"/>
      <x:c r="E327" s="75"/>
      <x:c r="F327" s="75"/>
      <x:c r="G327" s="75"/>
      <x:c r="H327" s="75"/>
      <x:c r="I327" s="75"/>
      <x:c r="J327" s="75"/>
      <x:c r="K327" s="75"/>
      <x:c r="L327" s="75"/>
      <x:c r="M327" s="75"/>
      <x:c r="N327" s="73"/>
    </x:row>
  </x:sheetData>
  <x:conditionalFormatting sqref="O17:O216">
    <x:cfRule type="expression" dxfId="17" priority="1">
      <x:formula>O17="NO"</x:formula>
    </x:cfRule>
    <x:cfRule type="expression" dxfId="18" priority="2">
      <x:formula>O17="YES"</x:formula>
    </x:cfRule>
  </x:conditionalFormatting>
  <x:conditionalFormatting sqref="P17:P216">
    <x:cfRule type="expression" dxfId="19" priority="3">
      <x:formula>P17="NO"</x:formula>
    </x:cfRule>
    <x:cfRule type="expression" dxfId="20" priority="4">
      <x:formula>P17="YES"</x:formula>
    </x:cfRule>
  </x:conditionalFormatting>
  <x:conditionalFormatting sqref="S17:S216">
    <x:cfRule type="expression" dxfId="21" priority="5">
      <x:formula>S17="NO"</x:formula>
    </x:cfRule>
    <x:cfRule type="expression" dxfId="22" priority="6">
      <x:formula>S17="YES"</x:formula>
    </x:cfRule>
  </x:conditionalFormatting>
  <x:conditionalFormatting sqref="T17:T216">
    <x:cfRule type="expression" dxfId="23" priority="7">
      <x:formula>T17="NO"</x:formula>
    </x:cfRule>
    <x:cfRule type="expression" dxfId="24" priority="8">
      <x:formula>T17="YES"</x:formula>
    </x:cfRule>
  </x:conditionalFormatting>
  <x:conditionalFormatting sqref="X17:X216">
    <x:cfRule type="expression" dxfId="25" priority="9">
      <x:formula>X17="Blocked"</x:formula>
    </x:cfRule>
  </x:conditionalFormatting>
  <x:dataValidations count="11">
    <x:dataValidation type="list" sqref="B4">
      <x:formula1>INDIRECT("'Project Status &amp; EVM'!$A$17:$A$216")</x:formula1>
    </x:dataValidation>
    <x:dataValidation type="whole" operator="greaterThanOrEqual" sqref="M17:M216">
      <x:formula1>0</x:formula1>
    </x:dataValidation>
    <x:dataValidation type="whole" operator="greaterThanOrEqual" sqref="N17:N216">
      <x:formula1>0</x:formula1>
    </x:dataValidation>
    <x:dataValidation type="list" sqref="O17:O216">
      <x:formula1>"YES,NO,NA"</x:formula1>
    </x:dataValidation>
    <x:dataValidation type="list" sqref="P17:P216">
      <x:formula1>"YES,NO,NA"</x:formula1>
    </x:dataValidation>
    <x:dataValidation type="list" sqref="S17:S216">
      <x:formula1>"YES,NO,NA"</x:formula1>
    </x:dataValidation>
    <x:dataValidation type="list" sqref="T17:T216">
      <x:formula1>"YES,NO,NA"</x:formula1>
    </x:dataValidation>
    <x:dataValidation type="list" sqref="X17:X216">
      <x:formula1>"Ready,Partly ready,Blocked"</x:formula1>
    </x:dataValidation>
    <x:dataValidation type="list" sqref="W17:W216">
      <x:formula1>"tonnes,kg"</x:formula1>
    </x:dataValidation>
    <x:dataValidation type="list" sqref="A17:A216">
      <x:formula1>INDIRECT("'Project Status &amp; EVM'!$A$17:$A$216")</x:formula1>
    </x:dataValidation>
    <x:dataValidation type="list" sqref="AH17:AH216">
      <x:formula1>INDIRECT("'MD Decisions'!$C$17:$C$216")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f3e3b0899cc422e"/>
    <x:tablePart xmlns:r="http://schemas.openxmlformats.org/officeDocument/2006/relationships" r:id="R813f3a9d8e364471"/>
  </x:tableParts>
</x:worksheet>
</file>

<file path=xl/worksheets/sheet4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5" hidden="0" customWidth="1"/>
    <x:col min="4" max="4" width="20" hidden="0" customWidth="1"/>
    <x:col min="5" max="5" width="17" hidden="0" customWidth="1"/>
    <x:col min="6" max="6" width="25" hidden="0" customWidth="1"/>
    <x:col min="7" max="7" width="25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17" hidden="0" customWidth="1"/>
    <x:col min="14" max="14" width="17" hidden="0" customWidth="1"/>
    <x:col min="15" max="15" width="46" hidden="0" customWidth="1"/>
    <x:col min="16" max="16" width="46" hidden="0" customWidth="1"/>
    <x:col min="17" max="17" width="25" hidden="0" customWidth="1"/>
    <x:col min="18" max="18" width="22" hidden="0" customWidth="1"/>
    <x:col min="19" max="19" width="17" hidden="0" customWidth="1"/>
    <x:col min="20" max="20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4" t="str">
        <x:v>4. Invoicing Status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Tracked records</x:v>
      </x:c>
      <x:c r="E4" s="31" t="n">
        <x:f>COUNTIFS($A$17:$A$216,$B$4,$B$17:$B$216,"&lt;&gt;")</x:f>
        <x:v>4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3" t="str">
        <x:v>Review date</x:v>
      </x:c>
      <x:c r="B5" s="8" t="n">
        <x:v>46285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3" t="str">
        <x:v>One current row per bill or distinct payable. Present/Next Status share the same dropdown; record a date for the next commitment.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3" t="str">
        <x:v>Outstanding is a reported input: confirm deductions, retention and paid-to-date rather than assuming bill amount minus cash.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54" customHeight="1">
      <x:c r="A16" s="13" t="str">
        <x:v>Project code</x:v>
      </x:c>
      <x:c r="B16" s="13" t="str">
        <x:v>Invoice / RA bill reference</x:v>
      </x:c>
      <x:c r="C16" s="13" t="str">
        <x:v>Client name</x:v>
      </x:c>
      <x:c r="D16" s="13" t="str">
        <x:v>Bill amount (INR lakh)</x:v>
      </x:c>
      <x:c r="E16" s="13" t="str">
        <x:v>Submission date</x:v>
      </x:c>
      <x:c r="F16" s="13" t="str">
        <x:v>Present Status</x:v>
      </x:c>
      <x:c r="G16" s="13" t="str">
        <x:v>Next Status</x:v>
      </x:c>
      <x:c r="H16" s="13" t="str">
        <x:v>Next Status Target Date</x:v>
      </x:c>
      <x:c r="I16" s="13" t="str">
        <x:v>Expected certification date</x:v>
      </x:c>
      <x:c r="J16" s="13" t="str">
        <x:v>Certified amount (INR lakh)</x:v>
      </x:c>
      <x:c r="K16" s="13" t="str">
        <x:v>Amount received (INR lakh)</x:v>
      </x:c>
      <x:c r="L16" s="13" t="str">
        <x:v>Outstanding balance (INR lakh)</x:v>
      </x:c>
      <x:c r="M16" s="13" t="str">
        <x:v>Contractual payment due date</x:v>
      </x:c>
      <x:c r="N16" s="13" t="str">
        <x:v>Expected collection date</x:v>
      </x:c>
      <x:c r="O16" s="13" t="str">
        <x:v>Reason pending</x:v>
      </x:c>
      <x:c r="P16" s="13" t="str">
        <x:v>Action / MD support required</x:v>
      </x:c>
      <x:c r="Q16" s="13" t="str">
        <x:v>Responsible owner</x:v>
      </x:c>
      <x:c r="R16" s="13" t="str">
        <x:v>Linked Decision ID</x:v>
      </x:c>
      <x:c r="S16" s="13" t="str">
        <x:v>Last updated</x:v>
      </x:c>
      <x:c r="T16" s="13" t="str">
        <x:v>Source / entry notes</x:v>
      </x:c>
    </x:row>
    <x:row r="17" ht="102" customHeight="1">
      <x:c r="A17" s="55" t="str">
        <x:v>S25WRJ01</x:v>
      </x:c>
      <x:c r="B17" s="55" t="str">
        <x:v>S25WRJ01-RA-01</x:v>
      </x:c>
      <x:c r="C17" s="55" t="str">
        <x:v>Demo Client P1</x:v>
      </x:c>
      <x:c r="D17" s="57" t="n">
        <x:v>400</x:v>
      </x:c>
      <x:c r="E17" s="56" t="n">
        <x:v>46267</x:v>
      </x:c>
      <x:c r="F17" s="55" t="str">
        <x:v>Fully collected</x:v>
      </x:c>
      <x:c r="G17" s="55" t="str">
        <x:v>Fully collected</x:v>
      </x:c>
      <x:c r="H17" s="56" t="n">
        <x:v>46280</x:v>
      </x:c>
      <x:c r="I17" s="56" t="n">
        <x:v>46273</x:v>
      </x:c>
      <x:c r="J17" s="57" t="n">
        <x:v>400</x:v>
      </x:c>
      <x:c r="K17" s="57" t="n">
        <x:v>400</x:v>
      </x:c>
      <x:c r="L17" s="57" t="n">
        <x:v>0</x:v>
      </x:c>
      <x:c r="M17" s="56" t="n">
        <x:v>46283</x:v>
      </x:c>
      <x:c r="N17" s="56" t="n">
        <x:v>46280</x:v>
      </x:c>
      <x:c r="O17" s="55" t="str">
        <x:v>None; collected in full.</x:v>
      </x:c>
      <x:c r="P17" s="55" t="str">
        <x:v>No further action.</x:v>
      </x:c>
      <x:c r="Q17" s="55" t="str">
        <x:v>Demo Billing Lead P1</x:v>
      </x:c>
      <x:c r="R17" s="55" t="str">
        <x:v>S25WRJ01-DEC-01</x:v>
      </x:c>
      <x:c r="S17" s="56" t="n">
        <x:v>46285</x:v>
      </x:c>
      <x:c r="T17" s="55" t="str">
        <x:v>FICTIONAL TEST DATA. All people, quantities, money, dates and statuses are invented; not project records.</x:v>
      </x:c>
    </x:row>
    <x:row r="18" ht="102" customHeight="1">
      <x:c r="A18" s="55" t="str">
        <x:v>S25WRJ01</x:v>
      </x:c>
      <x:c r="B18" s="55" t="str">
        <x:v>S25WRJ01-RA-02</x:v>
      </x:c>
      <x:c r="C18" s="55" t="str">
        <x:v>Demo Client P1</x:v>
      </x:c>
      <x:c r="D18" s="57" t="n">
        <x:v>450</x:v>
      </x:c>
      <x:c r="E18" s="56" t="n">
        <x:v>46272</x:v>
      </x:c>
      <x:c r="F18" s="55" t="str">
        <x:v>Part payment received</x:v>
      </x:c>
      <x:c r="G18" s="55" t="str">
        <x:v>Fully collected</x:v>
      </x:c>
      <x:c r="H18" s="56" t="n">
        <x:v>46290</x:v>
      </x:c>
      <x:c r="I18" s="56" t="n">
        <x:v>46277</x:v>
      </x:c>
      <x:c r="J18" s="57" t="n">
        <x:v>450</x:v>
      </x:c>
      <x:c r="K18" s="57" t="n">
        <x:v>180</x:v>
      </x:c>
      <x:c r="L18" s="57" t="n">
        <x:v>270</x:v>
      </x:c>
      <x:c r="M18" s="56" t="n">
        <x:v>46293</x:v>
      </x:c>
      <x:c r="N18" s="56" t="n">
        <x:v>46290</x:v>
      </x:c>
      <x:c r="O18" s="55" t="str">
        <x:v>Balance release under client payment cycle.</x:v>
      </x:c>
      <x:c r="P18" s="55" t="str">
        <x:v>Follow up with client accounts and certify supporting records.</x:v>
      </x:c>
      <x:c r="Q18" s="55" t="str">
        <x:v>Demo Billing Lead P1</x:v>
      </x:c>
      <x:c r="R18" s="55" t="str">
        <x:v>S25WRJ01-DEC-02</x:v>
      </x:c>
      <x:c r="S18" s="56" t="n">
        <x:v>46285</x:v>
      </x:c>
      <x:c r="T18" s="55" t="str">
        <x:v>FICTIONAL TEST DATA. All people, quantities, money, dates and statuses are invented; not project records.</x:v>
      </x:c>
    </x:row>
    <x:row r="19" ht="102" customHeight="1">
      <x:c r="A19" s="55" t="str">
        <x:v>S25WRJ01</x:v>
      </x:c>
      <x:c r="B19" s="55" t="str">
        <x:v>S25WRJ01-RA-03</x:v>
      </x:c>
      <x:c r="C19" s="55" t="str">
        <x:v>Demo Client P1</x:v>
      </x:c>
      <x:c r="D19" s="57" t="n">
        <x:v>500</x:v>
      </x:c>
      <x:c r="E19" s="56" t="n">
        <x:v>46277</x:v>
      </x:c>
      <x:c r="F19" s="55" t="str">
        <x:v>Under certification</x:v>
      </x:c>
      <x:c r="G19" s="55" t="str">
        <x:v>Certified</x:v>
      </x:c>
      <x:c r="H19" s="56" t="n">
        <x:v>46289</x:v>
      </x:c>
      <x:c r="I19" s="56" t="n">
        <x:v>46289</x:v>
      </x:c>
      <x:c r="J19" s="57" t="n">
        <x:v>0</x:v>
      </x:c>
      <x:c r="K19" s="57" t="n">
        <x:v>0</x:v>
      </x:c>
      <x:c r="L19" s="57" t="n">
        <x:v>500</x:v>
      </x:c>
      <x:c r="M19" s="56" t="n">
        <x:v>46294</x:v>
      </x:c>
      <x:c r="N19" s="56" t="n">
        <x:v>46294</x:v>
      </x:c>
      <x:c r="O19" s="55" t="str">
        <x:v>Measurement verification pending.</x:v>
      </x:c>
      <x:c r="P19" s="55" t="str">
        <x:v>Follow up with client accounts and certify supporting records.</x:v>
      </x:c>
      <x:c r="Q19" s="55" t="str">
        <x:v>Demo Billing Lead P1</x:v>
      </x:c>
      <x:c r="R19" s="55" t="str">
        <x:v>S25WRJ01-DEC-03</x:v>
      </x:c>
      <x:c r="S19" s="56" t="n">
        <x:v>46285</x:v>
      </x:c>
      <x:c r="T19" s="55" t="str">
        <x:v>FICTIONAL TEST DATA. All people, quantities, money, dates and statuses are invented; not project records.</x:v>
      </x:c>
    </x:row>
    <x:row r="20" ht="102" customHeight="1">
      <x:c r="A20" s="55" t="str">
        <x:v>S25WRJ01</x:v>
      </x:c>
      <x:c r="B20" s="55" t="str">
        <x:v>S25WRJ01-RA-04</x:v>
      </x:c>
      <x:c r="C20" s="55" t="str">
        <x:v>Demo Client P1</x:v>
      </x:c>
      <x:c r="D20" s="57" t="n">
        <x:v>550</x:v>
      </x:c>
      <x:c r="E20" s="56" t="str">
        <x:v>Not yet occurred</x:v>
      </x:c>
      <x:c r="F20" s="55" t="str">
        <x:v>Under preparation</x:v>
      </x:c>
      <x:c r="G20" s="55" t="str">
        <x:v>Submitted</x:v>
      </x:c>
      <x:c r="H20" s="56" t="n">
        <x:v>46287</x:v>
      </x:c>
      <x:c r="I20" s="56" t="n">
        <x:v>46292</x:v>
      </x:c>
      <x:c r="J20" s="57" t="n">
        <x:v>0</x:v>
      </x:c>
      <x:c r="K20" s="57" t="n">
        <x:v>0</x:v>
      </x:c>
      <x:c r="L20" s="57" t="n">
        <x:v>550</x:v>
      </x:c>
      <x:c r="M20" s="56" t="n">
        <x:v>46295</x:v>
      </x:c>
      <x:c r="N20" s="56" t="n">
        <x:v>46295</x:v>
      </x:c>
      <x:c r="O20" s="55" t="str">
        <x:v>Bill documents under preparation.</x:v>
      </x:c>
      <x:c r="P20" s="55" t="str">
        <x:v>Follow up with client accounts and certify supporting records.</x:v>
      </x:c>
      <x:c r="Q20" s="55" t="str">
        <x:v>Demo Billing Lead P1</x:v>
      </x:c>
      <x:c r="R20" s="55" t="str">
        <x:v>S25WRJ01-DEC-04</x:v>
      </x:c>
      <x:c r="S20" s="56" t="n">
        <x:v>46285</x:v>
      </x:c>
      <x:c r="T20" s="55" t="str">
        <x:v>FICTIONAL TEST DATA. All people, quantities, money, dates and statuses are invented; not project records.</x:v>
      </x:c>
    </x:row>
    <x:row r="21" ht="102" customHeight="1">
      <x:c r="A21" s="55" t="str">
        <x:v>S25WJH01</x:v>
      </x:c>
      <x:c r="B21" s="55" t="str">
        <x:v>S25WJH01-RA-01</x:v>
      </x:c>
      <x:c r="C21" s="55" t="str">
        <x:v>Demo Client P2</x:v>
      </x:c>
      <x:c r="D21" s="57" t="n">
        <x:v>500</x:v>
      </x:c>
      <x:c r="E21" s="56" t="n">
        <x:v>46267</x:v>
      </x:c>
      <x:c r="F21" s="55" t="str">
        <x:v>Fully collected</x:v>
      </x:c>
      <x:c r="G21" s="55" t="str">
        <x:v>Fully collected</x:v>
      </x:c>
      <x:c r="H21" s="56" t="n">
        <x:v>46280</x:v>
      </x:c>
      <x:c r="I21" s="56" t="n">
        <x:v>46273</x:v>
      </x:c>
      <x:c r="J21" s="57" t="n">
        <x:v>500</x:v>
      </x:c>
      <x:c r="K21" s="57" t="n">
        <x:v>500</x:v>
      </x:c>
      <x:c r="L21" s="57" t="n">
        <x:v>0</x:v>
      </x:c>
      <x:c r="M21" s="56" t="n">
        <x:v>46283</x:v>
      </x:c>
      <x:c r="N21" s="56" t="n">
        <x:v>46280</x:v>
      </x:c>
      <x:c r="O21" s="55" t="str">
        <x:v>None; collected in full.</x:v>
      </x:c>
      <x:c r="P21" s="55" t="str">
        <x:v>No further action.</x:v>
      </x:c>
      <x:c r="Q21" s="55" t="str">
        <x:v>Demo Billing Lead P2</x:v>
      </x:c>
      <x:c r="R21" s="55" t="str">
        <x:v>S25WJH01-DEC-01</x:v>
      </x:c>
      <x:c r="S21" s="56" t="n">
        <x:v>46285</x:v>
      </x:c>
      <x:c r="T21" s="55" t="str">
        <x:v>FICTIONAL TEST DATA. All people, quantities, money, dates and statuses are invented; not project records.</x:v>
      </x:c>
    </x:row>
    <x:row r="22" ht="102" customHeight="1">
      <x:c r="A22" s="55" t="str">
        <x:v>S25WJH01</x:v>
      </x:c>
      <x:c r="B22" s="55" t="str">
        <x:v>S25WJH01-RA-02</x:v>
      </x:c>
      <x:c r="C22" s="55" t="str">
        <x:v>Demo Client P2</x:v>
      </x:c>
      <x:c r="D22" s="57" t="n">
        <x:v>550</x:v>
      </x:c>
      <x:c r="E22" s="56" t="n">
        <x:v>46272</x:v>
      </x:c>
      <x:c r="F22" s="55" t="str">
        <x:v>Part payment received</x:v>
      </x:c>
      <x:c r="G22" s="55" t="str">
        <x:v>Fully collected</x:v>
      </x:c>
      <x:c r="H22" s="56" t="n">
        <x:v>46290</x:v>
      </x:c>
      <x:c r="I22" s="56" t="n">
        <x:v>46277</x:v>
      </x:c>
      <x:c r="J22" s="57" t="n">
        <x:v>550</x:v>
      </x:c>
      <x:c r="K22" s="57" t="n">
        <x:v>220</x:v>
      </x:c>
      <x:c r="L22" s="57" t="n">
        <x:v>330</x:v>
      </x:c>
      <x:c r="M22" s="56" t="n">
        <x:v>46293</x:v>
      </x:c>
      <x:c r="N22" s="56" t="n">
        <x:v>46290</x:v>
      </x:c>
      <x:c r="O22" s="55" t="str">
        <x:v>Balance release under client payment cycle.</x:v>
      </x:c>
      <x:c r="P22" s="55" t="str">
        <x:v>Follow up with client accounts and certify supporting records.</x:v>
      </x:c>
      <x:c r="Q22" s="55" t="str">
        <x:v>Demo Billing Lead P2</x:v>
      </x:c>
      <x:c r="R22" s="55" t="str">
        <x:v>S25WJH01-DEC-02</x:v>
      </x:c>
      <x:c r="S22" s="56" t="n">
        <x:v>46285</x:v>
      </x:c>
      <x:c r="T22" s="55" t="str">
        <x:v>FICTIONAL TEST DATA. All people, quantities, money, dates and statuses are invented; not project records.</x:v>
      </x:c>
    </x:row>
    <x:row r="23" ht="102" customHeight="1">
      <x:c r="A23" s="55" t="str">
        <x:v>S25WJH01</x:v>
      </x:c>
      <x:c r="B23" s="55" t="str">
        <x:v>S25WJH01-RA-03</x:v>
      </x:c>
      <x:c r="C23" s="55" t="str">
        <x:v>Demo Client P2</x:v>
      </x:c>
      <x:c r="D23" s="57" t="n">
        <x:v>600</x:v>
      </x:c>
      <x:c r="E23" s="56" t="n">
        <x:v>46277</x:v>
      </x:c>
      <x:c r="F23" s="55" t="str">
        <x:v>Under certification</x:v>
      </x:c>
      <x:c r="G23" s="55" t="str">
        <x:v>Certified</x:v>
      </x:c>
      <x:c r="H23" s="56" t="n">
        <x:v>46289</x:v>
      </x:c>
      <x:c r="I23" s="56" t="n">
        <x:v>46289</x:v>
      </x:c>
      <x:c r="J23" s="57" t="n">
        <x:v>0</x:v>
      </x:c>
      <x:c r="K23" s="57" t="n">
        <x:v>0</x:v>
      </x:c>
      <x:c r="L23" s="57" t="n">
        <x:v>600</x:v>
      </x:c>
      <x:c r="M23" s="56" t="n">
        <x:v>46294</x:v>
      </x:c>
      <x:c r="N23" s="56" t="n">
        <x:v>46294</x:v>
      </x:c>
      <x:c r="O23" s="55" t="str">
        <x:v>Measurement verification pending.</x:v>
      </x:c>
      <x:c r="P23" s="55" t="str">
        <x:v>Follow up with client accounts and certify supporting records.</x:v>
      </x:c>
      <x:c r="Q23" s="55" t="str">
        <x:v>Demo Billing Lead P2</x:v>
      </x:c>
      <x:c r="R23" s="55" t="str">
        <x:v>S25WJH01-DEC-03</x:v>
      </x:c>
      <x:c r="S23" s="56" t="n">
        <x:v>46285</x:v>
      </x:c>
      <x:c r="T23" s="55" t="str">
        <x:v>FICTIONAL TEST DATA. All people, quantities, money, dates and statuses are invented; not project records.</x:v>
      </x:c>
    </x:row>
    <x:row r="24" ht="102" customHeight="1">
      <x:c r="A24" s="55" t="str">
        <x:v>S25WJH01</x:v>
      </x:c>
      <x:c r="B24" s="55" t="str">
        <x:v>S25WJH01-RA-04</x:v>
      </x:c>
      <x:c r="C24" s="55" t="str">
        <x:v>Demo Client P2</x:v>
      </x:c>
      <x:c r="D24" s="57" t="n">
        <x:v>650</x:v>
      </x:c>
      <x:c r="E24" s="56" t="str">
        <x:v>Not yet occurred</x:v>
      </x:c>
      <x:c r="F24" s="55" t="str">
        <x:v>Under preparation</x:v>
      </x:c>
      <x:c r="G24" s="55" t="str">
        <x:v>Submitted</x:v>
      </x:c>
      <x:c r="H24" s="56" t="n">
        <x:v>46287</x:v>
      </x:c>
      <x:c r="I24" s="56" t="n">
        <x:v>46292</x:v>
      </x:c>
      <x:c r="J24" s="57" t="n">
        <x:v>0</x:v>
      </x:c>
      <x:c r="K24" s="57" t="n">
        <x:v>0</x:v>
      </x:c>
      <x:c r="L24" s="57" t="n">
        <x:v>650</x:v>
      </x:c>
      <x:c r="M24" s="56" t="n">
        <x:v>46295</x:v>
      </x:c>
      <x:c r="N24" s="56" t="n">
        <x:v>46295</x:v>
      </x:c>
      <x:c r="O24" s="55" t="str">
        <x:v>Bill documents under preparation.</x:v>
      </x:c>
      <x:c r="P24" s="55" t="str">
        <x:v>Follow up with client accounts and certify supporting records.</x:v>
      </x:c>
      <x:c r="Q24" s="55" t="str">
        <x:v>Demo Billing Lead P2</x:v>
      </x:c>
      <x:c r="R24" s="55" t="str">
        <x:v>S25WJH01-DEC-04</x:v>
      </x:c>
      <x:c r="S24" s="56" t="n">
        <x:v>46285</x:v>
      </x:c>
      <x:c r="T24" s="55" t="str">
        <x:v>FICTIONAL TEST DATA. All people, quantities, money, dates and statuses are invented; not project records.</x:v>
      </x:c>
    </x:row>
    <x:row r="25" ht="102" customHeight="1">
      <x:c r="A25" s="55" t="str">
        <x:v>S25WMP01</x:v>
      </x:c>
      <x:c r="B25" s="55" t="str">
        <x:v>S25WMP01-RA-01</x:v>
      </x:c>
      <x:c r="C25" s="55" t="str">
        <x:v>Demo Client P3</x:v>
      </x:c>
      <x:c r="D25" s="57" t="n">
        <x:v>600</x:v>
      </x:c>
      <x:c r="E25" s="56" t="n">
        <x:v>46267</x:v>
      </x:c>
      <x:c r="F25" s="55" t="str">
        <x:v>Fully collected</x:v>
      </x:c>
      <x:c r="G25" s="55" t="str">
        <x:v>Fully collected</x:v>
      </x:c>
      <x:c r="H25" s="56" t="n">
        <x:v>46280</x:v>
      </x:c>
      <x:c r="I25" s="56" t="n">
        <x:v>46273</x:v>
      </x:c>
      <x:c r="J25" s="57" t="n">
        <x:v>600</x:v>
      </x:c>
      <x:c r="K25" s="57" t="n">
        <x:v>600</x:v>
      </x:c>
      <x:c r="L25" s="57" t="n">
        <x:v>0</x:v>
      </x:c>
      <x:c r="M25" s="56" t="n">
        <x:v>46283</x:v>
      </x:c>
      <x:c r="N25" s="56" t="n">
        <x:v>46280</x:v>
      </x:c>
      <x:c r="O25" s="55" t="str">
        <x:v>None; collected in full.</x:v>
      </x:c>
      <x:c r="P25" s="55" t="str">
        <x:v>No further action.</x:v>
      </x:c>
      <x:c r="Q25" s="55" t="str">
        <x:v>Demo Billing Lead P3</x:v>
      </x:c>
      <x:c r="R25" s="55" t="str">
        <x:v>S25WMP01-DEC-01</x:v>
      </x:c>
      <x:c r="S25" s="56" t="n">
        <x:v>46285</x:v>
      </x:c>
      <x:c r="T25" s="55" t="str">
        <x:v>FICTIONAL TEST DATA. All people, quantities, money, dates and statuses are invented; not project records.</x:v>
      </x:c>
    </x:row>
    <x:row r="26" ht="102" customHeight="1">
      <x:c r="A26" s="55" t="str">
        <x:v>S25WMP01</x:v>
      </x:c>
      <x:c r="B26" s="55" t="str">
        <x:v>S25WMP01-RA-02</x:v>
      </x:c>
      <x:c r="C26" s="55" t="str">
        <x:v>Demo Client P3</x:v>
      </x:c>
      <x:c r="D26" s="57" t="n">
        <x:v>650</x:v>
      </x:c>
      <x:c r="E26" s="56" t="n">
        <x:v>46272</x:v>
      </x:c>
      <x:c r="F26" s="55" t="str">
        <x:v>Part payment received</x:v>
      </x:c>
      <x:c r="G26" s="55" t="str">
        <x:v>Fully collected</x:v>
      </x:c>
      <x:c r="H26" s="56" t="n">
        <x:v>46290</x:v>
      </x:c>
      <x:c r="I26" s="56" t="n">
        <x:v>46277</x:v>
      </x:c>
      <x:c r="J26" s="57" t="n">
        <x:v>650</x:v>
      </x:c>
      <x:c r="K26" s="57" t="n">
        <x:v>260</x:v>
      </x:c>
      <x:c r="L26" s="57" t="n">
        <x:v>390</x:v>
      </x:c>
      <x:c r="M26" s="56" t="n">
        <x:v>46293</x:v>
      </x:c>
      <x:c r="N26" s="56" t="n">
        <x:v>46290</x:v>
      </x:c>
      <x:c r="O26" s="55" t="str">
        <x:v>Balance release under client payment cycle.</x:v>
      </x:c>
      <x:c r="P26" s="55" t="str">
        <x:v>Follow up with client accounts and certify supporting records.</x:v>
      </x:c>
      <x:c r="Q26" s="55" t="str">
        <x:v>Demo Billing Lead P3</x:v>
      </x:c>
      <x:c r="R26" s="55" t="str">
        <x:v>S25WMP01-DEC-02</x:v>
      </x:c>
      <x:c r="S26" s="56" t="n">
        <x:v>46285</x:v>
      </x:c>
      <x:c r="T26" s="55" t="str">
        <x:v>FICTIONAL TEST DATA. All people, quantities, money, dates and statuses are invented; not project records.</x:v>
      </x:c>
    </x:row>
    <x:row r="27" ht="102" customHeight="1">
      <x:c r="A27" s="55" t="str">
        <x:v>S25WMP01</x:v>
      </x:c>
      <x:c r="B27" s="55" t="str">
        <x:v>S25WMP01-RA-03</x:v>
      </x:c>
      <x:c r="C27" s="55" t="str">
        <x:v>Demo Client P3</x:v>
      </x:c>
      <x:c r="D27" s="57" t="n">
        <x:v>700</x:v>
      </x:c>
      <x:c r="E27" s="56" t="n">
        <x:v>46277</x:v>
      </x:c>
      <x:c r="F27" s="55" t="str">
        <x:v>Under certification</x:v>
      </x:c>
      <x:c r="G27" s="55" t="str">
        <x:v>Certified</x:v>
      </x:c>
      <x:c r="H27" s="56" t="n">
        <x:v>46289</x:v>
      </x:c>
      <x:c r="I27" s="56" t="n">
        <x:v>46289</x:v>
      </x:c>
      <x:c r="J27" s="57" t="n">
        <x:v>0</x:v>
      </x:c>
      <x:c r="K27" s="57" t="n">
        <x:v>0</x:v>
      </x:c>
      <x:c r="L27" s="57" t="n">
        <x:v>700</x:v>
      </x:c>
      <x:c r="M27" s="56" t="n">
        <x:v>46294</x:v>
      </x:c>
      <x:c r="N27" s="56" t="n">
        <x:v>46294</x:v>
      </x:c>
      <x:c r="O27" s="55" t="str">
        <x:v>Measurement verification pending.</x:v>
      </x:c>
      <x:c r="P27" s="55" t="str">
        <x:v>Follow up with client accounts and certify supporting records.</x:v>
      </x:c>
      <x:c r="Q27" s="55" t="str">
        <x:v>Demo Billing Lead P3</x:v>
      </x:c>
      <x:c r="R27" s="55" t="str">
        <x:v>S25WMP01-DEC-03</x:v>
      </x:c>
      <x:c r="S27" s="56" t="n">
        <x:v>46285</x:v>
      </x:c>
      <x:c r="T27" s="55" t="str">
        <x:v>FICTIONAL TEST DATA. All people, quantities, money, dates and statuses are invented; not project records.</x:v>
      </x:c>
    </x:row>
    <x:row r="28" ht="102" customHeight="1">
      <x:c r="A28" s="55" t="str">
        <x:v>S25WMP01</x:v>
      </x:c>
      <x:c r="B28" s="55" t="str">
        <x:v>S25WMP01-RA-04</x:v>
      </x:c>
      <x:c r="C28" s="55" t="str">
        <x:v>Demo Client P3</x:v>
      </x:c>
      <x:c r="D28" s="57" t="n">
        <x:v>750</x:v>
      </x:c>
      <x:c r="E28" s="56" t="str">
        <x:v>Not yet occurred</x:v>
      </x:c>
      <x:c r="F28" s="55" t="str">
        <x:v>Under preparation</x:v>
      </x:c>
      <x:c r="G28" s="55" t="str">
        <x:v>Submitted</x:v>
      </x:c>
      <x:c r="H28" s="56" t="n">
        <x:v>46287</x:v>
      </x:c>
      <x:c r="I28" s="56" t="n">
        <x:v>46292</x:v>
      </x:c>
      <x:c r="J28" s="57" t="n">
        <x:v>0</x:v>
      </x:c>
      <x:c r="K28" s="57" t="n">
        <x:v>0</x:v>
      </x:c>
      <x:c r="L28" s="57" t="n">
        <x:v>750</x:v>
      </x:c>
      <x:c r="M28" s="56" t="n">
        <x:v>46295</x:v>
      </x:c>
      <x:c r="N28" s="56" t="n">
        <x:v>46295</x:v>
      </x:c>
      <x:c r="O28" s="55" t="str">
        <x:v>Bill documents under preparation.</x:v>
      </x:c>
      <x:c r="P28" s="55" t="str">
        <x:v>Follow up with client accounts and certify supporting records.</x:v>
      </x:c>
      <x:c r="Q28" s="55" t="str">
        <x:v>Demo Billing Lead P3</x:v>
      </x:c>
      <x:c r="R28" s="55" t="str">
        <x:v>S25WMP01-DEC-04</x:v>
      </x:c>
      <x:c r="S28" s="56" t="n">
        <x:v>46285</x:v>
      </x:c>
      <x:c r="T28" s="55" t="str">
        <x:v>FICTIONAL TEST DATA. All people, quantities, money, dates and statuses are invented; not project records.</x:v>
      </x:c>
    </x:row>
    <x:row r="29" ht="102" customHeight="1">
      <x:c r="A29" s="55" t="str">
        <x:v>S26BBI01</x:v>
      </x:c>
      <x:c r="B29" s="55" t="str">
        <x:v>S26BBI01-RA-01</x:v>
      </x:c>
      <x:c r="C29" s="55" t="str">
        <x:v>Demo Client P4</x:v>
      </x:c>
      <x:c r="D29" s="57" t="n">
        <x:v>700</x:v>
      </x:c>
      <x:c r="E29" s="56" t="n">
        <x:v>46267</x:v>
      </x:c>
      <x:c r="F29" s="55" t="str">
        <x:v>Fully collected</x:v>
      </x:c>
      <x:c r="G29" s="55" t="str">
        <x:v>Fully collected</x:v>
      </x:c>
      <x:c r="H29" s="56" t="n">
        <x:v>46280</x:v>
      </x:c>
      <x:c r="I29" s="56" t="n">
        <x:v>46273</x:v>
      </x:c>
      <x:c r="J29" s="57" t="n">
        <x:v>700</x:v>
      </x:c>
      <x:c r="K29" s="57" t="n">
        <x:v>700</x:v>
      </x:c>
      <x:c r="L29" s="57" t="n">
        <x:v>0</x:v>
      </x:c>
      <x:c r="M29" s="56" t="n">
        <x:v>46283</x:v>
      </x:c>
      <x:c r="N29" s="56" t="n">
        <x:v>46280</x:v>
      </x:c>
      <x:c r="O29" s="55" t="str">
        <x:v>None; collected in full.</x:v>
      </x:c>
      <x:c r="P29" s="55" t="str">
        <x:v>No further action.</x:v>
      </x:c>
      <x:c r="Q29" s="55" t="str">
        <x:v>Demo Billing Lead P4</x:v>
      </x:c>
      <x:c r="R29" s="55" t="str">
        <x:v>S26BBI01-DEC-01</x:v>
      </x:c>
      <x:c r="S29" s="56" t="n">
        <x:v>46285</x:v>
      </x:c>
      <x:c r="T29" s="55" t="str">
        <x:v>FICTIONAL TEST DATA. All people, quantities, money, dates and statuses are invented; not project records.</x:v>
      </x:c>
    </x:row>
    <x:row r="30" ht="102" customHeight="1">
      <x:c r="A30" s="55" t="str">
        <x:v>S26BBI01</x:v>
      </x:c>
      <x:c r="B30" s="55" t="str">
        <x:v>S26BBI01-RA-02</x:v>
      </x:c>
      <x:c r="C30" s="55" t="str">
        <x:v>Demo Client P4</x:v>
      </x:c>
      <x:c r="D30" s="57" t="n">
        <x:v>750</x:v>
      </x:c>
      <x:c r="E30" s="56" t="n">
        <x:v>46272</x:v>
      </x:c>
      <x:c r="F30" s="55" t="str">
        <x:v>Part payment received</x:v>
      </x:c>
      <x:c r="G30" s="55" t="str">
        <x:v>Fully collected</x:v>
      </x:c>
      <x:c r="H30" s="56" t="n">
        <x:v>46290</x:v>
      </x:c>
      <x:c r="I30" s="56" t="n">
        <x:v>46277</x:v>
      </x:c>
      <x:c r="J30" s="57" t="n">
        <x:v>750</x:v>
      </x:c>
      <x:c r="K30" s="57" t="n">
        <x:v>300</x:v>
      </x:c>
      <x:c r="L30" s="57" t="n">
        <x:v>450</x:v>
      </x:c>
      <x:c r="M30" s="56" t="n">
        <x:v>46293</x:v>
      </x:c>
      <x:c r="N30" s="56" t="n">
        <x:v>46290</x:v>
      </x:c>
      <x:c r="O30" s="55" t="str">
        <x:v>Balance release under client payment cycle.</x:v>
      </x:c>
      <x:c r="P30" s="55" t="str">
        <x:v>Follow up with client accounts and certify supporting records.</x:v>
      </x:c>
      <x:c r="Q30" s="55" t="str">
        <x:v>Demo Billing Lead P4</x:v>
      </x:c>
      <x:c r="R30" s="55" t="str">
        <x:v>S26BBI01-DEC-02</x:v>
      </x:c>
      <x:c r="S30" s="56" t="n">
        <x:v>46285</x:v>
      </x:c>
      <x:c r="T30" s="55" t="str">
        <x:v>FICTIONAL TEST DATA. All people, quantities, money, dates and statuses are invented; not project records.</x:v>
      </x:c>
    </x:row>
    <x:row r="31" ht="102" customHeight="1">
      <x:c r="A31" s="55" t="str">
        <x:v>S26BBI01</x:v>
      </x:c>
      <x:c r="B31" s="55" t="str">
        <x:v>S26BBI01-RA-03</x:v>
      </x:c>
      <x:c r="C31" s="55" t="str">
        <x:v>Demo Client P4</x:v>
      </x:c>
      <x:c r="D31" s="57" t="n">
        <x:v>800</x:v>
      </x:c>
      <x:c r="E31" s="56" t="n">
        <x:v>46277</x:v>
      </x:c>
      <x:c r="F31" s="55" t="str">
        <x:v>Under certification</x:v>
      </x:c>
      <x:c r="G31" s="55" t="str">
        <x:v>Certified</x:v>
      </x:c>
      <x:c r="H31" s="56" t="n">
        <x:v>46289</x:v>
      </x:c>
      <x:c r="I31" s="56" t="n">
        <x:v>46289</x:v>
      </x:c>
      <x:c r="J31" s="57" t="n">
        <x:v>0</x:v>
      </x:c>
      <x:c r="K31" s="57" t="n">
        <x:v>0</x:v>
      </x:c>
      <x:c r="L31" s="57" t="n">
        <x:v>800</x:v>
      </x:c>
      <x:c r="M31" s="56" t="n">
        <x:v>46294</x:v>
      </x:c>
      <x:c r="N31" s="56" t="n">
        <x:v>46294</x:v>
      </x:c>
      <x:c r="O31" s="55" t="str">
        <x:v>Measurement verification pending.</x:v>
      </x:c>
      <x:c r="P31" s="55" t="str">
        <x:v>Follow up with client accounts and certify supporting records.</x:v>
      </x:c>
      <x:c r="Q31" s="55" t="str">
        <x:v>Demo Billing Lead P4</x:v>
      </x:c>
      <x:c r="R31" s="55" t="str">
        <x:v>S26BBI01-DEC-03</x:v>
      </x:c>
      <x:c r="S31" s="56" t="n">
        <x:v>46285</x:v>
      </x:c>
      <x:c r="T31" s="55" t="str">
        <x:v>FICTIONAL TEST DATA. All people, quantities, money, dates and statuses are invented; not project records.</x:v>
      </x:c>
    </x:row>
    <x:row r="32" ht="102" customHeight="1">
      <x:c r="A32" s="55" t="str">
        <x:v>S26BBI01</x:v>
      </x:c>
      <x:c r="B32" s="55" t="str">
        <x:v>S26BBI01-RA-04</x:v>
      </x:c>
      <x:c r="C32" s="55" t="str">
        <x:v>Demo Client P4</x:v>
      </x:c>
      <x:c r="D32" s="57" t="n">
        <x:v>850</x:v>
      </x:c>
      <x:c r="E32" s="56" t="str">
        <x:v>Not yet occurred</x:v>
      </x:c>
      <x:c r="F32" s="55" t="str">
        <x:v>Under preparation</x:v>
      </x:c>
      <x:c r="G32" s="55" t="str">
        <x:v>Submitted</x:v>
      </x:c>
      <x:c r="H32" s="56" t="n">
        <x:v>46287</x:v>
      </x:c>
      <x:c r="I32" s="56" t="n">
        <x:v>46292</x:v>
      </x:c>
      <x:c r="J32" s="57" t="n">
        <x:v>0</x:v>
      </x:c>
      <x:c r="K32" s="57" t="n">
        <x:v>0</x:v>
      </x:c>
      <x:c r="L32" s="57" t="n">
        <x:v>850</x:v>
      </x:c>
      <x:c r="M32" s="56" t="n">
        <x:v>46295</x:v>
      </x:c>
      <x:c r="N32" s="56" t="n">
        <x:v>46295</x:v>
      </x:c>
      <x:c r="O32" s="55" t="str">
        <x:v>Bill documents under preparation.</x:v>
      </x:c>
      <x:c r="P32" s="55" t="str">
        <x:v>Follow up with client accounts and certify supporting records.</x:v>
      </x:c>
      <x:c r="Q32" s="55" t="str">
        <x:v>Demo Billing Lead P4</x:v>
      </x:c>
      <x:c r="R32" s="55" t="str">
        <x:v>S26BBI01-DEC-04</x:v>
      </x:c>
      <x:c r="S32" s="56" t="n">
        <x:v>46285</x:v>
      </x:c>
      <x:c r="T32" s="55" t="str">
        <x:v>FICTIONAL TEST DATA. All people, quantities, money, dates and statuses are invented; not project records.</x:v>
      </x:c>
    </x:row>
    <x:row r="33" ht="102" customHeight="1">
      <x:c r="A33" s="55" t="str">
        <x:v>S26PRJ01</x:v>
      </x:c>
      <x:c r="B33" s="55" t="str">
        <x:v>S26PRJ01-RA-01</x:v>
      </x:c>
      <x:c r="C33" s="55" t="str">
        <x:v>Demo Client P5</x:v>
      </x:c>
      <x:c r="D33" s="57" t="n">
        <x:v>800</x:v>
      </x:c>
      <x:c r="E33" s="56" t="n">
        <x:v>46267</x:v>
      </x:c>
      <x:c r="F33" s="55" t="str">
        <x:v>Fully collected</x:v>
      </x:c>
      <x:c r="G33" s="55" t="str">
        <x:v>Fully collected</x:v>
      </x:c>
      <x:c r="H33" s="56" t="n">
        <x:v>46280</x:v>
      </x:c>
      <x:c r="I33" s="56" t="n">
        <x:v>46273</x:v>
      </x:c>
      <x:c r="J33" s="57" t="n">
        <x:v>800</x:v>
      </x:c>
      <x:c r="K33" s="57" t="n">
        <x:v>800</x:v>
      </x:c>
      <x:c r="L33" s="57" t="n">
        <x:v>0</x:v>
      </x:c>
      <x:c r="M33" s="56" t="n">
        <x:v>46283</x:v>
      </x:c>
      <x:c r="N33" s="56" t="n">
        <x:v>46280</x:v>
      </x:c>
      <x:c r="O33" s="55" t="str">
        <x:v>None; collected in full.</x:v>
      </x:c>
      <x:c r="P33" s="55" t="str">
        <x:v>No further action.</x:v>
      </x:c>
      <x:c r="Q33" s="55" t="str">
        <x:v>Demo Billing Lead P5</x:v>
      </x:c>
      <x:c r="R33" s="55" t="str">
        <x:v>S26PRJ01-DEC-01</x:v>
      </x:c>
      <x:c r="S33" s="56" t="n">
        <x:v>46285</x:v>
      </x:c>
      <x:c r="T33" s="55" t="str">
        <x:v>FICTIONAL TEST DATA. All people, quantities, money, dates and statuses are invented; not project records.</x:v>
      </x:c>
    </x:row>
    <x:row r="34" ht="102" customHeight="1">
      <x:c r="A34" s="55" t="str">
        <x:v>S26PRJ01</x:v>
      </x:c>
      <x:c r="B34" s="55" t="str">
        <x:v>S26PRJ01-RA-02</x:v>
      </x:c>
      <x:c r="C34" s="55" t="str">
        <x:v>Demo Client P5</x:v>
      </x:c>
      <x:c r="D34" s="57" t="n">
        <x:v>850</x:v>
      </x:c>
      <x:c r="E34" s="56" t="n">
        <x:v>46272</x:v>
      </x:c>
      <x:c r="F34" s="55" t="str">
        <x:v>Part payment received</x:v>
      </x:c>
      <x:c r="G34" s="55" t="str">
        <x:v>Fully collected</x:v>
      </x:c>
      <x:c r="H34" s="56" t="n">
        <x:v>46290</x:v>
      </x:c>
      <x:c r="I34" s="56" t="n">
        <x:v>46277</x:v>
      </x:c>
      <x:c r="J34" s="57" t="n">
        <x:v>850</x:v>
      </x:c>
      <x:c r="K34" s="57" t="n">
        <x:v>340</x:v>
      </x:c>
      <x:c r="L34" s="57" t="n">
        <x:v>510</x:v>
      </x:c>
      <x:c r="M34" s="56" t="n">
        <x:v>46293</x:v>
      </x:c>
      <x:c r="N34" s="56" t="n">
        <x:v>46290</x:v>
      </x:c>
      <x:c r="O34" s="55" t="str">
        <x:v>Balance release under client payment cycle.</x:v>
      </x:c>
      <x:c r="P34" s="55" t="str">
        <x:v>Follow up with client accounts and certify supporting records.</x:v>
      </x:c>
      <x:c r="Q34" s="55" t="str">
        <x:v>Demo Billing Lead P5</x:v>
      </x:c>
      <x:c r="R34" s="55" t="str">
        <x:v>S26PRJ01-DEC-02</x:v>
      </x:c>
      <x:c r="S34" s="56" t="n">
        <x:v>46285</x:v>
      </x:c>
      <x:c r="T34" s="55" t="str">
        <x:v>FICTIONAL TEST DATA. All people, quantities, money, dates and statuses are invented; not project records.</x:v>
      </x:c>
    </x:row>
    <x:row r="35" ht="102" customHeight="1">
      <x:c r="A35" s="55" t="str">
        <x:v>S26PRJ01</x:v>
      </x:c>
      <x:c r="B35" s="55" t="str">
        <x:v>S26PRJ01-RA-03</x:v>
      </x:c>
      <x:c r="C35" s="55" t="str">
        <x:v>Demo Client P5</x:v>
      </x:c>
      <x:c r="D35" s="57" t="n">
        <x:v>900</x:v>
      </x:c>
      <x:c r="E35" s="56" t="n">
        <x:v>46277</x:v>
      </x:c>
      <x:c r="F35" s="55" t="str">
        <x:v>Under certification</x:v>
      </x:c>
      <x:c r="G35" s="55" t="str">
        <x:v>Certified</x:v>
      </x:c>
      <x:c r="H35" s="56" t="n">
        <x:v>46289</x:v>
      </x:c>
      <x:c r="I35" s="56" t="n">
        <x:v>46289</x:v>
      </x:c>
      <x:c r="J35" s="57" t="n">
        <x:v>0</x:v>
      </x:c>
      <x:c r="K35" s="57" t="n">
        <x:v>0</x:v>
      </x:c>
      <x:c r="L35" s="57" t="n">
        <x:v>900</x:v>
      </x:c>
      <x:c r="M35" s="56" t="n">
        <x:v>46294</x:v>
      </x:c>
      <x:c r="N35" s="56" t="n">
        <x:v>46294</x:v>
      </x:c>
      <x:c r="O35" s="55" t="str">
        <x:v>Measurement verification pending.</x:v>
      </x:c>
      <x:c r="P35" s="55" t="str">
        <x:v>Follow up with client accounts and certify supporting records.</x:v>
      </x:c>
      <x:c r="Q35" s="55" t="str">
        <x:v>Demo Billing Lead P5</x:v>
      </x:c>
      <x:c r="R35" s="55" t="str">
        <x:v>S26PRJ01-DEC-03</x:v>
      </x:c>
      <x:c r="S35" s="56" t="n">
        <x:v>46285</x:v>
      </x:c>
      <x:c r="T35" s="55" t="str">
        <x:v>FICTIONAL TEST DATA. All people, quantities, money, dates and statuses are invented; not project records.</x:v>
      </x:c>
    </x:row>
    <x:row r="36" ht="102" customHeight="1">
      <x:c r="A36" s="55" t="str">
        <x:v>S26PRJ01</x:v>
      </x:c>
      <x:c r="B36" s="55" t="str">
        <x:v>S26PRJ01-RA-04</x:v>
      </x:c>
      <x:c r="C36" s="55" t="str">
        <x:v>Demo Client P5</x:v>
      </x:c>
      <x:c r="D36" s="57" t="n">
        <x:v>950</x:v>
      </x:c>
      <x:c r="E36" s="56" t="str">
        <x:v>Not yet occurred</x:v>
      </x:c>
      <x:c r="F36" s="55" t="str">
        <x:v>Under preparation</x:v>
      </x:c>
      <x:c r="G36" s="55" t="str">
        <x:v>Submitted</x:v>
      </x:c>
      <x:c r="H36" s="56" t="n">
        <x:v>46287</x:v>
      </x:c>
      <x:c r="I36" s="56" t="n">
        <x:v>46292</x:v>
      </x:c>
      <x:c r="J36" s="57" t="n">
        <x:v>0</x:v>
      </x:c>
      <x:c r="K36" s="57" t="n">
        <x:v>0</x:v>
      </x:c>
      <x:c r="L36" s="57" t="n">
        <x:v>950</x:v>
      </x:c>
      <x:c r="M36" s="56" t="n">
        <x:v>46295</x:v>
      </x:c>
      <x:c r="N36" s="56" t="n">
        <x:v>46295</x:v>
      </x:c>
      <x:c r="O36" s="55" t="str">
        <x:v>Bill documents under preparation.</x:v>
      </x:c>
      <x:c r="P36" s="55" t="str">
        <x:v>Follow up with client accounts and certify supporting records.</x:v>
      </x:c>
      <x:c r="Q36" s="55" t="str">
        <x:v>Demo Billing Lead P5</x:v>
      </x:c>
      <x:c r="R36" s="55" t="str">
        <x:v>S26PRJ01-DEC-04</x:v>
      </x:c>
      <x:c r="S36" s="56" t="n">
        <x:v>46285</x:v>
      </x:c>
      <x:c r="T36" s="55" t="str">
        <x:v>FICTIONAL TEST DATA. All people, quantities, money, dates and statuses are invented; not project records.</x:v>
      </x:c>
    </x:row>
    <x:row r="37" ht="28" customHeight="1">
      <x:c r="A37" s="55"/>
      <x:c r="B37" s="55"/>
      <x:c r="C37" s="55"/>
      <x:c r="D37" s="57"/>
      <x:c r="E37" s="56"/>
      <x:c r="F37" s="55"/>
      <x:c r="G37" s="55"/>
      <x:c r="H37" s="56"/>
      <x:c r="I37" s="56"/>
      <x:c r="J37" s="57"/>
      <x:c r="K37" s="57"/>
      <x:c r="L37" s="57"/>
      <x:c r="M37" s="56"/>
      <x:c r="N37" s="56"/>
      <x:c r="O37" s="55"/>
      <x:c r="P37" s="55"/>
      <x:c r="Q37" s="55"/>
      <x:c r="R37" s="55"/>
      <x:c r="S37" s="56"/>
      <x:c r="T37" s="55"/>
    </x:row>
    <x:row r="38" ht="28" customHeight="1">
      <x:c r="A38" s="55"/>
      <x:c r="B38" s="55"/>
      <x:c r="C38" s="55"/>
      <x:c r="D38" s="57"/>
      <x:c r="E38" s="56"/>
      <x:c r="F38" s="55"/>
      <x:c r="G38" s="55"/>
      <x:c r="H38" s="56"/>
      <x:c r="I38" s="56"/>
      <x:c r="J38" s="57"/>
      <x:c r="K38" s="57"/>
      <x:c r="L38" s="57"/>
      <x:c r="M38" s="56"/>
      <x:c r="N38" s="56"/>
      <x:c r="O38" s="55"/>
      <x:c r="P38" s="55"/>
      <x:c r="Q38" s="55"/>
      <x:c r="R38" s="55"/>
      <x:c r="S38" s="56"/>
      <x:c r="T38" s="55"/>
    </x:row>
    <x:row r="39" ht="28" customHeight="1">
      <x:c r="A39" s="55"/>
      <x:c r="B39" s="55"/>
      <x:c r="C39" s="55"/>
      <x:c r="D39" s="57"/>
      <x:c r="E39" s="56"/>
      <x:c r="F39" s="55"/>
      <x:c r="G39" s="55"/>
      <x:c r="H39" s="56"/>
      <x:c r="I39" s="56"/>
      <x:c r="J39" s="57"/>
      <x:c r="K39" s="57"/>
      <x:c r="L39" s="57"/>
      <x:c r="M39" s="56"/>
      <x:c r="N39" s="56"/>
      <x:c r="O39" s="55"/>
      <x:c r="P39" s="55"/>
      <x:c r="Q39" s="55"/>
      <x:c r="R39" s="55"/>
      <x:c r="S39" s="56"/>
      <x:c r="T39" s="55"/>
    </x:row>
    <x:row r="40" ht="28" customHeight="1">
      <x:c r="A40" s="55"/>
      <x:c r="B40" s="55"/>
      <x:c r="C40" s="55"/>
      <x:c r="D40" s="57"/>
      <x:c r="E40" s="56"/>
      <x:c r="F40" s="55"/>
      <x:c r="G40" s="55"/>
      <x:c r="H40" s="56"/>
      <x:c r="I40" s="56"/>
      <x:c r="J40" s="57"/>
      <x:c r="K40" s="57"/>
      <x:c r="L40" s="57"/>
      <x:c r="M40" s="56"/>
      <x:c r="N40" s="56"/>
      <x:c r="O40" s="55"/>
      <x:c r="P40" s="55"/>
      <x:c r="Q40" s="55"/>
      <x:c r="R40" s="55"/>
      <x:c r="S40" s="56"/>
      <x:c r="T40" s="55"/>
    </x:row>
    <x:row r="41" ht="28" customHeight="1">
      <x:c r="A41" s="55"/>
      <x:c r="B41" s="55"/>
      <x:c r="C41" s="55"/>
      <x:c r="D41" s="57"/>
      <x:c r="E41" s="56"/>
      <x:c r="F41" s="55"/>
      <x:c r="G41" s="55"/>
      <x:c r="H41" s="56"/>
      <x:c r="I41" s="56"/>
      <x:c r="J41" s="57"/>
      <x:c r="K41" s="57"/>
      <x:c r="L41" s="57"/>
      <x:c r="M41" s="56"/>
      <x:c r="N41" s="56"/>
      <x:c r="O41" s="55"/>
      <x:c r="P41" s="55"/>
      <x:c r="Q41" s="55"/>
      <x:c r="R41" s="55"/>
      <x:c r="S41" s="56"/>
      <x:c r="T41" s="55"/>
    </x:row>
    <x:row r="42" ht="28" customHeight="1">
      <x:c r="A42" s="55"/>
      <x:c r="B42" s="55"/>
      <x:c r="C42" s="55"/>
      <x:c r="D42" s="57"/>
      <x:c r="E42" s="56"/>
      <x:c r="F42" s="55"/>
      <x:c r="G42" s="55"/>
      <x:c r="H42" s="56"/>
      <x:c r="I42" s="56"/>
      <x:c r="J42" s="57"/>
      <x:c r="K42" s="57"/>
      <x:c r="L42" s="57"/>
      <x:c r="M42" s="56"/>
      <x:c r="N42" s="56"/>
      <x:c r="O42" s="55"/>
      <x:c r="P42" s="55"/>
      <x:c r="Q42" s="55"/>
      <x:c r="R42" s="55"/>
      <x:c r="S42" s="56"/>
      <x:c r="T42" s="55"/>
    </x:row>
    <x:row r="43" ht="28" customHeight="1">
      <x:c r="A43" s="55"/>
      <x:c r="B43" s="55"/>
      <x:c r="C43" s="55"/>
      <x:c r="D43" s="57"/>
      <x:c r="E43" s="56"/>
      <x:c r="F43" s="55"/>
      <x:c r="G43" s="55"/>
      <x:c r="H43" s="56"/>
      <x:c r="I43" s="56"/>
      <x:c r="J43" s="57"/>
      <x:c r="K43" s="57"/>
      <x:c r="L43" s="57"/>
      <x:c r="M43" s="56"/>
      <x:c r="N43" s="56"/>
      <x:c r="O43" s="55"/>
      <x:c r="P43" s="55"/>
      <x:c r="Q43" s="55"/>
      <x:c r="R43" s="55"/>
      <x:c r="S43" s="56"/>
      <x:c r="T43" s="55"/>
    </x:row>
    <x:row r="44" ht="28" customHeight="1">
      <x:c r="A44" s="55"/>
      <x:c r="B44" s="55"/>
      <x:c r="C44" s="55"/>
      <x:c r="D44" s="57"/>
      <x:c r="E44" s="56"/>
      <x:c r="F44" s="55"/>
      <x:c r="G44" s="55"/>
      <x:c r="H44" s="56"/>
      <x:c r="I44" s="56"/>
      <x:c r="J44" s="57"/>
      <x:c r="K44" s="57"/>
      <x:c r="L44" s="57"/>
      <x:c r="M44" s="56"/>
      <x:c r="N44" s="56"/>
      <x:c r="O44" s="55"/>
      <x:c r="P44" s="55"/>
      <x:c r="Q44" s="55"/>
      <x:c r="R44" s="55"/>
      <x:c r="S44" s="56"/>
      <x:c r="T44" s="55"/>
    </x:row>
    <x:row r="45" ht="28" customHeight="1">
      <x:c r="A45" s="55"/>
      <x:c r="B45" s="55"/>
      <x:c r="C45" s="55"/>
      <x:c r="D45" s="57"/>
      <x:c r="E45" s="56"/>
      <x:c r="F45" s="55"/>
      <x:c r="G45" s="55"/>
      <x:c r="H45" s="56"/>
      <x:c r="I45" s="56"/>
      <x:c r="J45" s="57"/>
      <x:c r="K45" s="57"/>
      <x:c r="L45" s="57"/>
      <x:c r="M45" s="56"/>
      <x:c r="N45" s="56"/>
      <x:c r="O45" s="55"/>
      <x:c r="P45" s="55"/>
      <x:c r="Q45" s="55"/>
      <x:c r="R45" s="55"/>
      <x:c r="S45" s="56"/>
      <x:c r="T45" s="55"/>
    </x:row>
    <x:row r="46" ht="28" customHeight="1">
      <x:c r="A46" s="55"/>
      <x:c r="B46" s="55"/>
      <x:c r="C46" s="55"/>
      <x:c r="D46" s="57"/>
      <x:c r="E46" s="56"/>
      <x:c r="F46" s="55"/>
      <x:c r="G46" s="55"/>
      <x:c r="H46" s="56"/>
      <x:c r="I46" s="56"/>
      <x:c r="J46" s="57"/>
      <x:c r="K46" s="57"/>
      <x:c r="L46" s="57"/>
      <x:c r="M46" s="56"/>
      <x:c r="N46" s="56"/>
      <x:c r="O46" s="55"/>
      <x:c r="P46" s="55"/>
      <x:c r="Q46" s="55"/>
      <x:c r="R46" s="55"/>
      <x:c r="S46" s="56"/>
      <x:c r="T46" s="55"/>
    </x:row>
    <x:row r="47" ht="28" customHeight="1">
      <x:c r="A47" s="55"/>
      <x:c r="B47" s="55"/>
      <x:c r="C47" s="55"/>
      <x:c r="D47" s="57"/>
      <x:c r="E47" s="56"/>
      <x:c r="F47" s="55"/>
      <x:c r="G47" s="55"/>
      <x:c r="H47" s="56"/>
      <x:c r="I47" s="56"/>
      <x:c r="J47" s="57"/>
      <x:c r="K47" s="57"/>
      <x:c r="L47" s="57"/>
      <x:c r="M47" s="56"/>
      <x:c r="N47" s="56"/>
      <x:c r="O47" s="55"/>
      <x:c r="P47" s="55"/>
      <x:c r="Q47" s="55"/>
      <x:c r="R47" s="55"/>
      <x:c r="S47" s="56"/>
      <x:c r="T47" s="55"/>
    </x:row>
    <x:row r="48" ht="28" customHeight="1">
      <x:c r="A48" s="55"/>
      <x:c r="B48" s="55"/>
      <x:c r="C48" s="55"/>
      <x:c r="D48" s="57"/>
      <x:c r="E48" s="56"/>
      <x:c r="F48" s="55"/>
      <x:c r="G48" s="55"/>
      <x:c r="H48" s="56"/>
      <x:c r="I48" s="56"/>
      <x:c r="J48" s="57"/>
      <x:c r="K48" s="57"/>
      <x:c r="L48" s="57"/>
      <x:c r="M48" s="56"/>
      <x:c r="N48" s="56"/>
      <x:c r="O48" s="55"/>
      <x:c r="P48" s="55"/>
      <x:c r="Q48" s="55"/>
      <x:c r="R48" s="55"/>
      <x:c r="S48" s="56"/>
      <x:c r="T48" s="55"/>
    </x:row>
    <x:row r="49" ht="28" customHeight="1">
      <x:c r="A49" s="55"/>
      <x:c r="B49" s="55"/>
      <x:c r="C49" s="55"/>
      <x:c r="D49" s="57"/>
      <x:c r="E49" s="56"/>
      <x:c r="F49" s="55"/>
      <x:c r="G49" s="55"/>
      <x:c r="H49" s="56"/>
      <x:c r="I49" s="56"/>
      <x:c r="J49" s="57"/>
      <x:c r="K49" s="57"/>
      <x:c r="L49" s="57"/>
      <x:c r="M49" s="56"/>
      <x:c r="N49" s="56"/>
      <x:c r="O49" s="55"/>
      <x:c r="P49" s="55"/>
      <x:c r="Q49" s="55"/>
      <x:c r="R49" s="55"/>
      <x:c r="S49" s="56"/>
      <x:c r="T49" s="55"/>
    </x:row>
    <x:row r="50" ht="28" customHeight="1">
      <x:c r="A50" s="55"/>
      <x:c r="B50" s="55"/>
      <x:c r="C50" s="55"/>
      <x:c r="D50" s="57"/>
      <x:c r="E50" s="56"/>
      <x:c r="F50" s="55"/>
      <x:c r="G50" s="55"/>
      <x:c r="H50" s="56"/>
      <x:c r="I50" s="56"/>
      <x:c r="J50" s="57"/>
      <x:c r="K50" s="57"/>
      <x:c r="L50" s="57"/>
      <x:c r="M50" s="56"/>
      <x:c r="N50" s="56"/>
      <x:c r="O50" s="55"/>
      <x:c r="P50" s="55"/>
      <x:c r="Q50" s="55"/>
      <x:c r="R50" s="55"/>
      <x:c r="S50" s="56"/>
      <x:c r="T50" s="55"/>
    </x:row>
    <x:row r="51" ht="28" customHeight="1">
      <x:c r="A51" s="55"/>
      <x:c r="B51" s="55"/>
      <x:c r="C51" s="55"/>
      <x:c r="D51" s="57"/>
      <x:c r="E51" s="56"/>
      <x:c r="F51" s="55"/>
      <x:c r="G51" s="55"/>
      <x:c r="H51" s="56"/>
      <x:c r="I51" s="56"/>
      <x:c r="J51" s="57"/>
      <x:c r="K51" s="57"/>
      <x:c r="L51" s="57"/>
      <x:c r="M51" s="56"/>
      <x:c r="N51" s="56"/>
      <x:c r="O51" s="55"/>
      <x:c r="P51" s="55"/>
      <x:c r="Q51" s="55"/>
      <x:c r="R51" s="55"/>
      <x:c r="S51" s="56"/>
      <x:c r="T51" s="55"/>
    </x:row>
    <x:row r="52" ht="28" customHeight="1">
      <x:c r="A52" s="55"/>
      <x:c r="B52" s="55"/>
      <x:c r="C52" s="55"/>
      <x:c r="D52" s="57"/>
      <x:c r="E52" s="56"/>
      <x:c r="F52" s="55"/>
      <x:c r="G52" s="55"/>
      <x:c r="H52" s="56"/>
      <x:c r="I52" s="56"/>
      <x:c r="J52" s="57"/>
      <x:c r="K52" s="57"/>
      <x:c r="L52" s="57"/>
      <x:c r="M52" s="56"/>
      <x:c r="N52" s="56"/>
      <x:c r="O52" s="55"/>
      <x:c r="P52" s="55"/>
      <x:c r="Q52" s="55"/>
      <x:c r="R52" s="55"/>
      <x:c r="S52" s="56"/>
      <x:c r="T52" s="55"/>
    </x:row>
    <x:row r="53" ht="28" customHeight="1">
      <x:c r="A53" s="55"/>
      <x:c r="B53" s="55"/>
      <x:c r="C53" s="55"/>
      <x:c r="D53" s="57"/>
      <x:c r="E53" s="56"/>
      <x:c r="F53" s="55"/>
      <x:c r="G53" s="55"/>
      <x:c r="H53" s="56"/>
      <x:c r="I53" s="56"/>
      <x:c r="J53" s="57"/>
      <x:c r="K53" s="57"/>
      <x:c r="L53" s="57"/>
      <x:c r="M53" s="56"/>
      <x:c r="N53" s="56"/>
      <x:c r="O53" s="55"/>
      <x:c r="P53" s="55"/>
      <x:c r="Q53" s="55"/>
      <x:c r="R53" s="55"/>
      <x:c r="S53" s="56"/>
      <x:c r="T53" s="55"/>
    </x:row>
    <x:row r="54" ht="28" customHeight="1">
      <x:c r="A54" s="55"/>
      <x:c r="B54" s="55"/>
      <x:c r="C54" s="55"/>
      <x:c r="D54" s="57"/>
      <x:c r="E54" s="56"/>
      <x:c r="F54" s="55"/>
      <x:c r="G54" s="55"/>
      <x:c r="H54" s="56"/>
      <x:c r="I54" s="56"/>
      <x:c r="J54" s="57"/>
      <x:c r="K54" s="57"/>
      <x:c r="L54" s="57"/>
      <x:c r="M54" s="56"/>
      <x:c r="N54" s="56"/>
      <x:c r="O54" s="55"/>
      <x:c r="P54" s="55"/>
      <x:c r="Q54" s="55"/>
      <x:c r="R54" s="55"/>
      <x:c r="S54" s="56"/>
      <x:c r="T54" s="55"/>
    </x:row>
    <x:row r="55" ht="28" customHeight="1">
      <x:c r="A55" s="55"/>
      <x:c r="B55" s="55"/>
      <x:c r="C55" s="55"/>
      <x:c r="D55" s="57"/>
      <x:c r="E55" s="56"/>
      <x:c r="F55" s="55"/>
      <x:c r="G55" s="55"/>
      <x:c r="H55" s="56"/>
      <x:c r="I55" s="56"/>
      <x:c r="J55" s="57"/>
      <x:c r="K55" s="57"/>
      <x:c r="L55" s="57"/>
      <x:c r="M55" s="56"/>
      <x:c r="N55" s="56"/>
      <x:c r="O55" s="55"/>
      <x:c r="P55" s="55"/>
      <x:c r="Q55" s="55"/>
      <x:c r="R55" s="55"/>
      <x:c r="S55" s="56"/>
      <x:c r="T55" s="55"/>
    </x:row>
    <x:row r="56" ht="28" customHeight="1">
      <x:c r="A56" s="55"/>
      <x:c r="B56" s="55"/>
      <x:c r="C56" s="55"/>
      <x:c r="D56" s="57"/>
      <x:c r="E56" s="56"/>
      <x:c r="F56" s="55"/>
      <x:c r="G56" s="55"/>
      <x:c r="H56" s="56"/>
      <x:c r="I56" s="56"/>
      <x:c r="J56" s="57"/>
      <x:c r="K56" s="57"/>
      <x:c r="L56" s="57"/>
      <x:c r="M56" s="56"/>
      <x:c r="N56" s="56"/>
      <x:c r="O56" s="55"/>
      <x:c r="P56" s="55"/>
      <x:c r="Q56" s="55"/>
      <x:c r="R56" s="55"/>
      <x:c r="S56" s="56"/>
      <x:c r="T56" s="55"/>
    </x:row>
    <x:row r="57" ht="28" customHeight="1">
      <x:c r="A57" s="55"/>
      <x:c r="B57" s="55"/>
      <x:c r="C57" s="55"/>
      <x:c r="D57" s="57"/>
      <x:c r="E57" s="56"/>
      <x:c r="F57" s="55"/>
      <x:c r="G57" s="55"/>
      <x:c r="H57" s="56"/>
      <x:c r="I57" s="56"/>
      <x:c r="J57" s="57"/>
      <x:c r="K57" s="57"/>
      <x:c r="L57" s="57"/>
      <x:c r="M57" s="56"/>
      <x:c r="N57" s="56"/>
      <x:c r="O57" s="55"/>
      <x:c r="P57" s="55"/>
      <x:c r="Q57" s="55"/>
      <x:c r="R57" s="55"/>
      <x:c r="S57" s="56"/>
      <x:c r="T57" s="55"/>
    </x:row>
    <x:row r="58" ht="28" customHeight="1">
      <x:c r="A58" s="55"/>
      <x:c r="B58" s="55"/>
      <x:c r="C58" s="55"/>
      <x:c r="D58" s="57"/>
      <x:c r="E58" s="56"/>
      <x:c r="F58" s="55"/>
      <x:c r="G58" s="55"/>
      <x:c r="H58" s="56"/>
      <x:c r="I58" s="56"/>
      <x:c r="J58" s="57"/>
      <x:c r="K58" s="57"/>
      <x:c r="L58" s="57"/>
      <x:c r="M58" s="56"/>
      <x:c r="N58" s="56"/>
      <x:c r="O58" s="55"/>
      <x:c r="P58" s="55"/>
      <x:c r="Q58" s="55"/>
      <x:c r="R58" s="55"/>
      <x:c r="S58" s="56"/>
      <x:c r="T58" s="55"/>
    </x:row>
    <x:row r="59" ht="28" customHeight="1">
      <x:c r="A59" s="55"/>
      <x:c r="B59" s="55"/>
      <x:c r="C59" s="55"/>
      <x:c r="D59" s="57"/>
      <x:c r="E59" s="56"/>
      <x:c r="F59" s="55"/>
      <x:c r="G59" s="55"/>
      <x:c r="H59" s="56"/>
      <x:c r="I59" s="56"/>
      <x:c r="J59" s="57"/>
      <x:c r="K59" s="57"/>
      <x:c r="L59" s="57"/>
      <x:c r="M59" s="56"/>
      <x:c r="N59" s="56"/>
      <x:c r="O59" s="55"/>
      <x:c r="P59" s="55"/>
      <x:c r="Q59" s="55"/>
      <x:c r="R59" s="55"/>
      <x:c r="S59" s="56"/>
      <x:c r="T59" s="55"/>
    </x:row>
    <x:row r="60" ht="28" customHeight="1">
      <x:c r="A60" s="55"/>
      <x:c r="B60" s="55"/>
      <x:c r="C60" s="55"/>
      <x:c r="D60" s="57"/>
      <x:c r="E60" s="56"/>
      <x:c r="F60" s="55"/>
      <x:c r="G60" s="55"/>
      <x:c r="H60" s="56"/>
      <x:c r="I60" s="56"/>
      <x:c r="J60" s="57"/>
      <x:c r="K60" s="57"/>
      <x:c r="L60" s="57"/>
      <x:c r="M60" s="56"/>
      <x:c r="N60" s="56"/>
      <x:c r="O60" s="55"/>
      <x:c r="P60" s="55"/>
      <x:c r="Q60" s="55"/>
      <x:c r="R60" s="55"/>
      <x:c r="S60" s="56"/>
      <x:c r="T60" s="55"/>
    </x:row>
    <x:row r="61" ht="28" customHeight="1">
      <x:c r="A61" s="55"/>
      <x:c r="B61" s="55"/>
      <x:c r="C61" s="55"/>
      <x:c r="D61" s="57"/>
      <x:c r="E61" s="56"/>
      <x:c r="F61" s="55"/>
      <x:c r="G61" s="55"/>
      <x:c r="H61" s="56"/>
      <x:c r="I61" s="56"/>
      <x:c r="J61" s="57"/>
      <x:c r="K61" s="57"/>
      <x:c r="L61" s="57"/>
      <x:c r="M61" s="56"/>
      <x:c r="N61" s="56"/>
      <x:c r="O61" s="55"/>
      <x:c r="P61" s="55"/>
      <x:c r="Q61" s="55"/>
      <x:c r="R61" s="55"/>
      <x:c r="S61" s="56"/>
      <x:c r="T61" s="55"/>
    </x:row>
    <x:row r="62" ht="28" customHeight="1">
      <x:c r="A62" s="55"/>
      <x:c r="B62" s="55"/>
      <x:c r="C62" s="55"/>
      <x:c r="D62" s="57"/>
      <x:c r="E62" s="56"/>
      <x:c r="F62" s="55"/>
      <x:c r="G62" s="55"/>
      <x:c r="H62" s="56"/>
      <x:c r="I62" s="56"/>
      <x:c r="J62" s="57"/>
      <x:c r="K62" s="57"/>
      <x:c r="L62" s="57"/>
      <x:c r="M62" s="56"/>
      <x:c r="N62" s="56"/>
      <x:c r="O62" s="55"/>
      <x:c r="P62" s="55"/>
      <x:c r="Q62" s="55"/>
      <x:c r="R62" s="55"/>
      <x:c r="S62" s="56"/>
      <x:c r="T62" s="55"/>
    </x:row>
    <x:row r="63" ht="28" customHeight="1">
      <x:c r="A63" s="55"/>
      <x:c r="B63" s="55"/>
      <x:c r="C63" s="55"/>
      <x:c r="D63" s="57"/>
      <x:c r="E63" s="56"/>
      <x:c r="F63" s="55"/>
      <x:c r="G63" s="55"/>
      <x:c r="H63" s="56"/>
      <x:c r="I63" s="56"/>
      <x:c r="J63" s="57"/>
      <x:c r="K63" s="57"/>
      <x:c r="L63" s="57"/>
      <x:c r="M63" s="56"/>
      <x:c r="N63" s="56"/>
      <x:c r="O63" s="55"/>
      <x:c r="P63" s="55"/>
      <x:c r="Q63" s="55"/>
      <x:c r="R63" s="55"/>
      <x:c r="S63" s="56"/>
      <x:c r="T63" s="55"/>
    </x:row>
    <x:row r="64" ht="28" customHeight="1">
      <x:c r="A64" s="55"/>
      <x:c r="B64" s="55"/>
      <x:c r="C64" s="55"/>
      <x:c r="D64" s="57"/>
      <x:c r="E64" s="56"/>
      <x:c r="F64" s="55"/>
      <x:c r="G64" s="55"/>
      <x:c r="H64" s="56"/>
      <x:c r="I64" s="56"/>
      <x:c r="J64" s="57"/>
      <x:c r="K64" s="57"/>
      <x:c r="L64" s="57"/>
      <x:c r="M64" s="56"/>
      <x:c r="N64" s="56"/>
      <x:c r="O64" s="55"/>
      <x:c r="P64" s="55"/>
      <x:c r="Q64" s="55"/>
      <x:c r="R64" s="55"/>
      <x:c r="S64" s="56"/>
      <x:c r="T64" s="55"/>
    </x:row>
    <x:row r="65" ht="28" customHeight="1">
      <x:c r="A65" s="55"/>
      <x:c r="B65" s="55"/>
      <x:c r="C65" s="55"/>
      <x:c r="D65" s="57"/>
      <x:c r="E65" s="56"/>
      <x:c r="F65" s="55"/>
      <x:c r="G65" s="55"/>
      <x:c r="H65" s="56"/>
      <x:c r="I65" s="56"/>
      <x:c r="J65" s="57"/>
      <x:c r="K65" s="57"/>
      <x:c r="L65" s="57"/>
      <x:c r="M65" s="56"/>
      <x:c r="N65" s="56"/>
      <x:c r="O65" s="55"/>
      <x:c r="P65" s="55"/>
      <x:c r="Q65" s="55"/>
      <x:c r="R65" s="55"/>
      <x:c r="S65" s="56"/>
      <x:c r="T65" s="55"/>
    </x:row>
    <x:row r="66" ht="28" customHeight="1">
      <x:c r="A66" s="55"/>
      <x:c r="B66" s="55"/>
      <x:c r="C66" s="55"/>
      <x:c r="D66" s="57"/>
      <x:c r="E66" s="56"/>
      <x:c r="F66" s="55"/>
      <x:c r="G66" s="55"/>
      <x:c r="H66" s="56"/>
      <x:c r="I66" s="56"/>
      <x:c r="J66" s="57"/>
      <x:c r="K66" s="57"/>
      <x:c r="L66" s="57"/>
      <x:c r="M66" s="56"/>
      <x:c r="N66" s="56"/>
      <x:c r="O66" s="55"/>
      <x:c r="P66" s="55"/>
      <x:c r="Q66" s="55"/>
      <x:c r="R66" s="55"/>
      <x:c r="S66" s="56"/>
      <x:c r="T66" s="55"/>
    </x:row>
    <x:row r="67" ht="28" customHeight="1">
      <x:c r="A67" s="55"/>
      <x:c r="B67" s="55"/>
      <x:c r="C67" s="55"/>
      <x:c r="D67" s="57"/>
      <x:c r="E67" s="56"/>
      <x:c r="F67" s="55"/>
      <x:c r="G67" s="55"/>
      <x:c r="H67" s="56"/>
      <x:c r="I67" s="56"/>
      <x:c r="J67" s="57"/>
      <x:c r="K67" s="57"/>
      <x:c r="L67" s="57"/>
      <x:c r="M67" s="56"/>
      <x:c r="N67" s="56"/>
      <x:c r="O67" s="55"/>
      <x:c r="P67" s="55"/>
      <x:c r="Q67" s="55"/>
      <x:c r="R67" s="55"/>
      <x:c r="S67" s="56"/>
      <x:c r="T67" s="55"/>
    </x:row>
    <x:row r="68" ht="28" customHeight="1">
      <x:c r="A68" s="55"/>
      <x:c r="B68" s="55"/>
      <x:c r="C68" s="55"/>
      <x:c r="D68" s="57"/>
      <x:c r="E68" s="56"/>
      <x:c r="F68" s="55"/>
      <x:c r="G68" s="55"/>
      <x:c r="H68" s="56"/>
      <x:c r="I68" s="56"/>
      <x:c r="J68" s="57"/>
      <x:c r="K68" s="57"/>
      <x:c r="L68" s="57"/>
      <x:c r="M68" s="56"/>
      <x:c r="N68" s="56"/>
      <x:c r="O68" s="55"/>
      <x:c r="P68" s="55"/>
      <x:c r="Q68" s="55"/>
      <x:c r="R68" s="55"/>
      <x:c r="S68" s="56"/>
      <x:c r="T68" s="55"/>
    </x:row>
    <x:row r="69" ht="28" customHeight="1">
      <x:c r="A69" s="55"/>
      <x:c r="B69" s="55"/>
      <x:c r="C69" s="55"/>
      <x:c r="D69" s="57"/>
      <x:c r="E69" s="56"/>
      <x:c r="F69" s="55"/>
      <x:c r="G69" s="55"/>
      <x:c r="H69" s="56"/>
      <x:c r="I69" s="56"/>
      <x:c r="J69" s="57"/>
      <x:c r="K69" s="57"/>
      <x:c r="L69" s="57"/>
      <x:c r="M69" s="56"/>
      <x:c r="N69" s="56"/>
      <x:c r="O69" s="55"/>
      <x:c r="P69" s="55"/>
      <x:c r="Q69" s="55"/>
      <x:c r="R69" s="55"/>
      <x:c r="S69" s="56"/>
      <x:c r="T69" s="55"/>
    </x:row>
    <x:row r="70" ht="28" customHeight="1">
      <x:c r="A70" s="55"/>
      <x:c r="B70" s="55"/>
      <x:c r="C70" s="55"/>
      <x:c r="D70" s="57"/>
      <x:c r="E70" s="56"/>
      <x:c r="F70" s="55"/>
      <x:c r="G70" s="55"/>
      <x:c r="H70" s="56"/>
      <x:c r="I70" s="56"/>
      <x:c r="J70" s="57"/>
      <x:c r="K70" s="57"/>
      <x:c r="L70" s="57"/>
      <x:c r="M70" s="56"/>
      <x:c r="N70" s="56"/>
      <x:c r="O70" s="55"/>
      <x:c r="P70" s="55"/>
      <x:c r="Q70" s="55"/>
      <x:c r="R70" s="55"/>
      <x:c r="S70" s="56"/>
      <x:c r="T70" s="55"/>
    </x:row>
    <x:row r="71" ht="28" customHeight="1">
      <x:c r="A71" s="55"/>
      <x:c r="B71" s="55"/>
      <x:c r="C71" s="55"/>
      <x:c r="D71" s="57"/>
      <x:c r="E71" s="56"/>
      <x:c r="F71" s="55"/>
      <x:c r="G71" s="55"/>
      <x:c r="H71" s="56"/>
      <x:c r="I71" s="56"/>
      <x:c r="J71" s="57"/>
      <x:c r="K71" s="57"/>
      <x:c r="L71" s="57"/>
      <x:c r="M71" s="56"/>
      <x:c r="N71" s="56"/>
      <x:c r="O71" s="55"/>
      <x:c r="P71" s="55"/>
      <x:c r="Q71" s="55"/>
      <x:c r="R71" s="55"/>
      <x:c r="S71" s="56"/>
      <x:c r="T71" s="55"/>
    </x:row>
    <x:row r="72" ht="28" customHeight="1">
      <x:c r="A72" s="55"/>
      <x:c r="B72" s="55"/>
      <x:c r="C72" s="55"/>
      <x:c r="D72" s="57"/>
      <x:c r="E72" s="56"/>
      <x:c r="F72" s="55"/>
      <x:c r="G72" s="55"/>
      <x:c r="H72" s="56"/>
      <x:c r="I72" s="56"/>
      <x:c r="J72" s="57"/>
      <x:c r="K72" s="57"/>
      <x:c r="L72" s="57"/>
      <x:c r="M72" s="56"/>
      <x:c r="N72" s="56"/>
      <x:c r="O72" s="55"/>
      <x:c r="P72" s="55"/>
      <x:c r="Q72" s="55"/>
      <x:c r="R72" s="55"/>
      <x:c r="S72" s="56"/>
      <x:c r="T72" s="55"/>
    </x:row>
    <x:row r="73" ht="28" customHeight="1">
      <x:c r="A73" s="55"/>
      <x:c r="B73" s="55"/>
      <x:c r="C73" s="55"/>
      <x:c r="D73" s="57"/>
      <x:c r="E73" s="56"/>
      <x:c r="F73" s="55"/>
      <x:c r="G73" s="55"/>
      <x:c r="H73" s="56"/>
      <x:c r="I73" s="56"/>
      <x:c r="J73" s="57"/>
      <x:c r="K73" s="57"/>
      <x:c r="L73" s="57"/>
      <x:c r="M73" s="56"/>
      <x:c r="N73" s="56"/>
      <x:c r="O73" s="55"/>
      <x:c r="P73" s="55"/>
      <x:c r="Q73" s="55"/>
      <x:c r="R73" s="55"/>
      <x:c r="S73" s="56"/>
      <x:c r="T73" s="55"/>
    </x:row>
    <x:row r="74" ht="28" customHeight="1">
      <x:c r="A74" s="55"/>
      <x:c r="B74" s="55"/>
      <x:c r="C74" s="55"/>
      <x:c r="D74" s="57"/>
      <x:c r="E74" s="56"/>
      <x:c r="F74" s="55"/>
      <x:c r="G74" s="55"/>
      <x:c r="H74" s="56"/>
      <x:c r="I74" s="56"/>
      <x:c r="J74" s="57"/>
      <x:c r="K74" s="57"/>
      <x:c r="L74" s="57"/>
      <x:c r="M74" s="56"/>
      <x:c r="N74" s="56"/>
      <x:c r="O74" s="55"/>
      <x:c r="P74" s="55"/>
      <x:c r="Q74" s="55"/>
      <x:c r="R74" s="55"/>
      <x:c r="S74" s="56"/>
      <x:c r="T74" s="55"/>
    </x:row>
    <x:row r="75" ht="28" customHeight="1">
      <x:c r="A75" s="55"/>
      <x:c r="B75" s="55"/>
      <x:c r="C75" s="55"/>
      <x:c r="D75" s="57"/>
      <x:c r="E75" s="56"/>
      <x:c r="F75" s="55"/>
      <x:c r="G75" s="55"/>
      <x:c r="H75" s="56"/>
      <x:c r="I75" s="56"/>
      <x:c r="J75" s="57"/>
      <x:c r="K75" s="57"/>
      <x:c r="L75" s="57"/>
      <x:c r="M75" s="56"/>
      <x:c r="N75" s="56"/>
      <x:c r="O75" s="55"/>
      <x:c r="P75" s="55"/>
      <x:c r="Q75" s="55"/>
      <x:c r="R75" s="55"/>
      <x:c r="S75" s="56"/>
      <x:c r="T75" s="55"/>
    </x:row>
    <x:row r="76" ht="28" customHeight="1">
      <x:c r="A76" s="55"/>
      <x:c r="B76" s="55"/>
      <x:c r="C76" s="55"/>
      <x:c r="D76" s="57"/>
      <x:c r="E76" s="56"/>
      <x:c r="F76" s="55"/>
      <x:c r="G76" s="55"/>
      <x:c r="H76" s="56"/>
      <x:c r="I76" s="56"/>
      <x:c r="J76" s="57"/>
      <x:c r="K76" s="57"/>
      <x:c r="L76" s="57"/>
      <x:c r="M76" s="56"/>
      <x:c r="N76" s="56"/>
      <x:c r="O76" s="55"/>
      <x:c r="P76" s="55"/>
      <x:c r="Q76" s="55"/>
      <x:c r="R76" s="55"/>
      <x:c r="S76" s="56"/>
      <x:c r="T76" s="55"/>
    </x:row>
    <x:row r="77" ht="28" customHeight="1">
      <x:c r="A77" s="55"/>
      <x:c r="B77" s="55"/>
      <x:c r="C77" s="55"/>
      <x:c r="D77" s="57"/>
      <x:c r="E77" s="56"/>
      <x:c r="F77" s="55"/>
      <x:c r="G77" s="55"/>
      <x:c r="H77" s="56"/>
      <x:c r="I77" s="56"/>
      <x:c r="J77" s="57"/>
      <x:c r="K77" s="57"/>
      <x:c r="L77" s="57"/>
      <x:c r="M77" s="56"/>
      <x:c r="N77" s="56"/>
      <x:c r="O77" s="55"/>
      <x:c r="P77" s="55"/>
      <x:c r="Q77" s="55"/>
      <x:c r="R77" s="55"/>
      <x:c r="S77" s="56"/>
      <x:c r="T77" s="55"/>
    </x:row>
    <x:row r="78" ht="28" customHeight="1">
      <x:c r="A78" s="55"/>
      <x:c r="B78" s="55"/>
      <x:c r="C78" s="55"/>
      <x:c r="D78" s="57"/>
      <x:c r="E78" s="56"/>
      <x:c r="F78" s="55"/>
      <x:c r="G78" s="55"/>
      <x:c r="H78" s="56"/>
      <x:c r="I78" s="56"/>
      <x:c r="J78" s="57"/>
      <x:c r="K78" s="57"/>
      <x:c r="L78" s="57"/>
      <x:c r="M78" s="56"/>
      <x:c r="N78" s="56"/>
      <x:c r="O78" s="55"/>
      <x:c r="P78" s="55"/>
      <x:c r="Q78" s="55"/>
      <x:c r="R78" s="55"/>
      <x:c r="S78" s="56"/>
      <x:c r="T78" s="55"/>
    </x:row>
    <x:row r="79" ht="28" customHeight="1">
      <x:c r="A79" s="55"/>
      <x:c r="B79" s="55"/>
      <x:c r="C79" s="55"/>
      <x:c r="D79" s="57"/>
      <x:c r="E79" s="56"/>
      <x:c r="F79" s="55"/>
      <x:c r="G79" s="55"/>
      <x:c r="H79" s="56"/>
      <x:c r="I79" s="56"/>
      <x:c r="J79" s="57"/>
      <x:c r="K79" s="57"/>
      <x:c r="L79" s="57"/>
      <x:c r="M79" s="56"/>
      <x:c r="N79" s="56"/>
      <x:c r="O79" s="55"/>
      <x:c r="P79" s="55"/>
      <x:c r="Q79" s="55"/>
      <x:c r="R79" s="55"/>
      <x:c r="S79" s="56"/>
      <x:c r="T79" s="55"/>
    </x:row>
    <x:row r="80" ht="28" customHeight="1">
      <x:c r="A80" s="55"/>
      <x:c r="B80" s="55"/>
      <x:c r="C80" s="55"/>
      <x:c r="D80" s="57"/>
      <x:c r="E80" s="56"/>
      <x:c r="F80" s="55"/>
      <x:c r="G80" s="55"/>
      <x:c r="H80" s="56"/>
      <x:c r="I80" s="56"/>
      <x:c r="J80" s="57"/>
      <x:c r="K80" s="57"/>
      <x:c r="L80" s="57"/>
      <x:c r="M80" s="56"/>
      <x:c r="N80" s="56"/>
      <x:c r="O80" s="55"/>
      <x:c r="P80" s="55"/>
      <x:c r="Q80" s="55"/>
      <x:c r="R80" s="55"/>
      <x:c r="S80" s="56"/>
      <x:c r="T80" s="55"/>
    </x:row>
    <x:row r="81" ht="28" customHeight="1">
      <x:c r="A81" s="55"/>
      <x:c r="B81" s="55"/>
      <x:c r="C81" s="55"/>
      <x:c r="D81" s="57"/>
      <x:c r="E81" s="56"/>
      <x:c r="F81" s="55"/>
      <x:c r="G81" s="55"/>
      <x:c r="H81" s="56"/>
      <x:c r="I81" s="56"/>
      <x:c r="J81" s="57"/>
      <x:c r="K81" s="57"/>
      <x:c r="L81" s="57"/>
      <x:c r="M81" s="56"/>
      <x:c r="N81" s="56"/>
      <x:c r="O81" s="55"/>
      <x:c r="P81" s="55"/>
      <x:c r="Q81" s="55"/>
      <x:c r="R81" s="55"/>
      <x:c r="S81" s="56"/>
      <x:c r="T81" s="55"/>
    </x:row>
    <x:row r="82" ht="28" customHeight="1">
      <x:c r="A82" s="55"/>
      <x:c r="B82" s="55"/>
      <x:c r="C82" s="55"/>
      <x:c r="D82" s="57"/>
      <x:c r="E82" s="56"/>
      <x:c r="F82" s="55"/>
      <x:c r="G82" s="55"/>
      <x:c r="H82" s="56"/>
      <x:c r="I82" s="56"/>
      <x:c r="J82" s="57"/>
      <x:c r="K82" s="57"/>
      <x:c r="L82" s="57"/>
      <x:c r="M82" s="56"/>
      <x:c r="N82" s="56"/>
      <x:c r="O82" s="55"/>
      <x:c r="P82" s="55"/>
      <x:c r="Q82" s="55"/>
      <x:c r="R82" s="55"/>
      <x:c r="S82" s="56"/>
      <x:c r="T82" s="55"/>
    </x:row>
    <x:row r="83" ht="28" customHeight="1">
      <x:c r="A83" s="55"/>
      <x:c r="B83" s="55"/>
      <x:c r="C83" s="55"/>
      <x:c r="D83" s="57"/>
      <x:c r="E83" s="56"/>
      <x:c r="F83" s="55"/>
      <x:c r="G83" s="55"/>
      <x:c r="H83" s="56"/>
      <x:c r="I83" s="56"/>
      <x:c r="J83" s="57"/>
      <x:c r="K83" s="57"/>
      <x:c r="L83" s="57"/>
      <x:c r="M83" s="56"/>
      <x:c r="N83" s="56"/>
      <x:c r="O83" s="55"/>
      <x:c r="P83" s="55"/>
      <x:c r="Q83" s="55"/>
      <x:c r="R83" s="55"/>
      <x:c r="S83" s="56"/>
      <x:c r="T83" s="55"/>
    </x:row>
    <x:row r="84" ht="28" customHeight="1">
      <x:c r="A84" s="55"/>
      <x:c r="B84" s="55"/>
      <x:c r="C84" s="55"/>
      <x:c r="D84" s="57"/>
      <x:c r="E84" s="56"/>
      <x:c r="F84" s="55"/>
      <x:c r="G84" s="55"/>
      <x:c r="H84" s="56"/>
      <x:c r="I84" s="56"/>
      <x:c r="J84" s="57"/>
      <x:c r="K84" s="57"/>
      <x:c r="L84" s="57"/>
      <x:c r="M84" s="56"/>
      <x:c r="N84" s="56"/>
      <x:c r="O84" s="55"/>
      <x:c r="P84" s="55"/>
      <x:c r="Q84" s="55"/>
      <x:c r="R84" s="55"/>
      <x:c r="S84" s="56"/>
      <x:c r="T84" s="55"/>
    </x:row>
    <x:row r="85" ht="28" customHeight="1">
      <x:c r="A85" s="55"/>
      <x:c r="B85" s="55"/>
      <x:c r="C85" s="55"/>
      <x:c r="D85" s="57"/>
      <x:c r="E85" s="56"/>
      <x:c r="F85" s="55"/>
      <x:c r="G85" s="55"/>
      <x:c r="H85" s="56"/>
      <x:c r="I85" s="56"/>
      <x:c r="J85" s="57"/>
      <x:c r="K85" s="57"/>
      <x:c r="L85" s="57"/>
      <x:c r="M85" s="56"/>
      <x:c r="N85" s="56"/>
      <x:c r="O85" s="55"/>
      <x:c r="P85" s="55"/>
      <x:c r="Q85" s="55"/>
      <x:c r="R85" s="55"/>
      <x:c r="S85" s="56"/>
      <x:c r="T85" s="55"/>
    </x:row>
    <x:row r="86" ht="28" customHeight="1">
      <x:c r="A86" s="55"/>
      <x:c r="B86" s="55"/>
      <x:c r="C86" s="55"/>
      <x:c r="D86" s="57"/>
      <x:c r="E86" s="56"/>
      <x:c r="F86" s="55"/>
      <x:c r="G86" s="55"/>
      <x:c r="H86" s="56"/>
      <x:c r="I86" s="56"/>
      <x:c r="J86" s="57"/>
      <x:c r="K86" s="57"/>
      <x:c r="L86" s="57"/>
      <x:c r="M86" s="56"/>
      <x:c r="N86" s="56"/>
      <x:c r="O86" s="55"/>
      <x:c r="P86" s="55"/>
      <x:c r="Q86" s="55"/>
      <x:c r="R86" s="55"/>
      <x:c r="S86" s="56"/>
      <x:c r="T86" s="55"/>
    </x:row>
    <x:row r="87" ht="28" customHeight="1">
      <x:c r="A87" s="55"/>
      <x:c r="B87" s="55"/>
      <x:c r="C87" s="55"/>
      <x:c r="D87" s="57"/>
      <x:c r="E87" s="56"/>
      <x:c r="F87" s="55"/>
      <x:c r="G87" s="55"/>
      <x:c r="H87" s="56"/>
      <x:c r="I87" s="56"/>
      <x:c r="J87" s="57"/>
      <x:c r="K87" s="57"/>
      <x:c r="L87" s="57"/>
      <x:c r="M87" s="56"/>
      <x:c r="N87" s="56"/>
      <x:c r="O87" s="55"/>
      <x:c r="P87" s="55"/>
      <x:c r="Q87" s="55"/>
      <x:c r="R87" s="55"/>
      <x:c r="S87" s="56"/>
      <x:c r="T87" s="55"/>
    </x:row>
    <x:row r="88" ht="28" customHeight="1">
      <x:c r="A88" s="55"/>
      <x:c r="B88" s="55"/>
      <x:c r="C88" s="55"/>
      <x:c r="D88" s="57"/>
      <x:c r="E88" s="56"/>
      <x:c r="F88" s="55"/>
      <x:c r="G88" s="55"/>
      <x:c r="H88" s="56"/>
      <x:c r="I88" s="56"/>
      <x:c r="J88" s="57"/>
      <x:c r="K88" s="57"/>
      <x:c r="L88" s="57"/>
      <x:c r="M88" s="56"/>
      <x:c r="N88" s="56"/>
      <x:c r="O88" s="55"/>
      <x:c r="P88" s="55"/>
      <x:c r="Q88" s="55"/>
      <x:c r="R88" s="55"/>
      <x:c r="S88" s="56"/>
      <x:c r="T88" s="55"/>
    </x:row>
    <x:row r="89" ht="28" customHeight="1">
      <x:c r="A89" s="55"/>
      <x:c r="B89" s="55"/>
      <x:c r="C89" s="55"/>
      <x:c r="D89" s="57"/>
      <x:c r="E89" s="56"/>
      <x:c r="F89" s="55"/>
      <x:c r="G89" s="55"/>
      <x:c r="H89" s="56"/>
      <x:c r="I89" s="56"/>
      <x:c r="J89" s="57"/>
      <x:c r="K89" s="57"/>
      <x:c r="L89" s="57"/>
      <x:c r="M89" s="56"/>
      <x:c r="N89" s="56"/>
      <x:c r="O89" s="55"/>
      <x:c r="P89" s="55"/>
      <x:c r="Q89" s="55"/>
      <x:c r="R89" s="55"/>
      <x:c r="S89" s="56"/>
      <x:c r="T89" s="55"/>
    </x:row>
    <x:row r="90" ht="28" customHeight="1">
      <x:c r="A90" s="55"/>
      <x:c r="B90" s="55"/>
      <x:c r="C90" s="55"/>
      <x:c r="D90" s="57"/>
      <x:c r="E90" s="56"/>
      <x:c r="F90" s="55"/>
      <x:c r="G90" s="55"/>
      <x:c r="H90" s="56"/>
      <x:c r="I90" s="56"/>
      <x:c r="J90" s="57"/>
      <x:c r="K90" s="57"/>
      <x:c r="L90" s="57"/>
      <x:c r="M90" s="56"/>
      <x:c r="N90" s="56"/>
      <x:c r="O90" s="55"/>
      <x:c r="P90" s="55"/>
      <x:c r="Q90" s="55"/>
      <x:c r="R90" s="55"/>
      <x:c r="S90" s="56"/>
      <x:c r="T90" s="55"/>
    </x:row>
    <x:row r="91" ht="28" customHeight="1">
      <x:c r="A91" s="55"/>
      <x:c r="B91" s="55"/>
      <x:c r="C91" s="55"/>
      <x:c r="D91" s="57"/>
      <x:c r="E91" s="56"/>
      <x:c r="F91" s="55"/>
      <x:c r="G91" s="55"/>
      <x:c r="H91" s="56"/>
      <x:c r="I91" s="56"/>
      <x:c r="J91" s="57"/>
      <x:c r="K91" s="57"/>
      <x:c r="L91" s="57"/>
      <x:c r="M91" s="56"/>
      <x:c r="N91" s="56"/>
      <x:c r="O91" s="55"/>
      <x:c r="P91" s="55"/>
      <x:c r="Q91" s="55"/>
      <x:c r="R91" s="55"/>
      <x:c r="S91" s="56"/>
      <x:c r="T91" s="55"/>
    </x:row>
    <x:row r="92" ht="28" customHeight="1">
      <x:c r="A92" s="55"/>
      <x:c r="B92" s="55"/>
      <x:c r="C92" s="55"/>
      <x:c r="D92" s="57"/>
      <x:c r="E92" s="56"/>
      <x:c r="F92" s="55"/>
      <x:c r="G92" s="55"/>
      <x:c r="H92" s="56"/>
      <x:c r="I92" s="56"/>
      <x:c r="J92" s="57"/>
      <x:c r="K92" s="57"/>
      <x:c r="L92" s="57"/>
      <x:c r="M92" s="56"/>
      <x:c r="N92" s="56"/>
      <x:c r="O92" s="55"/>
      <x:c r="P92" s="55"/>
      <x:c r="Q92" s="55"/>
      <x:c r="R92" s="55"/>
      <x:c r="S92" s="56"/>
      <x:c r="T92" s="55"/>
    </x:row>
    <x:row r="93" ht="28" customHeight="1">
      <x:c r="A93" s="55"/>
      <x:c r="B93" s="55"/>
      <x:c r="C93" s="55"/>
      <x:c r="D93" s="57"/>
      <x:c r="E93" s="56"/>
      <x:c r="F93" s="55"/>
      <x:c r="G93" s="55"/>
      <x:c r="H93" s="56"/>
      <x:c r="I93" s="56"/>
      <x:c r="J93" s="57"/>
      <x:c r="K93" s="57"/>
      <x:c r="L93" s="57"/>
      <x:c r="M93" s="56"/>
      <x:c r="N93" s="56"/>
      <x:c r="O93" s="55"/>
      <x:c r="P93" s="55"/>
      <x:c r="Q93" s="55"/>
      <x:c r="R93" s="55"/>
      <x:c r="S93" s="56"/>
      <x:c r="T93" s="55"/>
    </x:row>
    <x:row r="94" ht="28" customHeight="1">
      <x:c r="A94" s="55"/>
      <x:c r="B94" s="55"/>
      <x:c r="C94" s="55"/>
      <x:c r="D94" s="57"/>
      <x:c r="E94" s="56"/>
      <x:c r="F94" s="55"/>
      <x:c r="G94" s="55"/>
      <x:c r="H94" s="56"/>
      <x:c r="I94" s="56"/>
      <x:c r="J94" s="57"/>
      <x:c r="K94" s="57"/>
      <x:c r="L94" s="57"/>
      <x:c r="M94" s="56"/>
      <x:c r="N94" s="56"/>
      <x:c r="O94" s="55"/>
      <x:c r="P94" s="55"/>
      <x:c r="Q94" s="55"/>
      <x:c r="R94" s="55"/>
      <x:c r="S94" s="56"/>
      <x:c r="T94" s="55"/>
    </x:row>
    <x:row r="95" ht="28" customHeight="1">
      <x:c r="A95" s="55"/>
      <x:c r="B95" s="55"/>
      <x:c r="C95" s="55"/>
      <x:c r="D95" s="57"/>
      <x:c r="E95" s="56"/>
      <x:c r="F95" s="55"/>
      <x:c r="G95" s="55"/>
      <x:c r="H95" s="56"/>
      <x:c r="I95" s="56"/>
      <x:c r="J95" s="57"/>
      <x:c r="K95" s="57"/>
      <x:c r="L95" s="57"/>
      <x:c r="M95" s="56"/>
      <x:c r="N95" s="56"/>
      <x:c r="O95" s="55"/>
      <x:c r="P95" s="55"/>
      <x:c r="Q95" s="55"/>
      <x:c r="R95" s="55"/>
      <x:c r="S95" s="56"/>
      <x:c r="T95" s="55"/>
    </x:row>
    <x:row r="96" ht="28" customHeight="1">
      <x:c r="A96" s="55"/>
      <x:c r="B96" s="55"/>
      <x:c r="C96" s="55"/>
      <x:c r="D96" s="57"/>
      <x:c r="E96" s="56"/>
      <x:c r="F96" s="55"/>
      <x:c r="G96" s="55"/>
      <x:c r="H96" s="56"/>
      <x:c r="I96" s="56"/>
      <x:c r="J96" s="57"/>
      <x:c r="K96" s="57"/>
      <x:c r="L96" s="57"/>
      <x:c r="M96" s="56"/>
      <x:c r="N96" s="56"/>
      <x:c r="O96" s="55"/>
      <x:c r="P96" s="55"/>
      <x:c r="Q96" s="55"/>
      <x:c r="R96" s="55"/>
      <x:c r="S96" s="56"/>
      <x:c r="T96" s="55"/>
    </x:row>
    <x:row r="97" ht="28" customHeight="1">
      <x:c r="A97" s="55"/>
      <x:c r="B97" s="55"/>
      <x:c r="C97" s="55"/>
      <x:c r="D97" s="57"/>
      <x:c r="E97" s="56"/>
      <x:c r="F97" s="55"/>
      <x:c r="G97" s="55"/>
      <x:c r="H97" s="56"/>
      <x:c r="I97" s="56"/>
      <x:c r="J97" s="57"/>
      <x:c r="K97" s="57"/>
      <x:c r="L97" s="57"/>
      <x:c r="M97" s="56"/>
      <x:c r="N97" s="56"/>
      <x:c r="O97" s="55"/>
      <x:c r="P97" s="55"/>
      <x:c r="Q97" s="55"/>
      <x:c r="R97" s="55"/>
      <x:c r="S97" s="56"/>
      <x:c r="T97" s="55"/>
    </x:row>
    <x:row r="98" ht="28" customHeight="1">
      <x:c r="A98" s="55"/>
      <x:c r="B98" s="55"/>
      <x:c r="C98" s="55"/>
      <x:c r="D98" s="57"/>
      <x:c r="E98" s="56"/>
      <x:c r="F98" s="55"/>
      <x:c r="G98" s="55"/>
      <x:c r="H98" s="56"/>
      <x:c r="I98" s="56"/>
      <x:c r="J98" s="57"/>
      <x:c r="K98" s="57"/>
      <x:c r="L98" s="57"/>
      <x:c r="M98" s="56"/>
      <x:c r="N98" s="56"/>
      <x:c r="O98" s="55"/>
      <x:c r="P98" s="55"/>
      <x:c r="Q98" s="55"/>
      <x:c r="R98" s="55"/>
      <x:c r="S98" s="56"/>
      <x:c r="T98" s="55"/>
    </x:row>
    <x:row r="99" ht="28" customHeight="1">
      <x:c r="A99" s="55"/>
      <x:c r="B99" s="55"/>
      <x:c r="C99" s="55"/>
      <x:c r="D99" s="57"/>
      <x:c r="E99" s="56"/>
      <x:c r="F99" s="55"/>
      <x:c r="G99" s="55"/>
      <x:c r="H99" s="56"/>
      <x:c r="I99" s="56"/>
      <x:c r="J99" s="57"/>
      <x:c r="K99" s="57"/>
      <x:c r="L99" s="57"/>
      <x:c r="M99" s="56"/>
      <x:c r="N99" s="56"/>
      <x:c r="O99" s="55"/>
      <x:c r="P99" s="55"/>
      <x:c r="Q99" s="55"/>
      <x:c r="R99" s="55"/>
      <x:c r="S99" s="56"/>
      <x:c r="T99" s="55"/>
    </x:row>
    <x:row r="100" ht="28" customHeight="1">
      <x:c r="A100" s="55"/>
      <x:c r="B100" s="55"/>
      <x:c r="C100" s="55"/>
      <x:c r="D100" s="57"/>
      <x:c r="E100" s="56"/>
      <x:c r="F100" s="55"/>
      <x:c r="G100" s="55"/>
      <x:c r="H100" s="56"/>
      <x:c r="I100" s="56"/>
      <x:c r="J100" s="57"/>
      <x:c r="K100" s="57"/>
      <x:c r="L100" s="57"/>
      <x:c r="M100" s="56"/>
      <x:c r="N100" s="56"/>
      <x:c r="O100" s="55"/>
      <x:c r="P100" s="55"/>
      <x:c r="Q100" s="55"/>
      <x:c r="R100" s="55"/>
      <x:c r="S100" s="56"/>
      <x:c r="T100" s="55"/>
    </x:row>
    <x:row r="101" ht="28" customHeight="1">
      <x:c r="A101" s="55"/>
      <x:c r="B101" s="55"/>
      <x:c r="C101" s="55"/>
      <x:c r="D101" s="57"/>
      <x:c r="E101" s="56"/>
      <x:c r="F101" s="55"/>
      <x:c r="G101" s="55"/>
      <x:c r="H101" s="56"/>
      <x:c r="I101" s="56"/>
      <x:c r="J101" s="57"/>
      <x:c r="K101" s="57"/>
      <x:c r="L101" s="57"/>
      <x:c r="M101" s="56"/>
      <x:c r="N101" s="56"/>
      <x:c r="O101" s="55"/>
      <x:c r="P101" s="55"/>
      <x:c r="Q101" s="55"/>
      <x:c r="R101" s="55"/>
      <x:c r="S101" s="56"/>
      <x:c r="T101" s="55"/>
    </x:row>
    <x:row r="102" ht="28" customHeight="1">
      <x:c r="A102" s="55"/>
      <x:c r="B102" s="55"/>
      <x:c r="C102" s="55"/>
      <x:c r="D102" s="57"/>
      <x:c r="E102" s="56"/>
      <x:c r="F102" s="55"/>
      <x:c r="G102" s="55"/>
      <x:c r="H102" s="56"/>
      <x:c r="I102" s="56"/>
      <x:c r="J102" s="57"/>
      <x:c r="K102" s="57"/>
      <x:c r="L102" s="57"/>
      <x:c r="M102" s="56"/>
      <x:c r="N102" s="56"/>
      <x:c r="O102" s="55"/>
      <x:c r="P102" s="55"/>
      <x:c r="Q102" s="55"/>
      <x:c r="R102" s="55"/>
      <x:c r="S102" s="56"/>
      <x:c r="T102" s="55"/>
    </x:row>
    <x:row r="103" ht="28" customHeight="1">
      <x:c r="A103" s="55"/>
      <x:c r="B103" s="55"/>
      <x:c r="C103" s="55"/>
      <x:c r="D103" s="57"/>
      <x:c r="E103" s="56"/>
      <x:c r="F103" s="55"/>
      <x:c r="G103" s="55"/>
      <x:c r="H103" s="56"/>
      <x:c r="I103" s="56"/>
      <x:c r="J103" s="57"/>
      <x:c r="K103" s="57"/>
      <x:c r="L103" s="57"/>
      <x:c r="M103" s="56"/>
      <x:c r="N103" s="56"/>
      <x:c r="O103" s="55"/>
      <x:c r="P103" s="55"/>
      <x:c r="Q103" s="55"/>
      <x:c r="R103" s="55"/>
      <x:c r="S103" s="56"/>
      <x:c r="T103" s="55"/>
    </x:row>
    <x:row r="104" ht="28" customHeight="1">
      <x:c r="A104" s="55"/>
      <x:c r="B104" s="55"/>
      <x:c r="C104" s="55"/>
      <x:c r="D104" s="57"/>
      <x:c r="E104" s="56"/>
      <x:c r="F104" s="55"/>
      <x:c r="G104" s="55"/>
      <x:c r="H104" s="56"/>
      <x:c r="I104" s="56"/>
      <x:c r="J104" s="57"/>
      <x:c r="K104" s="57"/>
      <x:c r="L104" s="57"/>
      <x:c r="M104" s="56"/>
      <x:c r="N104" s="56"/>
      <x:c r="O104" s="55"/>
      <x:c r="P104" s="55"/>
      <x:c r="Q104" s="55"/>
      <x:c r="R104" s="55"/>
      <x:c r="S104" s="56"/>
      <x:c r="T104" s="55"/>
    </x:row>
    <x:row r="105" ht="28" customHeight="1">
      <x:c r="A105" s="55"/>
      <x:c r="B105" s="55"/>
      <x:c r="C105" s="55"/>
      <x:c r="D105" s="57"/>
      <x:c r="E105" s="56"/>
      <x:c r="F105" s="55"/>
      <x:c r="G105" s="55"/>
      <x:c r="H105" s="56"/>
      <x:c r="I105" s="56"/>
      <x:c r="J105" s="57"/>
      <x:c r="K105" s="57"/>
      <x:c r="L105" s="57"/>
      <x:c r="M105" s="56"/>
      <x:c r="N105" s="56"/>
      <x:c r="O105" s="55"/>
      <x:c r="P105" s="55"/>
      <x:c r="Q105" s="55"/>
      <x:c r="R105" s="55"/>
      <x:c r="S105" s="56"/>
      <x:c r="T105" s="55"/>
    </x:row>
    <x:row r="106" ht="28" customHeight="1">
      <x:c r="A106" s="55"/>
      <x:c r="B106" s="55"/>
      <x:c r="C106" s="55"/>
      <x:c r="D106" s="57"/>
      <x:c r="E106" s="56"/>
      <x:c r="F106" s="55"/>
      <x:c r="G106" s="55"/>
      <x:c r="H106" s="56"/>
      <x:c r="I106" s="56"/>
      <x:c r="J106" s="57"/>
      <x:c r="K106" s="57"/>
      <x:c r="L106" s="57"/>
      <x:c r="M106" s="56"/>
      <x:c r="N106" s="56"/>
      <x:c r="O106" s="55"/>
      <x:c r="P106" s="55"/>
      <x:c r="Q106" s="55"/>
      <x:c r="R106" s="55"/>
      <x:c r="S106" s="56"/>
      <x:c r="T106" s="55"/>
    </x:row>
    <x:row r="107" ht="28" customHeight="1">
      <x:c r="A107" s="55"/>
      <x:c r="B107" s="55"/>
      <x:c r="C107" s="55"/>
      <x:c r="D107" s="57"/>
      <x:c r="E107" s="56"/>
      <x:c r="F107" s="55"/>
      <x:c r="G107" s="55"/>
      <x:c r="H107" s="56"/>
      <x:c r="I107" s="56"/>
      <x:c r="J107" s="57"/>
      <x:c r="K107" s="57"/>
      <x:c r="L107" s="57"/>
      <x:c r="M107" s="56"/>
      <x:c r="N107" s="56"/>
      <x:c r="O107" s="55"/>
      <x:c r="P107" s="55"/>
      <x:c r="Q107" s="55"/>
      <x:c r="R107" s="55"/>
      <x:c r="S107" s="56"/>
      <x:c r="T107" s="55"/>
    </x:row>
    <x:row r="108" ht="28" customHeight="1">
      <x:c r="A108" s="55"/>
      <x:c r="B108" s="55"/>
      <x:c r="C108" s="55"/>
      <x:c r="D108" s="57"/>
      <x:c r="E108" s="56"/>
      <x:c r="F108" s="55"/>
      <x:c r="G108" s="55"/>
      <x:c r="H108" s="56"/>
      <x:c r="I108" s="56"/>
      <x:c r="J108" s="57"/>
      <x:c r="K108" s="57"/>
      <x:c r="L108" s="57"/>
      <x:c r="M108" s="56"/>
      <x:c r="N108" s="56"/>
      <x:c r="O108" s="55"/>
      <x:c r="P108" s="55"/>
      <x:c r="Q108" s="55"/>
      <x:c r="R108" s="55"/>
      <x:c r="S108" s="56"/>
      <x:c r="T108" s="55"/>
    </x:row>
    <x:row r="109" ht="28" customHeight="1">
      <x:c r="A109" s="55"/>
      <x:c r="B109" s="55"/>
      <x:c r="C109" s="55"/>
      <x:c r="D109" s="57"/>
      <x:c r="E109" s="56"/>
      <x:c r="F109" s="55"/>
      <x:c r="G109" s="55"/>
      <x:c r="H109" s="56"/>
      <x:c r="I109" s="56"/>
      <x:c r="J109" s="57"/>
      <x:c r="K109" s="57"/>
      <x:c r="L109" s="57"/>
      <x:c r="M109" s="56"/>
      <x:c r="N109" s="56"/>
      <x:c r="O109" s="55"/>
      <x:c r="P109" s="55"/>
      <x:c r="Q109" s="55"/>
      <x:c r="R109" s="55"/>
      <x:c r="S109" s="56"/>
      <x:c r="T109" s="55"/>
    </x:row>
    <x:row r="110" ht="28" customHeight="1">
      <x:c r="A110" s="55"/>
      <x:c r="B110" s="55"/>
      <x:c r="C110" s="55"/>
      <x:c r="D110" s="57"/>
      <x:c r="E110" s="56"/>
      <x:c r="F110" s="55"/>
      <x:c r="G110" s="55"/>
      <x:c r="H110" s="56"/>
      <x:c r="I110" s="56"/>
      <x:c r="J110" s="57"/>
      <x:c r="K110" s="57"/>
      <x:c r="L110" s="57"/>
      <x:c r="M110" s="56"/>
      <x:c r="N110" s="56"/>
      <x:c r="O110" s="55"/>
      <x:c r="P110" s="55"/>
      <x:c r="Q110" s="55"/>
      <x:c r="R110" s="55"/>
      <x:c r="S110" s="56"/>
      <x:c r="T110" s="55"/>
    </x:row>
    <x:row r="111" ht="28" customHeight="1">
      <x:c r="A111" s="55"/>
      <x:c r="B111" s="55"/>
      <x:c r="C111" s="55"/>
      <x:c r="D111" s="57"/>
      <x:c r="E111" s="56"/>
      <x:c r="F111" s="55"/>
      <x:c r="G111" s="55"/>
      <x:c r="H111" s="56"/>
      <x:c r="I111" s="56"/>
      <x:c r="J111" s="57"/>
      <x:c r="K111" s="57"/>
      <x:c r="L111" s="57"/>
      <x:c r="M111" s="56"/>
      <x:c r="N111" s="56"/>
      <x:c r="O111" s="55"/>
      <x:c r="P111" s="55"/>
      <x:c r="Q111" s="55"/>
      <x:c r="R111" s="55"/>
      <x:c r="S111" s="56"/>
      <x:c r="T111" s="55"/>
    </x:row>
    <x:row r="112" ht="28" customHeight="1">
      <x:c r="A112" s="55"/>
      <x:c r="B112" s="55"/>
      <x:c r="C112" s="55"/>
      <x:c r="D112" s="57"/>
      <x:c r="E112" s="56"/>
      <x:c r="F112" s="55"/>
      <x:c r="G112" s="55"/>
      <x:c r="H112" s="56"/>
      <x:c r="I112" s="56"/>
      <x:c r="J112" s="57"/>
      <x:c r="K112" s="57"/>
      <x:c r="L112" s="57"/>
      <x:c r="M112" s="56"/>
      <x:c r="N112" s="56"/>
      <x:c r="O112" s="55"/>
      <x:c r="P112" s="55"/>
      <x:c r="Q112" s="55"/>
      <x:c r="R112" s="55"/>
      <x:c r="S112" s="56"/>
      <x:c r="T112" s="55"/>
    </x:row>
    <x:row r="113" ht="28" customHeight="1">
      <x:c r="A113" s="55"/>
      <x:c r="B113" s="55"/>
      <x:c r="C113" s="55"/>
      <x:c r="D113" s="57"/>
      <x:c r="E113" s="56"/>
      <x:c r="F113" s="55"/>
      <x:c r="G113" s="55"/>
      <x:c r="H113" s="56"/>
      <x:c r="I113" s="56"/>
      <x:c r="J113" s="57"/>
      <x:c r="K113" s="57"/>
      <x:c r="L113" s="57"/>
      <x:c r="M113" s="56"/>
      <x:c r="N113" s="56"/>
      <x:c r="O113" s="55"/>
      <x:c r="P113" s="55"/>
      <x:c r="Q113" s="55"/>
      <x:c r="R113" s="55"/>
      <x:c r="S113" s="56"/>
      <x:c r="T113" s="55"/>
    </x:row>
    <x:row r="114" ht="28" customHeight="1">
      <x:c r="A114" s="55"/>
      <x:c r="B114" s="55"/>
      <x:c r="C114" s="55"/>
      <x:c r="D114" s="57"/>
      <x:c r="E114" s="56"/>
      <x:c r="F114" s="55"/>
      <x:c r="G114" s="55"/>
      <x:c r="H114" s="56"/>
      <x:c r="I114" s="56"/>
      <x:c r="J114" s="57"/>
      <x:c r="K114" s="57"/>
      <x:c r="L114" s="57"/>
      <x:c r="M114" s="56"/>
      <x:c r="N114" s="56"/>
      <x:c r="O114" s="55"/>
      <x:c r="P114" s="55"/>
      <x:c r="Q114" s="55"/>
      <x:c r="R114" s="55"/>
      <x:c r="S114" s="56"/>
      <x:c r="T114" s="55"/>
    </x:row>
    <x:row r="115" ht="28" customHeight="1">
      <x:c r="A115" s="55"/>
      <x:c r="B115" s="55"/>
      <x:c r="C115" s="55"/>
      <x:c r="D115" s="57"/>
      <x:c r="E115" s="56"/>
      <x:c r="F115" s="55"/>
      <x:c r="G115" s="55"/>
      <x:c r="H115" s="56"/>
      <x:c r="I115" s="56"/>
      <x:c r="J115" s="57"/>
      <x:c r="K115" s="57"/>
      <x:c r="L115" s="57"/>
      <x:c r="M115" s="56"/>
      <x:c r="N115" s="56"/>
      <x:c r="O115" s="55"/>
      <x:c r="P115" s="55"/>
      <x:c r="Q115" s="55"/>
      <x:c r="R115" s="55"/>
      <x:c r="S115" s="56"/>
      <x:c r="T115" s="55"/>
    </x:row>
    <x:row r="116" ht="28" customHeight="1">
      <x:c r="A116" s="55"/>
      <x:c r="B116" s="55"/>
      <x:c r="C116" s="55"/>
      <x:c r="D116" s="57"/>
      <x:c r="E116" s="56"/>
      <x:c r="F116" s="55"/>
      <x:c r="G116" s="55"/>
      <x:c r="H116" s="56"/>
      <x:c r="I116" s="56"/>
      <x:c r="J116" s="57"/>
      <x:c r="K116" s="57"/>
      <x:c r="L116" s="57"/>
      <x:c r="M116" s="56"/>
      <x:c r="N116" s="56"/>
      <x:c r="O116" s="55"/>
      <x:c r="P116" s="55"/>
      <x:c r="Q116" s="55"/>
      <x:c r="R116" s="55"/>
      <x:c r="S116" s="56"/>
      <x:c r="T116" s="55"/>
    </x:row>
    <x:row r="117" ht="28" customHeight="1">
      <x:c r="A117" s="55"/>
      <x:c r="B117" s="55"/>
      <x:c r="C117" s="55"/>
      <x:c r="D117" s="57"/>
      <x:c r="E117" s="56"/>
      <x:c r="F117" s="55"/>
      <x:c r="G117" s="55"/>
      <x:c r="H117" s="56"/>
      <x:c r="I117" s="56"/>
      <x:c r="J117" s="57"/>
      <x:c r="K117" s="57"/>
      <x:c r="L117" s="57"/>
      <x:c r="M117" s="56"/>
      <x:c r="N117" s="56"/>
      <x:c r="O117" s="55"/>
      <x:c r="P117" s="55"/>
      <x:c r="Q117" s="55"/>
      <x:c r="R117" s="55"/>
      <x:c r="S117" s="56"/>
      <x:c r="T117" s="55"/>
    </x:row>
    <x:row r="118" ht="28" customHeight="1">
      <x:c r="A118" s="55"/>
      <x:c r="B118" s="55"/>
      <x:c r="C118" s="55"/>
      <x:c r="D118" s="57"/>
      <x:c r="E118" s="56"/>
      <x:c r="F118" s="55"/>
      <x:c r="G118" s="55"/>
      <x:c r="H118" s="56"/>
      <x:c r="I118" s="56"/>
      <x:c r="J118" s="57"/>
      <x:c r="K118" s="57"/>
      <x:c r="L118" s="57"/>
      <x:c r="M118" s="56"/>
      <x:c r="N118" s="56"/>
      <x:c r="O118" s="55"/>
      <x:c r="P118" s="55"/>
      <x:c r="Q118" s="55"/>
      <x:c r="R118" s="55"/>
      <x:c r="S118" s="56"/>
      <x:c r="T118" s="55"/>
    </x:row>
    <x:row r="119" ht="28" customHeight="1">
      <x:c r="A119" s="55"/>
      <x:c r="B119" s="55"/>
      <x:c r="C119" s="55"/>
      <x:c r="D119" s="57"/>
      <x:c r="E119" s="56"/>
      <x:c r="F119" s="55"/>
      <x:c r="G119" s="55"/>
      <x:c r="H119" s="56"/>
      <x:c r="I119" s="56"/>
      <x:c r="J119" s="57"/>
      <x:c r="K119" s="57"/>
      <x:c r="L119" s="57"/>
      <x:c r="M119" s="56"/>
      <x:c r="N119" s="56"/>
      <x:c r="O119" s="55"/>
      <x:c r="P119" s="55"/>
      <x:c r="Q119" s="55"/>
      <x:c r="R119" s="55"/>
      <x:c r="S119" s="56"/>
      <x:c r="T119" s="55"/>
    </x:row>
    <x:row r="120" ht="28" customHeight="1">
      <x:c r="A120" s="55"/>
      <x:c r="B120" s="55"/>
      <x:c r="C120" s="55"/>
      <x:c r="D120" s="57"/>
      <x:c r="E120" s="56"/>
      <x:c r="F120" s="55"/>
      <x:c r="G120" s="55"/>
      <x:c r="H120" s="56"/>
      <x:c r="I120" s="56"/>
      <x:c r="J120" s="57"/>
      <x:c r="K120" s="57"/>
      <x:c r="L120" s="57"/>
      <x:c r="M120" s="56"/>
      <x:c r="N120" s="56"/>
      <x:c r="O120" s="55"/>
      <x:c r="P120" s="55"/>
      <x:c r="Q120" s="55"/>
      <x:c r="R120" s="55"/>
      <x:c r="S120" s="56"/>
      <x:c r="T120" s="55"/>
    </x:row>
    <x:row r="121" ht="28" customHeight="1">
      <x:c r="A121" s="55"/>
      <x:c r="B121" s="55"/>
      <x:c r="C121" s="55"/>
      <x:c r="D121" s="57"/>
      <x:c r="E121" s="56"/>
      <x:c r="F121" s="55"/>
      <x:c r="G121" s="55"/>
      <x:c r="H121" s="56"/>
      <x:c r="I121" s="56"/>
      <x:c r="J121" s="57"/>
      <x:c r="K121" s="57"/>
      <x:c r="L121" s="57"/>
      <x:c r="M121" s="56"/>
      <x:c r="N121" s="56"/>
      <x:c r="O121" s="55"/>
      <x:c r="P121" s="55"/>
      <x:c r="Q121" s="55"/>
      <x:c r="R121" s="55"/>
      <x:c r="S121" s="56"/>
      <x:c r="T121" s="55"/>
    </x:row>
    <x:row r="122" ht="28" customHeight="1">
      <x:c r="A122" s="55"/>
      <x:c r="B122" s="55"/>
      <x:c r="C122" s="55"/>
      <x:c r="D122" s="57"/>
      <x:c r="E122" s="56"/>
      <x:c r="F122" s="55"/>
      <x:c r="G122" s="55"/>
      <x:c r="H122" s="56"/>
      <x:c r="I122" s="56"/>
      <x:c r="J122" s="57"/>
      <x:c r="K122" s="57"/>
      <x:c r="L122" s="57"/>
      <x:c r="M122" s="56"/>
      <x:c r="N122" s="56"/>
      <x:c r="O122" s="55"/>
      <x:c r="P122" s="55"/>
      <x:c r="Q122" s="55"/>
      <x:c r="R122" s="55"/>
      <x:c r="S122" s="56"/>
      <x:c r="T122" s="55"/>
    </x:row>
    <x:row r="123" ht="28" customHeight="1">
      <x:c r="A123" s="55"/>
      <x:c r="B123" s="55"/>
      <x:c r="C123" s="55"/>
      <x:c r="D123" s="57"/>
      <x:c r="E123" s="56"/>
      <x:c r="F123" s="55"/>
      <x:c r="G123" s="55"/>
      <x:c r="H123" s="56"/>
      <x:c r="I123" s="56"/>
      <x:c r="J123" s="57"/>
      <x:c r="K123" s="57"/>
      <x:c r="L123" s="57"/>
      <x:c r="M123" s="56"/>
      <x:c r="N123" s="56"/>
      <x:c r="O123" s="55"/>
      <x:c r="P123" s="55"/>
      <x:c r="Q123" s="55"/>
      <x:c r="R123" s="55"/>
      <x:c r="S123" s="56"/>
      <x:c r="T123" s="55"/>
    </x:row>
    <x:row r="124" ht="28" customHeight="1">
      <x:c r="A124" s="55"/>
      <x:c r="B124" s="55"/>
      <x:c r="C124" s="55"/>
      <x:c r="D124" s="57"/>
      <x:c r="E124" s="56"/>
      <x:c r="F124" s="55"/>
      <x:c r="G124" s="55"/>
      <x:c r="H124" s="56"/>
      <x:c r="I124" s="56"/>
      <x:c r="J124" s="57"/>
      <x:c r="K124" s="57"/>
      <x:c r="L124" s="57"/>
      <x:c r="M124" s="56"/>
      <x:c r="N124" s="56"/>
      <x:c r="O124" s="55"/>
      <x:c r="P124" s="55"/>
      <x:c r="Q124" s="55"/>
      <x:c r="R124" s="55"/>
      <x:c r="S124" s="56"/>
      <x:c r="T124" s="55"/>
    </x:row>
    <x:row r="125" ht="28" customHeight="1">
      <x:c r="A125" s="55"/>
      <x:c r="B125" s="55"/>
      <x:c r="C125" s="55"/>
      <x:c r="D125" s="57"/>
      <x:c r="E125" s="56"/>
      <x:c r="F125" s="55"/>
      <x:c r="G125" s="55"/>
      <x:c r="H125" s="56"/>
      <x:c r="I125" s="56"/>
      <x:c r="J125" s="57"/>
      <x:c r="K125" s="57"/>
      <x:c r="L125" s="57"/>
      <x:c r="M125" s="56"/>
      <x:c r="N125" s="56"/>
      <x:c r="O125" s="55"/>
      <x:c r="P125" s="55"/>
      <x:c r="Q125" s="55"/>
      <x:c r="R125" s="55"/>
      <x:c r="S125" s="56"/>
      <x:c r="T125" s="55"/>
    </x:row>
    <x:row r="126" ht="28" customHeight="1">
      <x:c r="A126" s="55"/>
      <x:c r="B126" s="55"/>
      <x:c r="C126" s="55"/>
      <x:c r="D126" s="57"/>
      <x:c r="E126" s="56"/>
      <x:c r="F126" s="55"/>
      <x:c r="G126" s="55"/>
      <x:c r="H126" s="56"/>
      <x:c r="I126" s="56"/>
      <x:c r="J126" s="57"/>
      <x:c r="K126" s="57"/>
      <x:c r="L126" s="57"/>
      <x:c r="M126" s="56"/>
      <x:c r="N126" s="56"/>
      <x:c r="O126" s="55"/>
      <x:c r="P126" s="55"/>
      <x:c r="Q126" s="55"/>
      <x:c r="R126" s="55"/>
      <x:c r="S126" s="56"/>
      <x:c r="T126" s="55"/>
    </x:row>
    <x:row r="127" ht="28" customHeight="1">
      <x:c r="A127" s="55"/>
      <x:c r="B127" s="55"/>
      <x:c r="C127" s="55"/>
      <x:c r="D127" s="57"/>
      <x:c r="E127" s="56"/>
      <x:c r="F127" s="55"/>
      <x:c r="G127" s="55"/>
      <x:c r="H127" s="56"/>
      <x:c r="I127" s="56"/>
      <x:c r="J127" s="57"/>
      <x:c r="K127" s="57"/>
      <x:c r="L127" s="57"/>
      <x:c r="M127" s="56"/>
      <x:c r="N127" s="56"/>
      <x:c r="O127" s="55"/>
      <x:c r="P127" s="55"/>
      <x:c r="Q127" s="55"/>
      <x:c r="R127" s="55"/>
      <x:c r="S127" s="56"/>
      <x:c r="T127" s="55"/>
    </x:row>
    <x:row r="128" ht="28" customHeight="1">
      <x:c r="A128" s="55"/>
      <x:c r="B128" s="55"/>
      <x:c r="C128" s="55"/>
      <x:c r="D128" s="57"/>
      <x:c r="E128" s="56"/>
      <x:c r="F128" s="55"/>
      <x:c r="G128" s="55"/>
      <x:c r="H128" s="56"/>
      <x:c r="I128" s="56"/>
      <x:c r="J128" s="57"/>
      <x:c r="K128" s="57"/>
      <x:c r="L128" s="57"/>
      <x:c r="M128" s="56"/>
      <x:c r="N128" s="56"/>
      <x:c r="O128" s="55"/>
      <x:c r="P128" s="55"/>
      <x:c r="Q128" s="55"/>
      <x:c r="R128" s="55"/>
      <x:c r="S128" s="56"/>
      <x:c r="T128" s="55"/>
    </x:row>
    <x:row r="129" ht="28" customHeight="1">
      <x:c r="A129" s="55"/>
      <x:c r="B129" s="55"/>
      <x:c r="C129" s="55"/>
      <x:c r="D129" s="57"/>
      <x:c r="E129" s="56"/>
      <x:c r="F129" s="55"/>
      <x:c r="G129" s="55"/>
      <x:c r="H129" s="56"/>
      <x:c r="I129" s="56"/>
      <x:c r="J129" s="57"/>
      <x:c r="K129" s="57"/>
      <x:c r="L129" s="57"/>
      <x:c r="M129" s="56"/>
      <x:c r="N129" s="56"/>
      <x:c r="O129" s="55"/>
      <x:c r="P129" s="55"/>
      <x:c r="Q129" s="55"/>
      <x:c r="R129" s="55"/>
      <x:c r="S129" s="56"/>
      <x:c r="T129" s="55"/>
    </x:row>
    <x:row r="130" ht="28" customHeight="1">
      <x:c r="A130" s="55"/>
      <x:c r="B130" s="55"/>
      <x:c r="C130" s="55"/>
      <x:c r="D130" s="57"/>
      <x:c r="E130" s="56"/>
      <x:c r="F130" s="55"/>
      <x:c r="G130" s="55"/>
      <x:c r="H130" s="56"/>
      <x:c r="I130" s="56"/>
      <x:c r="J130" s="57"/>
      <x:c r="K130" s="57"/>
      <x:c r="L130" s="57"/>
      <x:c r="M130" s="56"/>
      <x:c r="N130" s="56"/>
      <x:c r="O130" s="55"/>
      <x:c r="P130" s="55"/>
      <x:c r="Q130" s="55"/>
      <x:c r="R130" s="55"/>
      <x:c r="S130" s="56"/>
      <x:c r="T130" s="55"/>
    </x:row>
    <x:row r="131" ht="28" customHeight="1">
      <x:c r="A131" s="55"/>
      <x:c r="B131" s="55"/>
      <x:c r="C131" s="55"/>
      <x:c r="D131" s="57"/>
      <x:c r="E131" s="56"/>
      <x:c r="F131" s="55"/>
      <x:c r="G131" s="55"/>
      <x:c r="H131" s="56"/>
      <x:c r="I131" s="56"/>
      <x:c r="J131" s="57"/>
      <x:c r="K131" s="57"/>
      <x:c r="L131" s="57"/>
      <x:c r="M131" s="56"/>
      <x:c r="N131" s="56"/>
      <x:c r="O131" s="55"/>
      <x:c r="P131" s="55"/>
      <x:c r="Q131" s="55"/>
      <x:c r="R131" s="55"/>
      <x:c r="S131" s="56"/>
      <x:c r="T131" s="55"/>
    </x:row>
    <x:row r="132" ht="28" customHeight="1">
      <x:c r="A132" s="55"/>
      <x:c r="B132" s="55"/>
      <x:c r="C132" s="55"/>
      <x:c r="D132" s="57"/>
      <x:c r="E132" s="56"/>
      <x:c r="F132" s="55"/>
      <x:c r="G132" s="55"/>
      <x:c r="H132" s="56"/>
      <x:c r="I132" s="56"/>
      <x:c r="J132" s="57"/>
      <x:c r="K132" s="57"/>
      <x:c r="L132" s="57"/>
      <x:c r="M132" s="56"/>
      <x:c r="N132" s="56"/>
      <x:c r="O132" s="55"/>
      <x:c r="P132" s="55"/>
      <x:c r="Q132" s="55"/>
      <x:c r="R132" s="55"/>
      <x:c r="S132" s="56"/>
      <x:c r="T132" s="55"/>
    </x:row>
    <x:row r="133" ht="28" customHeight="1">
      <x:c r="A133" s="55"/>
      <x:c r="B133" s="55"/>
      <x:c r="C133" s="55"/>
      <x:c r="D133" s="57"/>
      <x:c r="E133" s="56"/>
      <x:c r="F133" s="55"/>
      <x:c r="G133" s="55"/>
      <x:c r="H133" s="56"/>
      <x:c r="I133" s="56"/>
      <x:c r="J133" s="57"/>
      <x:c r="K133" s="57"/>
      <x:c r="L133" s="57"/>
      <x:c r="M133" s="56"/>
      <x:c r="N133" s="56"/>
      <x:c r="O133" s="55"/>
      <x:c r="P133" s="55"/>
      <x:c r="Q133" s="55"/>
      <x:c r="R133" s="55"/>
      <x:c r="S133" s="56"/>
      <x:c r="T133" s="55"/>
    </x:row>
    <x:row r="134" ht="28" customHeight="1">
      <x:c r="A134" s="55"/>
      <x:c r="B134" s="55"/>
      <x:c r="C134" s="55"/>
      <x:c r="D134" s="57"/>
      <x:c r="E134" s="56"/>
      <x:c r="F134" s="55"/>
      <x:c r="G134" s="55"/>
      <x:c r="H134" s="56"/>
      <x:c r="I134" s="56"/>
      <x:c r="J134" s="57"/>
      <x:c r="K134" s="57"/>
      <x:c r="L134" s="57"/>
      <x:c r="M134" s="56"/>
      <x:c r="N134" s="56"/>
      <x:c r="O134" s="55"/>
      <x:c r="P134" s="55"/>
      <x:c r="Q134" s="55"/>
      <x:c r="R134" s="55"/>
      <x:c r="S134" s="56"/>
      <x:c r="T134" s="55"/>
    </x:row>
    <x:row r="135" ht="28" customHeight="1">
      <x:c r="A135" s="55"/>
      <x:c r="B135" s="55"/>
      <x:c r="C135" s="55"/>
      <x:c r="D135" s="57"/>
      <x:c r="E135" s="56"/>
      <x:c r="F135" s="55"/>
      <x:c r="G135" s="55"/>
      <x:c r="H135" s="56"/>
      <x:c r="I135" s="56"/>
      <x:c r="J135" s="57"/>
      <x:c r="K135" s="57"/>
      <x:c r="L135" s="57"/>
      <x:c r="M135" s="56"/>
      <x:c r="N135" s="56"/>
      <x:c r="O135" s="55"/>
      <x:c r="P135" s="55"/>
      <x:c r="Q135" s="55"/>
      <x:c r="R135" s="55"/>
      <x:c r="S135" s="56"/>
      <x:c r="T135" s="55"/>
    </x:row>
    <x:row r="136" ht="28" customHeight="1">
      <x:c r="A136" s="55"/>
      <x:c r="B136" s="55"/>
      <x:c r="C136" s="55"/>
      <x:c r="D136" s="57"/>
      <x:c r="E136" s="56"/>
      <x:c r="F136" s="55"/>
      <x:c r="G136" s="55"/>
      <x:c r="H136" s="56"/>
      <x:c r="I136" s="56"/>
      <x:c r="J136" s="57"/>
      <x:c r="K136" s="57"/>
      <x:c r="L136" s="57"/>
      <x:c r="M136" s="56"/>
      <x:c r="N136" s="56"/>
      <x:c r="O136" s="55"/>
      <x:c r="P136" s="55"/>
      <x:c r="Q136" s="55"/>
      <x:c r="R136" s="55"/>
      <x:c r="S136" s="56"/>
      <x:c r="T136" s="55"/>
    </x:row>
    <x:row r="137" ht="28" customHeight="1">
      <x:c r="A137" s="55"/>
      <x:c r="B137" s="55"/>
      <x:c r="C137" s="55"/>
      <x:c r="D137" s="57"/>
      <x:c r="E137" s="56"/>
      <x:c r="F137" s="55"/>
      <x:c r="G137" s="55"/>
      <x:c r="H137" s="56"/>
      <x:c r="I137" s="56"/>
      <x:c r="J137" s="57"/>
      <x:c r="K137" s="57"/>
      <x:c r="L137" s="57"/>
      <x:c r="M137" s="56"/>
      <x:c r="N137" s="56"/>
      <x:c r="O137" s="55"/>
      <x:c r="P137" s="55"/>
      <x:c r="Q137" s="55"/>
      <x:c r="R137" s="55"/>
      <x:c r="S137" s="56"/>
      <x:c r="T137" s="55"/>
    </x:row>
    <x:row r="138" ht="28" customHeight="1">
      <x:c r="A138" s="55"/>
      <x:c r="B138" s="55"/>
      <x:c r="C138" s="55"/>
      <x:c r="D138" s="57"/>
      <x:c r="E138" s="56"/>
      <x:c r="F138" s="55"/>
      <x:c r="G138" s="55"/>
      <x:c r="H138" s="56"/>
      <x:c r="I138" s="56"/>
      <x:c r="J138" s="57"/>
      <x:c r="K138" s="57"/>
      <x:c r="L138" s="57"/>
      <x:c r="M138" s="56"/>
      <x:c r="N138" s="56"/>
      <x:c r="O138" s="55"/>
      <x:c r="P138" s="55"/>
      <x:c r="Q138" s="55"/>
      <x:c r="R138" s="55"/>
      <x:c r="S138" s="56"/>
      <x:c r="T138" s="55"/>
    </x:row>
    <x:row r="139" ht="28" customHeight="1">
      <x:c r="A139" s="55"/>
      <x:c r="B139" s="55"/>
      <x:c r="C139" s="55"/>
      <x:c r="D139" s="57"/>
      <x:c r="E139" s="56"/>
      <x:c r="F139" s="55"/>
      <x:c r="G139" s="55"/>
      <x:c r="H139" s="56"/>
      <x:c r="I139" s="56"/>
      <x:c r="J139" s="57"/>
      <x:c r="K139" s="57"/>
      <x:c r="L139" s="57"/>
      <x:c r="M139" s="56"/>
      <x:c r="N139" s="56"/>
      <x:c r="O139" s="55"/>
      <x:c r="P139" s="55"/>
      <x:c r="Q139" s="55"/>
      <x:c r="R139" s="55"/>
      <x:c r="S139" s="56"/>
      <x:c r="T139" s="55"/>
    </x:row>
    <x:row r="140" ht="28" customHeight="1">
      <x:c r="A140" s="55"/>
      <x:c r="B140" s="55"/>
      <x:c r="C140" s="55"/>
      <x:c r="D140" s="57"/>
      <x:c r="E140" s="56"/>
      <x:c r="F140" s="55"/>
      <x:c r="G140" s="55"/>
      <x:c r="H140" s="56"/>
      <x:c r="I140" s="56"/>
      <x:c r="J140" s="57"/>
      <x:c r="K140" s="57"/>
      <x:c r="L140" s="57"/>
      <x:c r="M140" s="56"/>
      <x:c r="N140" s="56"/>
      <x:c r="O140" s="55"/>
      <x:c r="P140" s="55"/>
      <x:c r="Q140" s="55"/>
      <x:c r="R140" s="55"/>
      <x:c r="S140" s="56"/>
      <x:c r="T140" s="55"/>
    </x:row>
    <x:row r="141" ht="28" customHeight="1">
      <x:c r="A141" s="55"/>
      <x:c r="B141" s="55"/>
      <x:c r="C141" s="55"/>
      <x:c r="D141" s="57"/>
      <x:c r="E141" s="56"/>
      <x:c r="F141" s="55"/>
      <x:c r="G141" s="55"/>
      <x:c r="H141" s="56"/>
      <x:c r="I141" s="56"/>
      <x:c r="J141" s="57"/>
      <x:c r="K141" s="57"/>
      <x:c r="L141" s="57"/>
      <x:c r="M141" s="56"/>
      <x:c r="N141" s="56"/>
      <x:c r="O141" s="55"/>
      <x:c r="P141" s="55"/>
      <x:c r="Q141" s="55"/>
      <x:c r="R141" s="55"/>
      <x:c r="S141" s="56"/>
      <x:c r="T141" s="55"/>
    </x:row>
    <x:row r="142" ht="28" customHeight="1">
      <x:c r="A142" s="55"/>
      <x:c r="B142" s="55"/>
      <x:c r="C142" s="55"/>
      <x:c r="D142" s="57"/>
      <x:c r="E142" s="56"/>
      <x:c r="F142" s="55"/>
      <x:c r="G142" s="55"/>
      <x:c r="H142" s="56"/>
      <x:c r="I142" s="56"/>
      <x:c r="J142" s="57"/>
      <x:c r="K142" s="57"/>
      <x:c r="L142" s="57"/>
      <x:c r="M142" s="56"/>
      <x:c r="N142" s="56"/>
      <x:c r="O142" s="55"/>
      <x:c r="P142" s="55"/>
      <x:c r="Q142" s="55"/>
      <x:c r="R142" s="55"/>
      <x:c r="S142" s="56"/>
      <x:c r="T142" s="55"/>
    </x:row>
    <x:row r="143" ht="28" customHeight="1">
      <x:c r="A143" s="55"/>
      <x:c r="B143" s="55"/>
      <x:c r="C143" s="55"/>
      <x:c r="D143" s="57"/>
      <x:c r="E143" s="56"/>
      <x:c r="F143" s="55"/>
      <x:c r="G143" s="55"/>
      <x:c r="H143" s="56"/>
      <x:c r="I143" s="56"/>
      <x:c r="J143" s="57"/>
      <x:c r="K143" s="57"/>
      <x:c r="L143" s="57"/>
      <x:c r="M143" s="56"/>
      <x:c r="N143" s="56"/>
      <x:c r="O143" s="55"/>
      <x:c r="P143" s="55"/>
      <x:c r="Q143" s="55"/>
      <x:c r="R143" s="55"/>
      <x:c r="S143" s="56"/>
      <x:c r="T143" s="55"/>
    </x:row>
    <x:row r="144" ht="28" customHeight="1">
      <x:c r="A144" s="55"/>
      <x:c r="B144" s="55"/>
      <x:c r="C144" s="55"/>
      <x:c r="D144" s="57"/>
      <x:c r="E144" s="56"/>
      <x:c r="F144" s="55"/>
      <x:c r="G144" s="55"/>
      <x:c r="H144" s="56"/>
      <x:c r="I144" s="56"/>
      <x:c r="J144" s="57"/>
      <x:c r="K144" s="57"/>
      <x:c r="L144" s="57"/>
      <x:c r="M144" s="56"/>
      <x:c r="N144" s="56"/>
      <x:c r="O144" s="55"/>
      <x:c r="P144" s="55"/>
      <x:c r="Q144" s="55"/>
      <x:c r="R144" s="55"/>
      <x:c r="S144" s="56"/>
      <x:c r="T144" s="55"/>
    </x:row>
    <x:row r="145" ht="28" customHeight="1">
      <x:c r="A145" s="55"/>
      <x:c r="B145" s="55"/>
      <x:c r="C145" s="55"/>
      <x:c r="D145" s="57"/>
      <x:c r="E145" s="56"/>
      <x:c r="F145" s="55"/>
      <x:c r="G145" s="55"/>
      <x:c r="H145" s="56"/>
      <x:c r="I145" s="56"/>
      <x:c r="J145" s="57"/>
      <x:c r="K145" s="57"/>
      <x:c r="L145" s="57"/>
      <x:c r="M145" s="56"/>
      <x:c r="N145" s="56"/>
      <x:c r="O145" s="55"/>
      <x:c r="P145" s="55"/>
      <x:c r="Q145" s="55"/>
      <x:c r="R145" s="55"/>
      <x:c r="S145" s="56"/>
      <x:c r="T145" s="55"/>
    </x:row>
    <x:row r="146" ht="28" customHeight="1">
      <x:c r="A146" s="55"/>
      <x:c r="B146" s="55"/>
      <x:c r="C146" s="55"/>
      <x:c r="D146" s="57"/>
      <x:c r="E146" s="56"/>
      <x:c r="F146" s="55"/>
      <x:c r="G146" s="55"/>
      <x:c r="H146" s="56"/>
      <x:c r="I146" s="56"/>
      <x:c r="J146" s="57"/>
      <x:c r="K146" s="57"/>
      <x:c r="L146" s="57"/>
      <x:c r="M146" s="56"/>
      <x:c r="N146" s="56"/>
      <x:c r="O146" s="55"/>
      <x:c r="P146" s="55"/>
      <x:c r="Q146" s="55"/>
      <x:c r="R146" s="55"/>
      <x:c r="S146" s="56"/>
      <x:c r="T146" s="55"/>
    </x:row>
    <x:row r="147" ht="28" customHeight="1">
      <x:c r="A147" s="55"/>
      <x:c r="B147" s="55"/>
      <x:c r="C147" s="55"/>
      <x:c r="D147" s="57"/>
      <x:c r="E147" s="56"/>
      <x:c r="F147" s="55"/>
      <x:c r="G147" s="55"/>
      <x:c r="H147" s="56"/>
      <x:c r="I147" s="56"/>
      <x:c r="J147" s="57"/>
      <x:c r="K147" s="57"/>
      <x:c r="L147" s="57"/>
      <x:c r="M147" s="56"/>
      <x:c r="N147" s="56"/>
      <x:c r="O147" s="55"/>
      <x:c r="P147" s="55"/>
      <x:c r="Q147" s="55"/>
      <x:c r="R147" s="55"/>
      <x:c r="S147" s="56"/>
      <x:c r="T147" s="55"/>
    </x:row>
    <x:row r="148" ht="28" customHeight="1">
      <x:c r="A148" s="55"/>
      <x:c r="B148" s="55"/>
      <x:c r="C148" s="55"/>
      <x:c r="D148" s="57"/>
      <x:c r="E148" s="56"/>
      <x:c r="F148" s="55"/>
      <x:c r="G148" s="55"/>
      <x:c r="H148" s="56"/>
      <x:c r="I148" s="56"/>
      <x:c r="J148" s="57"/>
      <x:c r="K148" s="57"/>
      <x:c r="L148" s="57"/>
      <x:c r="M148" s="56"/>
      <x:c r="N148" s="56"/>
      <x:c r="O148" s="55"/>
      <x:c r="P148" s="55"/>
      <x:c r="Q148" s="55"/>
      <x:c r="R148" s="55"/>
      <x:c r="S148" s="56"/>
      <x:c r="T148" s="55"/>
    </x:row>
    <x:row r="149" ht="28" customHeight="1">
      <x:c r="A149" s="55"/>
      <x:c r="B149" s="55"/>
      <x:c r="C149" s="55"/>
      <x:c r="D149" s="57"/>
      <x:c r="E149" s="56"/>
      <x:c r="F149" s="55"/>
      <x:c r="G149" s="55"/>
      <x:c r="H149" s="56"/>
      <x:c r="I149" s="56"/>
      <x:c r="J149" s="57"/>
      <x:c r="K149" s="57"/>
      <x:c r="L149" s="57"/>
      <x:c r="M149" s="56"/>
      <x:c r="N149" s="56"/>
      <x:c r="O149" s="55"/>
      <x:c r="P149" s="55"/>
      <x:c r="Q149" s="55"/>
      <x:c r="R149" s="55"/>
      <x:c r="S149" s="56"/>
      <x:c r="T149" s="55"/>
    </x:row>
    <x:row r="150" ht="28" customHeight="1">
      <x:c r="A150" s="55"/>
      <x:c r="B150" s="55"/>
      <x:c r="C150" s="55"/>
      <x:c r="D150" s="57"/>
      <x:c r="E150" s="56"/>
      <x:c r="F150" s="55"/>
      <x:c r="G150" s="55"/>
      <x:c r="H150" s="56"/>
      <x:c r="I150" s="56"/>
      <x:c r="J150" s="57"/>
      <x:c r="K150" s="57"/>
      <x:c r="L150" s="57"/>
      <x:c r="M150" s="56"/>
      <x:c r="N150" s="56"/>
      <x:c r="O150" s="55"/>
      <x:c r="P150" s="55"/>
      <x:c r="Q150" s="55"/>
      <x:c r="R150" s="55"/>
      <x:c r="S150" s="56"/>
      <x:c r="T150" s="55"/>
    </x:row>
    <x:row r="151" ht="28" customHeight="1">
      <x:c r="A151" s="55"/>
      <x:c r="B151" s="55"/>
      <x:c r="C151" s="55"/>
      <x:c r="D151" s="57"/>
      <x:c r="E151" s="56"/>
      <x:c r="F151" s="55"/>
      <x:c r="G151" s="55"/>
      <x:c r="H151" s="56"/>
      <x:c r="I151" s="56"/>
      <x:c r="J151" s="57"/>
      <x:c r="K151" s="57"/>
      <x:c r="L151" s="57"/>
      <x:c r="M151" s="56"/>
      <x:c r="N151" s="56"/>
      <x:c r="O151" s="55"/>
      <x:c r="P151" s="55"/>
      <x:c r="Q151" s="55"/>
      <x:c r="R151" s="55"/>
      <x:c r="S151" s="56"/>
      <x:c r="T151" s="55"/>
    </x:row>
    <x:row r="152" ht="28" customHeight="1">
      <x:c r="A152" s="55"/>
      <x:c r="B152" s="55"/>
      <x:c r="C152" s="55"/>
      <x:c r="D152" s="57"/>
      <x:c r="E152" s="56"/>
      <x:c r="F152" s="55"/>
      <x:c r="G152" s="55"/>
      <x:c r="H152" s="56"/>
      <x:c r="I152" s="56"/>
      <x:c r="J152" s="57"/>
      <x:c r="K152" s="57"/>
      <x:c r="L152" s="57"/>
      <x:c r="M152" s="56"/>
      <x:c r="N152" s="56"/>
      <x:c r="O152" s="55"/>
      <x:c r="P152" s="55"/>
      <x:c r="Q152" s="55"/>
      <x:c r="R152" s="55"/>
      <x:c r="S152" s="56"/>
      <x:c r="T152" s="55"/>
    </x:row>
    <x:row r="153" ht="28" customHeight="1">
      <x:c r="A153" s="55"/>
      <x:c r="B153" s="55"/>
      <x:c r="C153" s="55"/>
      <x:c r="D153" s="57"/>
      <x:c r="E153" s="56"/>
      <x:c r="F153" s="55"/>
      <x:c r="G153" s="55"/>
      <x:c r="H153" s="56"/>
      <x:c r="I153" s="56"/>
      <x:c r="J153" s="57"/>
      <x:c r="K153" s="57"/>
      <x:c r="L153" s="57"/>
      <x:c r="M153" s="56"/>
      <x:c r="N153" s="56"/>
      <x:c r="O153" s="55"/>
      <x:c r="P153" s="55"/>
      <x:c r="Q153" s="55"/>
      <x:c r="R153" s="55"/>
      <x:c r="S153" s="56"/>
      <x:c r="T153" s="55"/>
    </x:row>
    <x:row r="154" ht="28" customHeight="1">
      <x:c r="A154" s="55"/>
      <x:c r="B154" s="55"/>
      <x:c r="C154" s="55"/>
      <x:c r="D154" s="57"/>
      <x:c r="E154" s="56"/>
      <x:c r="F154" s="55"/>
      <x:c r="G154" s="55"/>
      <x:c r="H154" s="56"/>
      <x:c r="I154" s="56"/>
      <x:c r="J154" s="57"/>
      <x:c r="K154" s="57"/>
      <x:c r="L154" s="57"/>
      <x:c r="M154" s="56"/>
      <x:c r="N154" s="56"/>
      <x:c r="O154" s="55"/>
      <x:c r="P154" s="55"/>
      <x:c r="Q154" s="55"/>
      <x:c r="R154" s="55"/>
      <x:c r="S154" s="56"/>
      <x:c r="T154" s="55"/>
    </x:row>
    <x:row r="155" ht="28" customHeight="1">
      <x:c r="A155" s="55"/>
      <x:c r="B155" s="55"/>
      <x:c r="C155" s="55"/>
      <x:c r="D155" s="57"/>
      <x:c r="E155" s="56"/>
      <x:c r="F155" s="55"/>
      <x:c r="G155" s="55"/>
      <x:c r="H155" s="56"/>
      <x:c r="I155" s="56"/>
      <x:c r="J155" s="57"/>
      <x:c r="K155" s="57"/>
      <x:c r="L155" s="57"/>
      <x:c r="M155" s="56"/>
      <x:c r="N155" s="56"/>
      <x:c r="O155" s="55"/>
      <x:c r="P155" s="55"/>
      <x:c r="Q155" s="55"/>
      <x:c r="R155" s="55"/>
      <x:c r="S155" s="56"/>
      <x:c r="T155" s="55"/>
    </x:row>
    <x:row r="156" ht="28" customHeight="1">
      <x:c r="A156" s="55"/>
      <x:c r="B156" s="55"/>
      <x:c r="C156" s="55"/>
      <x:c r="D156" s="57"/>
      <x:c r="E156" s="56"/>
      <x:c r="F156" s="55"/>
      <x:c r="G156" s="55"/>
      <x:c r="H156" s="56"/>
      <x:c r="I156" s="56"/>
      <x:c r="J156" s="57"/>
      <x:c r="K156" s="57"/>
      <x:c r="L156" s="57"/>
      <x:c r="M156" s="56"/>
      <x:c r="N156" s="56"/>
      <x:c r="O156" s="55"/>
      <x:c r="P156" s="55"/>
      <x:c r="Q156" s="55"/>
      <x:c r="R156" s="55"/>
      <x:c r="S156" s="56"/>
      <x:c r="T156" s="55"/>
    </x:row>
    <x:row r="157" ht="28" customHeight="1">
      <x:c r="A157" s="55"/>
      <x:c r="B157" s="55"/>
      <x:c r="C157" s="55"/>
      <x:c r="D157" s="57"/>
      <x:c r="E157" s="56"/>
      <x:c r="F157" s="55"/>
      <x:c r="G157" s="55"/>
      <x:c r="H157" s="56"/>
      <x:c r="I157" s="56"/>
      <x:c r="J157" s="57"/>
      <x:c r="K157" s="57"/>
      <x:c r="L157" s="57"/>
      <x:c r="M157" s="56"/>
      <x:c r="N157" s="56"/>
      <x:c r="O157" s="55"/>
      <x:c r="P157" s="55"/>
      <x:c r="Q157" s="55"/>
      <x:c r="R157" s="55"/>
      <x:c r="S157" s="56"/>
      <x:c r="T157" s="55"/>
    </x:row>
    <x:row r="158" ht="28" customHeight="1">
      <x:c r="A158" s="55"/>
      <x:c r="B158" s="55"/>
      <x:c r="C158" s="55"/>
      <x:c r="D158" s="57"/>
      <x:c r="E158" s="56"/>
      <x:c r="F158" s="55"/>
      <x:c r="G158" s="55"/>
      <x:c r="H158" s="56"/>
      <x:c r="I158" s="56"/>
      <x:c r="J158" s="57"/>
      <x:c r="K158" s="57"/>
      <x:c r="L158" s="57"/>
      <x:c r="M158" s="56"/>
      <x:c r="N158" s="56"/>
      <x:c r="O158" s="55"/>
      <x:c r="P158" s="55"/>
      <x:c r="Q158" s="55"/>
      <x:c r="R158" s="55"/>
      <x:c r="S158" s="56"/>
      <x:c r="T158" s="55"/>
    </x:row>
    <x:row r="159" ht="28" customHeight="1">
      <x:c r="A159" s="55"/>
      <x:c r="B159" s="55"/>
      <x:c r="C159" s="55"/>
      <x:c r="D159" s="57"/>
      <x:c r="E159" s="56"/>
      <x:c r="F159" s="55"/>
      <x:c r="G159" s="55"/>
      <x:c r="H159" s="56"/>
      <x:c r="I159" s="56"/>
      <x:c r="J159" s="57"/>
      <x:c r="K159" s="57"/>
      <x:c r="L159" s="57"/>
      <x:c r="M159" s="56"/>
      <x:c r="N159" s="56"/>
      <x:c r="O159" s="55"/>
      <x:c r="P159" s="55"/>
      <x:c r="Q159" s="55"/>
      <x:c r="R159" s="55"/>
      <x:c r="S159" s="56"/>
      <x:c r="T159" s="55"/>
    </x:row>
    <x:row r="160" ht="28" customHeight="1">
      <x:c r="A160" s="55"/>
      <x:c r="B160" s="55"/>
      <x:c r="C160" s="55"/>
      <x:c r="D160" s="57"/>
      <x:c r="E160" s="56"/>
      <x:c r="F160" s="55"/>
      <x:c r="G160" s="55"/>
      <x:c r="H160" s="56"/>
      <x:c r="I160" s="56"/>
      <x:c r="J160" s="57"/>
      <x:c r="K160" s="57"/>
      <x:c r="L160" s="57"/>
      <x:c r="M160" s="56"/>
      <x:c r="N160" s="56"/>
      <x:c r="O160" s="55"/>
      <x:c r="P160" s="55"/>
      <x:c r="Q160" s="55"/>
      <x:c r="R160" s="55"/>
      <x:c r="S160" s="56"/>
      <x:c r="T160" s="55"/>
    </x:row>
    <x:row r="161" ht="28" customHeight="1">
      <x:c r="A161" s="55"/>
      <x:c r="B161" s="55"/>
      <x:c r="C161" s="55"/>
      <x:c r="D161" s="57"/>
      <x:c r="E161" s="56"/>
      <x:c r="F161" s="55"/>
      <x:c r="G161" s="55"/>
      <x:c r="H161" s="56"/>
      <x:c r="I161" s="56"/>
      <x:c r="J161" s="57"/>
      <x:c r="K161" s="57"/>
      <x:c r="L161" s="57"/>
      <x:c r="M161" s="56"/>
      <x:c r="N161" s="56"/>
      <x:c r="O161" s="55"/>
      <x:c r="P161" s="55"/>
      <x:c r="Q161" s="55"/>
      <x:c r="R161" s="55"/>
      <x:c r="S161" s="56"/>
      <x:c r="T161" s="55"/>
    </x:row>
    <x:row r="162" ht="28" customHeight="1">
      <x:c r="A162" s="55"/>
      <x:c r="B162" s="55"/>
      <x:c r="C162" s="55"/>
      <x:c r="D162" s="57"/>
      <x:c r="E162" s="56"/>
      <x:c r="F162" s="55"/>
      <x:c r="G162" s="55"/>
      <x:c r="H162" s="56"/>
      <x:c r="I162" s="56"/>
      <x:c r="J162" s="57"/>
      <x:c r="K162" s="57"/>
      <x:c r="L162" s="57"/>
      <x:c r="M162" s="56"/>
      <x:c r="N162" s="56"/>
      <x:c r="O162" s="55"/>
      <x:c r="P162" s="55"/>
      <x:c r="Q162" s="55"/>
      <x:c r="R162" s="55"/>
      <x:c r="S162" s="56"/>
      <x:c r="T162" s="55"/>
    </x:row>
    <x:row r="163" ht="28" customHeight="1">
      <x:c r="A163" s="55"/>
      <x:c r="B163" s="55"/>
      <x:c r="C163" s="55"/>
      <x:c r="D163" s="57"/>
      <x:c r="E163" s="56"/>
      <x:c r="F163" s="55"/>
      <x:c r="G163" s="55"/>
      <x:c r="H163" s="56"/>
      <x:c r="I163" s="56"/>
      <x:c r="J163" s="57"/>
      <x:c r="K163" s="57"/>
      <x:c r="L163" s="57"/>
      <x:c r="M163" s="56"/>
      <x:c r="N163" s="56"/>
      <x:c r="O163" s="55"/>
      <x:c r="P163" s="55"/>
      <x:c r="Q163" s="55"/>
      <x:c r="R163" s="55"/>
      <x:c r="S163" s="56"/>
      <x:c r="T163" s="55"/>
    </x:row>
    <x:row r="164" ht="28" customHeight="1">
      <x:c r="A164" s="55"/>
      <x:c r="B164" s="55"/>
      <x:c r="C164" s="55"/>
      <x:c r="D164" s="57"/>
      <x:c r="E164" s="56"/>
      <x:c r="F164" s="55"/>
      <x:c r="G164" s="55"/>
      <x:c r="H164" s="56"/>
      <x:c r="I164" s="56"/>
      <x:c r="J164" s="57"/>
      <x:c r="K164" s="57"/>
      <x:c r="L164" s="57"/>
      <x:c r="M164" s="56"/>
      <x:c r="N164" s="56"/>
      <x:c r="O164" s="55"/>
      <x:c r="P164" s="55"/>
      <x:c r="Q164" s="55"/>
      <x:c r="R164" s="55"/>
      <x:c r="S164" s="56"/>
      <x:c r="T164" s="55"/>
    </x:row>
    <x:row r="165" ht="28" customHeight="1">
      <x:c r="A165" s="55"/>
      <x:c r="B165" s="55"/>
      <x:c r="C165" s="55"/>
      <x:c r="D165" s="57"/>
      <x:c r="E165" s="56"/>
      <x:c r="F165" s="55"/>
      <x:c r="G165" s="55"/>
      <x:c r="H165" s="56"/>
      <x:c r="I165" s="56"/>
      <x:c r="J165" s="57"/>
      <x:c r="K165" s="57"/>
      <x:c r="L165" s="57"/>
      <x:c r="M165" s="56"/>
      <x:c r="N165" s="56"/>
      <x:c r="O165" s="55"/>
      <x:c r="P165" s="55"/>
      <x:c r="Q165" s="55"/>
      <x:c r="R165" s="55"/>
      <x:c r="S165" s="56"/>
      <x:c r="T165" s="55"/>
    </x:row>
    <x:row r="166" ht="28" customHeight="1">
      <x:c r="A166" s="55"/>
      <x:c r="B166" s="55"/>
      <x:c r="C166" s="55"/>
      <x:c r="D166" s="57"/>
      <x:c r="E166" s="56"/>
      <x:c r="F166" s="55"/>
      <x:c r="G166" s="55"/>
      <x:c r="H166" s="56"/>
      <x:c r="I166" s="56"/>
      <x:c r="J166" s="57"/>
      <x:c r="K166" s="57"/>
      <x:c r="L166" s="57"/>
      <x:c r="M166" s="56"/>
      <x:c r="N166" s="56"/>
      <x:c r="O166" s="55"/>
      <x:c r="P166" s="55"/>
      <x:c r="Q166" s="55"/>
      <x:c r="R166" s="55"/>
      <x:c r="S166" s="56"/>
      <x:c r="T166" s="55"/>
    </x:row>
    <x:row r="167" ht="28" customHeight="1">
      <x:c r="A167" s="55"/>
      <x:c r="B167" s="55"/>
      <x:c r="C167" s="55"/>
      <x:c r="D167" s="57"/>
      <x:c r="E167" s="56"/>
      <x:c r="F167" s="55"/>
      <x:c r="G167" s="55"/>
      <x:c r="H167" s="56"/>
      <x:c r="I167" s="56"/>
      <x:c r="J167" s="57"/>
      <x:c r="K167" s="57"/>
      <x:c r="L167" s="57"/>
      <x:c r="M167" s="56"/>
      <x:c r="N167" s="56"/>
      <x:c r="O167" s="55"/>
      <x:c r="P167" s="55"/>
      <x:c r="Q167" s="55"/>
      <x:c r="R167" s="55"/>
      <x:c r="S167" s="56"/>
      <x:c r="T167" s="55"/>
    </x:row>
    <x:row r="168" ht="28" customHeight="1">
      <x:c r="A168" s="55"/>
      <x:c r="B168" s="55"/>
      <x:c r="C168" s="55"/>
      <x:c r="D168" s="57"/>
      <x:c r="E168" s="56"/>
      <x:c r="F168" s="55"/>
      <x:c r="G168" s="55"/>
      <x:c r="H168" s="56"/>
      <x:c r="I168" s="56"/>
      <x:c r="J168" s="57"/>
      <x:c r="K168" s="57"/>
      <x:c r="L168" s="57"/>
      <x:c r="M168" s="56"/>
      <x:c r="N168" s="56"/>
      <x:c r="O168" s="55"/>
      <x:c r="P168" s="55"/>
      <x:c r="Q168" s="55"/>
      <x:c r="R168" s="55"/>
      <x:c r="S168" s="56"/>
      <x:c r="T168" s="55"/>
    </x:row>
    <x:row r="169" ht="28" customHeight="1">
      <x:c r="A169" s="55"/>
      <x:c r="B169" s="55"/>
      <x:c r="C169" s="55"/>
      <x:c r="D169" s="57"/>
      <x:c r="E169" s="56"/>
      <x:c r="F169" s="55"/>
      <x:c r="G169" s="55"/>
      <x:c r="H169" s="56"/>
      <x:c r="I169" s="56"/>
      <x:c r="J169" s="57"/>
      <x:c r="K169" s="57"/>
      <x:c r="L169" s="57"/>
      <x:c r="M169" s="56"/>
      <x:c r="N169" s="56"/>
      <x:c r="O169" s="55"/>
      <x:c r="P169" s="55"/>
      <x:c r="Q169" s="55"/>
      <x:c r="R169" s="55"/>
      <x:c r="S169" s="56"/>
      <x:c r="T169" s="55"/>
    </x:row>
    <x:row r="170" ht="28" customHeight="1">
      <x:c r="A170" s="55"/>
      <x:c r="B170" s="55"/>
      <x:c r="C170" s="55"/>
      <x:c r="D170" s="57"/>
      <x:c r="E170" s="56"/>
      <x:c r="F170" s="55"/>
      <x:c r="G170" s="55"/>
      <x:c r="H170" s="56"/>
      <x:c r="I170" s="56"/>
      <x:c r="J170" s="57"/>
      <x:c r="K170" s="57"/>
      <x:c r="L170" s="57"/>
      <x:c r="M170" s="56"/>
      <x:c r="N170" s="56"/>
      <x:c r="O170" s="55"/>
      <x:c r="P170" s="55"/>
      <x:c r="Q170" s="55"/>
      <x:c r="R170" s="55"/>
      <x:c r="S170" s="56"/>
      <x:c r="T170" s="55"/>
    </x:row>
    <x:row r="171" ht="28" customHeight="1">
      <x:c r="A171" s="55"/>
      <x:c r="B171" s="55"/>
      <x:c r="C171" s="55"/>
      <x:c r="D171" s="57"/>
      <x:c r="E171" s="56"/>
      <x:c r="F171" s="55"/>
      <x:c r="G171" s="55"/>
      <x:c r="H171" s="56"/>
      <x:c r="I171" s="56"/>
      <x:c r="J171" s="57"/>
      <x:c r="K171" s="57"/>
      <x:c r="L171" s="57"/>
      <x:c r="M171" s="56"/>
      <x:c r="N171" s="56"/>
      <x:c r="O171" s="55"/>
      <x:c r="P171" s="55"/>
      <x:c r="Q171" s="55"/>
      <x:c r="R171" s="55"/>
      <x:c r="S171" s="56"/>
      <x:c r="T171" s="55"/>
    </x:row>
    <x:row r="172" ht="28" customHeight="1">
      <x:c r="A172" s="55"/>
      <x:c r="B172" s="55"/>
      <x:c r="C172" s="55"/>
      <x:c r="D172" s="57"/>
      <x:c r="E172" s="56"/>
      <x:c r="F172" s="55"/>
      <x:c r="G172" s="55"/>
      <x:c r="H172" s="56"/>
      <x:c r="I172" s="56"/>
      <x:c r="J172" s="57"/>
      <x:c r="K172" s="57"/>
      <x:c r="L172" s="57"/>
      <x:c r="M172" s="56"/>
      <x:c r="N172" s="56"/>
      <x:c r="O172" s="55"/>
      <x:c r="P172" s="55"/>
      <x:c r="Q172" s="55"/>
      <x:c r="R172" s="55"/>
      <x:c r="S172" s="56"/>
      <x:c r="T172" s="55"/>
    </x:row>
    <x:row r="173" ht="28" customHeight="1">
      <x:c r="A173" s="55"/>
      <x:c r="B173" s="55"/>
      <x:c r="C173" s="55"/>
      <x:c r="D173" s="57"/>
      <x:c r="E173" s="56"/>
      <x:c r="F173" s="55"/>
      <x:c r="G173" s="55"/>
      <x:c r="H173" s="56"/>
      <x:c r="I173" s="56"/>
      <x:c r="J173" s="57"/>
      <x:c r="K173" s="57"/>
      <x:c r="L173" s="57"/>
      <x:c r="M173" s="56"/>
      <x:c r="N173" s="56"/>
      <x:c r="O173" s="55"/>
      <x:c r="P173" s="55"/>
      <x:c r="Q173" s="55"/>
      <x:c r="R173" s="55"/>
      <x:c r="S173" s="56"/>
      <x:c r="T173" s="55"/>
    </x:row>
    <x:row r="174" ht="28" customHeight="1">
      <x:c r="A174" s="55"/>
      <x:c r="B174" s="55"/>
      <x:c r="C174" s="55"/>
      <x:c r="D174" s="57"/>
      <x:c r="E174" s="56"/>
      <x:c r="F174" s="55"/>
      <x:c r="G174" s="55"/>
      <x:c r="H174" s="56"/>
      <x:c r="I174" s="56"/>
      <x:c r="J174" s="57"/>
      <x:c r="K174" s="57"/>
      <x:c r="L174" s="57"/>
      <x:c r="M174" s="56"/>
      <x:c r="N174" s="56"/>
      <x:c r="O174" s="55"/>
      <x:c r="P174" s="55"/>
      <x:c r="Q174" s="55"/>
      <x:c r="R174" s="55"/>
      <x:c r="S174" s="56"/>
      <x:c r="T174" s="55"/>
    </x:row>
    <x:row r="175" ht="28" customHeight="1">
      <x:c r="A175" s="55"/>
      <x:c r="B175" s="55"/>
      <x:c r="C175" s="55"/>
      <x:c r="D175" s="57"/>
      <x:c r="E175" s="56"/>
      <x:c r="F175" s="55"/>
      <x:c r="G175" s="55"/>
      <x:c r="H175" s="56"/>
      <x:c r="I175" s="56"/>
      <x:c r="J175" s="57"/>
      <x:c r="K175" s="57"/>
      <x:c r="L175" s="57"/>
      <x:c r="M175" s="56"/>
      <x:c r="N175" s="56"/>
      <x:c r="O175" s="55"/>
      <x:c r="P175" s="55"/>
      <x:c r="Q175" s="55"/>
      <x:c r="R175" s="55"/>
      <x:c r="S175" s="56"/>
      <x:c r="T175" s="55"/>
    </x:row>
    <x:row r="176" ht="28" customHeight="1">
      <x:c r="A176" s="55"/>
      <x:c r="B176" s="55"/>
      <x:c r="C176" s="55"/>
      <x:c r="D176" s="57"/>
      <x:c r="E176" s="56"/>
      <x:c r="F176" s="55"/>
      <x:c r="G176" s="55"/>
      <x:c r="H176" s="56"/>
      <x:c r="I176" s="56"/>
      <x:c r="J176" s="57"/>
      <x:c r="K176" s="57"/>
      <x:c r="L176" s="57"/>
      <x:c r="M176" s="56"/>
      <x:c r="N176" s="56"/>
      <x:c r="O176" s="55"/>
      <x:c r="P176" s="55"/>
      <x:c r="Q176" s="55"/>
      <x:c r="R176" s="55"/>
      <x:c r="S176" s="56"/>
      <x:c r="T176" s="55"/>
    </x:row>
    <x:row r="177" ht="28" customHeight="1">
      <x:c r="A177" s="55"/>
      <x:c r="B177" s="55"/>
      <x:c r="C177" s="55"/>
      <x:c r="D177" s="57"/>
      <x:c r="E177" s="56"/>
      <x:c r="F177" s="55"/>
      <x:c r="G177" s="55"/>
      <x:c r="H177" s="56"/>
      <x:c r="I177" s="56"/>
      <x:c r="J177" s="57"/>
      <x:c r="K177" s="57"/>
      <x:c r="L177" s="57"/>
      <x:c r="M177" s="56"/>
      <x:c r="N177" s="56"/>
      <x:c r="O177" s="55"/>
      <x:c r="P177" s="55"/>
      <x:c r="Q177" s="55"/>
      <x:c r="R177" s="55"/>
      <x:c r="S177" s="56"/>
      <x:c r="T177" s="55"/>
    </x:row>
    <x:row r="178" ht="28" customHeight="1">
      <x:c r="A178" s="55"/>
      <x:c r="B178" s="55"/>
      <x:c r="C178" s="55"/>
      <x:c r="D178" s="57"/>
      <x:c r="E178" s="56"/>
      <x:c r="F178" s="55"/>
      <x:c r="G178" s="55"/>
      <x:c r="H178" s="56"/>
      <x:c r="I178" s="56"/>
      <x:c r="J178" s="57"/>
      <x:c r="K178" s="57"/>
      <x:c r="L178" s="57"/>
      <x:c r="M178" s="56"/>
      <x:c r="N178" s="56"/>
      <x:c r="O178" s="55"/>
      <x:c r="P178" s="55"/>
      <x:c r="Q178" s="55"/>
      <x:c r="R178" s="55"/>
      <x:c r="S178" s="56"/>
      <x:c r="T178" s="55"/>
    </x:row>
    <x:row r="179" ht="28" customHeight="1">
      <x:c r="A179" s="55"/>
      <x:c r="B179" s="55"/>
      <x:c r="C179" s="55"/>
      <x:c r="D179" s="57"/>
      <x:c r="E179" s="56"/>
      <x:c r="F179" s="55"/>
      <x:c r="G179" s="55"/>
      <x:c r="H179" s="56"/>
      <x:c r="I179" s="56"/>
      <x:c r="J179" s="57"/>
      <x:c r="K179" s="57"/>
      <x:c r="L179" s="57"/>
      <x:c r="M179" s="56"/>
      <x:c r="N179" s="56"/>
      <x:c r="O179" s="55"/>
      <x:c r="P179" s="55"/>
      <x:c r="Q179" s="55"/>
      <x:c r="R179" s="55"/>
      <x:c r="S179" s="56"/>
      <x:c r="T179" s="55"/>
    </x:row>
    <x:row r="180" ht="28" customHeight="1">
      <x:c r="A180" s="55"/>
      <x:c r="B180" s="55"/>
      <x:c r="C180" s="55"/>
      <x:c r="D180" s="57"/>
      <x:c r="E180" s="56"/>
      <x:c r="F180" s="55"/>
      <x:c r="G180" s="55"/>
      <x:c r="H180" s="56"/>
      <x:c r="I180" s="56"/>
      <x:c r="J180" s="57"/>
      <x:c r="K180" s="57"/>
      <x:c r="L180" s="57"/>
      <x:c r="M180" s="56"/>
      <x:c r="N180" s="56"/>
      <x:c r="O180" s="55"/>
      <x:c r="P180" s="55"/>
      <x:c r="Q180" s="55"/>
      <x:c r="R180" s="55"/>
      <x:c r="S180" s="56"/>
      <x:c r="T180" s="55"/>
    </x:row>
    <x:row r="181" ht="28" customHeight="1">
      <x:c r="A181" s="55"/>
      <x:c r="B181" s="55"/>
      <x:c r="C181" s="55"/>
      <x:c r="D181" s="57"/>
      <x:c r="E181" s="56"/>
      <x:c r="F181" s="55"/>
      <x:c r="G181" s="55"/>
      <x:c r="H181" s="56"/>
      <x:c r="I181" s="56"/>
      <x:c r="J181" s="57"/>
      <x:c r="K181" s="57"/>
      <x:c r="L181" s="57"/>
      <x:c r="M181" s="56"/>
      <x:c r="N181" s="56"/>
      <x:c r="O181" s="55"/>
      <x:c r="P181" s="55"/>
      <x:c r="Q181" s="55"/>
      <x:c r="R181" s="55"/>
      <x:c r="S181" s="56"/>
      <x:c r="T181" s="55"/>
    </x:row>
    <x:row r="182" ht="28" customHeight="1">
      <x:c r="A182" s="55"/>
      <x:c r="B182" s="55"/>
      <x:c r="C182" s="55"/>
      <x:c r="D182" s="57"/>
      <x:c r="E182" s="56"/>
      <x:c r="F182" s="55"/>
      <x:c r="G182" s="55"/>
      <x:c r="H182" s="56"/>
      <x:c r="I182" s="56"/>
      <x:c r="J182" s="57"/>
      <x:c r="K182" s="57"/>
      <x:c r="L182" s="57"/>
      <x:c r="M182" s="56"/>
      <x:c r="N182" s="56"/>
      <x:c r="O182" s="55"/>
      <x:c r="P182" s="55"/>
      <x:c r="Q182" s="55"/>
      <x:c r="R182" s="55"/>
      <x:c r="S182" s="56"/>
      <x:c r="T182" s="55"/>
    </x:row>
    <x:row r="183" ht="28" customHeight="1">
      <x:c r="A183" s="55"/>
      <x:c r="B183" s="55"/>
      <x:c r="C183" s="55"/>
      <x:c r="D183" s="57"/>
      <x:c r="E183" s="56"/>
      <x:c r="F183" s="55"/>
      <x:c r="G183" s="55"/>
      <x:c r="H183" s="56"/>
      <x:c r="I183" s="56"/>
      <x:c r="J183" s="57"/>
      <x:c r="K183" s="57"/>
      <x:c r="L183" s="57"/>
      <x:c r="M183" s="56"/>
      <x:c r="N183" s="56"/>
      <x:c r="O183" s="55"/>
      <x:c r="P183" s="55"/>
      <x:c r="Q183" s="55"/>
      <x:c r="R183" s="55"/>
      <x:c r="S183" s="56"/>
      <x:c r="T183" s="55"/>
    </x:row>
    <x:row r="184" ht="28" customHeight="1">
      <x:c r="A184" s="55"/>
      <x:c r="B184" s="55"/>
      <x:c r="C184" s="55"/>
      <x:c r="D184" s="57"/>
      <x:c r="E184" s="56"/>
      <x:c r="F184" s="55"/>
      <x:c r="G184" s="55"/>
      <x:c r="H184" s="56"/>
      <x:c r="I184" s="56"/>
      <x:c r="J184" s="57"/>
      <x:c r="K184" s="57"/>
      <x:c r="L184" s="57"/>
      <x:c r="M184" s="56"/>
      <x:c r="N184" s="56"/>
      <x:c r="O184" s="55"/>
      <x:c r="P184" s="55"/>
      <x:c r="Q184" s="55"/>
      <x:c r="R184" s="55"/>
      <x:c r="S184" s="56"/>
      <x:c r="T184" s="55"/>
    </x:row>
    <x:row r="185" ht="28" customHeight="1">
      <x:c r="A185" s="55"/>
      <x:c r="B185" s="55"/>
      <x:c r="C185" s="55"/>
      <x:c r="D185" s="57"/>
      <x:c r="E185" s="56"/>
      <x:c r="F185" s="55"/>
      <x:c r="G185" s="55"/>
      <x:c r="H185" s="56"/>
      <x:c r="I185" s="56"/>
      <x:c r="J185" s="57"/>
      <x:c r="K185" s="57"/>
      <x:c r="L185" s="57"/>
      <x:c r="M185" s="56"/>
      <x:c r="N185" s="56"/>
      <x:c r="O185" s="55"/>
      <x:c r="P185" s="55"/>
      <x:c r="Q185" s="55"/>
      <x:c r="R185" s="55"/>
      <x:c r="S185" s="56"/>
      <x:c r="T185" s="55"/>
    </x:row>
    <x:row r="186" ht="28" customHeight="1">
      <x:c r="A186" s="55"/>
      <x:c r="B186" s="55"/>
      <x:c r="C186" s="55"/>
      <x:c r="D186" s="57"/>
      <x:c r="E186" s="56"/>
      <x:c r="F186" s="55"/>
      <x:c r="G186" s="55"/>
      <x:c r="H186" s="56"/>
      <x:c r="I186" s="56"/>
      <x:c r="J186" s="57"/>
      <x:c r="K186" s="57"/>
      <x:c r="L186" s="57"/>
      <x:c r="M186" s="56"/>
      <x:c r="N186" s="56"/>
      <x:c r="O186" s="55"/>
      <x:c r="P186" s="55"/>
      <x:c r="Q186" s="55"/>
      <x:c r="R186" s="55"/>
      <x:c r="S186" s="56"/>
      <x:c r="T186" s="55"/>
    </x:row>
    <x:row r="187" ht="28" customHeight="1">
      <x:c r="A187" s="55"/>
      <x:c r="B187" s="55"/>
      <x:c r="C187" s="55"/>
      <x:c r="D187" s="57"/>
      <x:c r="E187" s="56"/>
      <x:c r="F187" s="55"/>
      <x:c r="G187" s="55"/>
      <x:c r="H187" s="56"/>
      <x:c r="I187" s="56"/>
      <x:c r="J187" s="57"/>
      <x:c r="K187" s="57"/>
      <x:c r="L187" s="57"/>
      <x:c r="M187" s="56"/>
      <x:c r="N187" s="56"/>
      <x:c r="O187" s="55"/>
      <x:c r="P187" s="55"/>
      <x:c r="Q187" s="55"/>
      <x:c r="R187" s="55"/>
      <x:c r="S187" s="56"/>
      <x:c r="T187" s="55"/>
    </x:row>
    <x:row r="188" ht="28" customHeight="1">
      <x:c r="A188" s="55"/>
      <x:c r="B188" s="55"/>
      <x:c r="C188" s="55"/>
      <x:c r="D188" s="57"/>
      <x:c r="E188" s="56"/>
      <x:c r="F188" s="55"/>
      <x:c r="G188" s="55"/>
      <x:c r="H188" s="56"/>
      <x:c r="I188" s="56"/>
      <x:c r="J188" s="57"/>
      <x:c r="K188" s="57"/>
      <x:c r="L188" s="57"/>
      <x:c r="M188" s="56"/>
      <x:c r="N188" s="56"/>
      <x:c r="O188" s="55"/>
      <x:c r="P188" s="55"/>
      <x:c r="Q188" s="55"/>
      <x:c r="R188" s="55"/>
      <x:c r="S188" s="56"/>
      <x:c r="T188" s="55"/>
    </x:row>
    <x:row r="189" ht="28" customHeight="1">
      <x:c r="A189" s="55"/>
      <x:c r="B189" s="55"/>
      <x:c r="C189" s="55"/>
      <x:c r="D189" s="57"/>
      <x:c r="E189" s="56"/>
      <x:c r="F189" s="55"/>
      <x:c r="G189" s="55"/>
      <x:c r="H189" s="56"/>
      <x:c r="I189" s="56"/>
      <x:c r="J189" s="57"/>
      <x:c r="K189" s="57"/>
      <x:c r="L189" s="57"/>
      <x:c r="M189" s="56"/>
      <x:c r="N189" s="56"/>
      <x:c r="O189" s="55"/>
      <x:c r="P189" s="55"/>
      <x:c r="Q189" s="55"/>
      <x:c r="R189" s="55"/>
      <x:c r="S189" s="56"/>
      <x:c r="T189" s="55"/>
    </x:row>
    <x:row r="190" ht="28" customHeight="1">
      <x:c r="A190" s="55"/>
      <x:c r="B190" s="55"/>
      <x:c r="C190" s="55"/>
      <x:c r="D190" s="57"/>
      <x:c r="E190" s="56"/>
      <x:c r="F190" s="55"/>
      <x:c r="G190" s="55"/>
      <x:c r="H190" s="56"/>
      <x:c r="I190" s="56"/>
      <x:c r="J190" s="57"/>
      <x:c r="K190" s="57"/>
      <x:c r="L190" s="57"/>
      <x:c r="M190" s="56"/>
      <x:c r="N190" s="56"/>
      <x:c r="O190" s="55"/>
      <x:c r="P190" s="55"/>
      <x:c r="Q190" s="55"/>
      <x:c r="R190" s="55"/>
      <x:c r="S190" s="56"/>
      <x:c r="T190" s="55"/>
    </x:row>
    <x:row r="191" ht="28" customHeight="1">
      <x:c r="A191" s="55"/>
      <x:c r="B191" s="55"/>
      <x:c r="C191" s="55"/>
      <x:c r="D191" s="57"/>
      <x:c r="E191" s="56"/>
      <x:c r="F191" s="55"/>
      <x:c r="G191" s="55"/>
      <x:c r="H191" s="56"/>
      <x:c r="I191" s="56"/>
      <x:c r="J191" s="57"/>
      <x:c r="K191" s="57"/>
      <x:c r="L191" s="57"/>
      <x:c r="M191" s="56"/>
      <x:c r="N191" s="56"/>
      <x:c r="O191" s="55"/>
      <x:c r="P191" s="55"/>
      <x:c r="Q191" s="55"/>
      <x:c r="R191" s="55"/>
      <x:c r="S191" s="56"/>
      <x:c r="T191" s="55"/>
    </x:row>
    <x:row r="192" ht="28" customHeight="1">
      <x:c r="A192" s="55"/>
      <x:c r="B192" s="55"/>
      <x:c r="C192" s="55"/>
      <x:c r="D192" s="57"/>
      <x:c r="E192" s="56"/>
      <x:c r="F192" s="55"/>
      <x:c r="G192" s="55"/>
      <x:c r="H192" s="56"/>
      <x:c r="I192" s="56"/>
      <x:c r="J192" s="57"/>
      <x:c r="K192" s="57"/>
      <x:c r="L192" s="57"/>
      <x:c r="M192" s="56"/>
      <x:c r="N192" s="56"/>
      <x:c r="O192" s="55"/>
      <x:c r="P192" s="55"/>
      <x:c r="Q192" s="55"/>
      <x:c r="R192" s="55"/>
      <x:c r="S192" s="56"/>
      <x:c r="T192" s="55"/>
    </x:row>
    <x:row r="193" ht="28" customHeight="1">
      <x:c r="A193" s="55"/>
      <x:c r="B193" s="55"/>
      <x:c r="C193" s="55"/>
      <x:c r="D193" s="57"/>
      <x:c r="E193" s="56"/>
      <x:c r="F193" s="55"/>
      <x:c r="G193" s="55"/>
      <x:c r="H193" s="56"/>
      <x:c r="I193" s="56"/>
      <x:c r="J193" s="57"/>
      <x:c r="K193" s="57"/>
      <x:c r="L193" s="57"/>
      <x:c r="M193" s="56"/>
      <x:c r="N193" s="56"/>
      <x:c r="O193" s="55"/>
      <x:c r="P193" s="55"/>
      <x:c r="Q193" s="55"/>
      <x:c r="R193" s="55"/>
      <x:c r="S193" s="56"/>
      <x:c r="T193" s="55"/>
    </x:row>
    <x:row r="194" ht="28" customHeight="1">
      <x:c r="A194" s="55"/>
      <x:c r="B194" s="55"/>
      <x:c r="C194" s="55"/>
      <x:c r="D194" s="57"/>
      <x:c r="E194" s="56"/>
      <x:c r="F194" s="55"/>
      <x:c r="G194" s="55"/>
      <x:c r="H194" s="56"/>
      <x:c r="I194" s="56"/>
      <x:c r="J194" s="57"/>
      <x:c r="K194" s="57"/>
      <x:c r="L194" s="57"/>
      <x:c r="M194" s="56"/>
      <x:c r="N194" s="56"/>
      <x:c r="O194" s="55"/>
      <x:c r="P194" s="55"/>
      <x:c r="Q194" s="55"/>
      <x:c r="R194" s="55"/>
      <x:c r="S194" s="56"/>
      <x:c r="T194" s="55"/>
    </x:row>
    <x:row r="195" ht="28" customHeight="1">
      <x:c r="A195" s="55"/>
      <x:c r="B195" s="55"/>
      <x:c r="C195" s="55"/>
      <x:c r="D195" s="57"/>
      <x:c r="E195" s="56"/>
      <x:c r="F195" s="55"/>
      <x:c r="G195" s="55"/>
      <x:c r="H195" s="56"/>
      <x:c r="I195" s="56"/>
      <x:c r="J195" s="57"/>
      <x:c r="K195" s="57"/>
      <x:c r="L195" s="57"/>
      <x:c r="M195" s="56"/>
      <x:c r="N195" s="56"/>
      <x:c r="O195" s="55"/>
      <x:c r="P195" s="55"/>
      <x:c r="Q195" s="55"/>
      <x:c r="R195" s="55"/>
      <x:c r="S195" s="56"/>
      <x:c r="T195" s="55"/>
    </x:row>
    <x:row r="196" ht="28" customHeight="1">
      <x:c r="A196" s="55"/>
      <x:c r="B196" s="55"/>
      <x:c r="C196" s="55"/>
      <x:c r="D196" s="57"/>
      <x:c r="E196" s="56"/>
      <x:c r="F196" s="55"/>
      <x:c r="G196" s="55"/>
      <x:c r="H196" s="56"/>
      <x:c r="I196" s="56"/>
      <x:c r="J196" s="57"/>
      <x:c r="K196" s="57"/>
      <x:c r="L196" s="57"/>
      <x:c r="M196" s="56"/>
      <x:c r="N196" s="56"/>
      <x:c r="O196" s="55"/>
      <x:c r="P196" s="55"/>
      <x:c r="Q196" s="55"/>
      <x:c r="R196" s="55"/>
      <x:c r="S196" s="56"/>
      <x:c r="T196" s="55"/>
    </x:row>
    <x:row r="197" ht="28" customHeight="1">
      <x:c r="A197" s="55"/>
      <x:c r="B197" s="55"/>
      <x:c r="C197" s="55"/>
      <x:c r="D197" s="57"/>
      <x:c r="E197" s="56"/>
      <x:c r="F197" s="55"/>
      <x:c r="G197" s="55"/>
      <x:c r="H197" s="56"/>
      <x:c r="I197" s="56"/>
      <x:c r="J197" s="57"/>
      <x:c r="K197" s="57"/>
      <x:c r="L197" s="57"/>
      <x:c r="M197" s="56"/>
      <x:c r="N197" s="56"/>
      <x:c r="O197" s="55"/>
      <x:c r="P197" s="55"/>
      <x:c r="Q197" s="55"/>
      <x:c r="R197" s="55"/>
      <x:c r="S197" s="56"/>
      <x:c r="T197" s="55"/>
    </x:row>
    <x:row r="198" ht="28" customHeight="1">
      <x:c r="A198" s="55"/>
      <x:c r="B198" s="55"/>
      <x:c r="C198" s="55"/>
      <x:c r="D198" s="57"/>
      <x:c r="E198" s="56"/>
      <x:c r="F198" s="55"/>
      <x:c r="G198" s="55"/>
      <x:c r="H198" s="56"/>
      <x:c r="I198" s="56"/>
      <x:c r="J198" s="57"/>
      <x:c r="K198" s="57"/>
      <x:c r="L198" s="57"/>
      <x:c r="M198" s="56"/>
      <x:c r="N198" s="56"/>
      <x:c r="O198" s="55"/>
      <x:c r="P198" s="55"/>
      <x:c r="Q198" s="55"/>
      <x:c r="R198" s="55"/>
      <x:c r="S198" s="56"/>
      <x:c r="T198" s="55"/>
    </x:row>
    <x:row r="199" ht="28" customHeight="1">
      <x:c r="A199" s="55"/>
      <x:c r="B199" s="55"/>
      <x:c r="C199" s="55"/>
      <x:c r="D199" s="57"/>
      <x:c r="E199" s="56"/>
      <x:c r="F199" s="55"/>
      <x:c r="G199" s="55"/>
      <x:c r="H199" s="56"/>
      <x:c r="I199" s="56"/>
      <x:c r="J199" s="57"/>
      <x:c r="K199" s="57"/>
      <x:c r="L199" s="57"/>
      <x:c r="M199" s="56"/>
      <x:c r="N199" s="56"/>
      <x:c r="O199" s="55"/>
      <x:c r="P199" s="55"/>
      <x:c r="Q199" s="55"/>
      <x:c r="R199" s="55"/>
      <x:c r="S199" s="56"/>
      <x:c r="T199" s="55"/>
    </x:row>
    <x:row r="200" ht="28" customHeight="1">
      <x:c r="A200" s="55"/>
      <x:c r="B200" s="55"/>
      <x:c r="C200" s="55"/>
      <x:c r="D200" s="57"/>
      <x:c r="E200" s="56"/>
      <x:c r="F200" s="55"/>
      <x:c r="G200" s="55"/>
      <x:c r="H200" s="56"/>
      <x:c r="I200" s="56"/>
      <x:c r="J200" s="57"/>
      <x:c r="K200" s="57"/>
      <x:c r="L200" s="57"/>
      <x:c r="M200" s="56"/>
      <x:c r="N200" s="56"/>
      <x:c r="O200" s="55"/>
      <x:c r="P200" s="55"/>
      <x:c r="Q200" s="55"/>
      <x:c r="R200" s="55"/>
      <x:c r="S200" s="56"/>
      <x:c r="T200" s="55"/>
    </x:row>
    <x:row r="201" ht="28" customHeight="1">
      <x:c r="A201" s="55"/>
      <x:c r="B201" s="55"/>
      <x:c r="C201" s="55"/>
      <x:c r="D201" s="57"/>
      <x:c r="E201" s="56"/>
      <x:c r="F201" s="55"/>
      <x:c r="G201" s="55"/>
      <x:c r="H201" s="56"/>
      <x:c r="I201" s="56"/>
      <x:c r="J201" s="57"/>
      <x:c r="K201" s="57"/>
      <x:c r="L201" s="57"/>
      <x:c r="M201" s="56"/>
      <x:c r="N201" s="56"/>
      <x:c r="O201" s="55"/>
      <x:c r="P201" s="55"/>
      <x:c r="Q201" s="55"/>
      <x:c r="R201" s="55"/>
      <x:c r="S201" s="56"/>
      <x:c r="T201" s="55"/>
    </x:row>
    <x:row r="202" ht="28" customHeight="1">
      <x:c r="A202" s="55"/>
      <x:c r="B202" s="55"/>
      <x:c r="C202" s="55"/>
      <x:c r="D202" s="57"/>
      <x:c r="E202" s="56"/>
      <x:c r="F202" s="55"/>
      <x:c r="G202" s="55"/>
      <x:c r="H202" s="56"/>
      <x:c r="I202" s="56"/>
      <x:c r="J202" s="57"/>
      <x:c r="K202" s="57"/>
      <x:c r="L202" s="57"/>
      <x:c r="M202" s="56"/>
      <x:c r="N202" s="56"/>
      <x:c r="O202" s="55"/>
      <x:c r="P202" s="55"/>
      <x:c r="Q202" s="55"/>
      <x:c r="R202" s="55"/>
      <x:c r="S202" s="56"/>
      <x:c r="T202" s="55"/>
    </x:row>
    <x:row r="203" ht="28" customHeight="1">
      <x:c r="A203" s="55"/>
      <x:c r="B203" s="55"/>
      <x:c r="C203" s="55"/>
      <x:c r="D203" s="57"/>
      <x:c r="E203" s="56"/>
      <x:c r="F203" s="55"/>
      <x:c r="G203" s="55"/>
      <x:c r="H203" s="56"/>
      <x:c r="I203" s="56"/>
      <x:c r="J203" s="57"/>
      <x:c r="K203" s="57"/>
      <x:c r="L203" s="57"/>
      <x:c r="M203" s="56"/>
      <x:c r="N203" s="56"/>
      <x:c r="O203" s="55"/>
      <x:c r="P203" s="55"/>
      <x:c r="Q203" s="55"/>
      <x:c r="R203" s="55"/>
      <x:c r="S203" s="56"/>
      <x:c r="T203" s="55"/>
    </x:row>
    <x:row r="204" ht="28" customHeight="1">
      <x:c r="A204" s="55"/>
      <x:c r="B204" s="55"/>
      <x:c r="C204" s="55"/>
      <x:c r="D204" s="57"/>
      <x:c r="E204" s="56"/>
      <x:c r="F204" s="55"/>
      <x:c r="G204" s="55"/>
      <x:c r="H204" s="56"/>
      <x:c r="I204" s="56"/>
      <x:c r="J204" s="57"/>
      <x:c r="K204" s="57"/>
      <x:c r="L204" s="57"/>
      <x:c r="M204" s="56"/>
      <x:c r="N204" s="56"/>
      <x:c r="O204" s="55"/>
      <x:c r="P204" s="55"/>
      <x:c r="Q204" s="55"/>
      <x:c r="R204" s="55"/>
      <x:c r="S204" s="56"/>
      <x:c r="T204" s="55"/>
    </x:row>
    <x:row r="205" ht="28" customHeight="1">
      <x:c r="A205" s="55"/>
      <x:c r="B205" s="55"/>
      <x:c r="C205" s="55"/>
      <x:c r="D205" s="57"/>
      <x:c r="E205" s="56"/>
      <x:c r="F205" s="55"/>
      <x:c r="G205" s="55"/>
      <x:c r="H205" s="56"/>
      <x:c r="I205" s="56"/>
      <x:c r="J205" s="57"/>
      <x:c r="K205" s="57"/>
      <x:c r="L205" s="57"/>
      <x:c r="M205" s="56"/>
      <x:c r="N205" s="56"/>
      <x:c r="O205" s="55"/>
      <x:c r="P205" s="55"/>
      <x:c r="Q205" s="55"/>
      <x:c r="R205" s="55"/>
      <x:c r="S205" s="56"/>
      <x:c r="T205" s="55"/>
    </x:row>
    <x:row r="206" ht="28" customHeight="1">
      <x:c r="A206" s="55"/>
      <x:c r="B206" s="55"/>
      <x:c r="C206" s="55"/>
      <x:c r="D206" s="57"/>
      <x:c r="E206" s="56"/>
      <x:c r="F206" s="55"/>
      <x:c r="G206" s="55"/>
      <x:c r="H206" s="56"/>
      <x:c r="I206" s="56"/>
      <x:c r="J206" s="57"/>
      <x:c r="K206" s="57"/>
      <x:c r="L206" s="57"/>
      <x:c r="M206" s="56"/>
      <x:c r="N206" s="56"/>
      <x:c r="O206" s="55"/>
      <x:c r="P206" s="55"/>
      <x:c r="Q206" s="55"/>
      <x:c r="R206" s="55"/>
      <x:c r="S206" s="56"/>
      <x:c r="T206" s="55"/>
    </x:row>
    <x:row r="207" ht="28" customHeight="1">
      <x:c r="A207" s="55"/>
      <x:c r="B207" s="55"/>
      <x:c r="C207" s="55"/>
      <x:c r="D207" s="57"/>
      <x:c r="E207" s="56"/>
      <x:c r="F207" s="55"/>
      <x:c r="G207" s="55"/>
      <x:c r="H207" s="56"/>
      <x:c r="I207" s="56"/>
      <x:c r="J207" s="57"/>
      <x:c r="K207" s="57"/>
      <x:c r="L207" s="57"/>
      <x:c r="M207" s="56"/>
      <x:c r="N207" s="56"/>
      <x:c r="O207" s="55"/>
      <x:c r="P207" s="55"/>
      <x:c r="Q207" s="55"/>
      <x:c r="R207" s="55"/>
      <x:c r="S207" s="56"/>
      <x:c r="T207" s="55"/>
    </x:row>
    <x:row r="208" ht="28" customHeight="1">
      <x:c r="A208" s="55"/>
      <x:c r="B208" s="55"/>
      <x:c r="C208" s="55"/>
      <x:c r="D208" s="57"/>
      <x:c r="E208" s="56"/>
      <x:c r="F208" s="55"/>
      <x:c r="G208" s="55"/>
      <x:c r="H208" s="56"/>
      <x:c r="I208" s="56"/>
      <x:c r="J208" s="57"/>
      <x:c r="K208" s="57"/>
      <x:c r="L208" s="57"/>
      <x:c r="M208" s="56"/>
      <x:c r="N208" s="56"/>
      <x:c r="O208" s="55"/>
      <x:c r="P208" s="55"/>
      <x:c r="Q208" s="55"/>
      <x:c r="R208" s="55"/>
      <x:c r="S208" s="56"/>
      <x:c r="T208" s="55"/>
    </x:row>
    <x:row r="209" ht="28" customHeight="1">
      <x:c r="A209" s="55"/>
      <x:c r="B209" s="55"/>
      <x:c r="C209" s="55"/>
      <x:c r="D209" s="57"/>
      <x:c r="E209" s="56"/>
      <x:c r="F209" s="55"/>
      <x:c r="G209" s="55"/>
      <x:c r="H209" s="56"/>
      <x:c r="I209" s="56"/>
      <x:c r="J209" s="57"/>
      <x:c r="K209" s="57"/>
      <x:c r="L209" s="57"/>
      <x:c r="M209" s="56"/>
      <x:c r="N209" s="56"/>
      <x:c r="O209" s="55"/>
      <x:c r="P209" s="55"/>
      <x:c r="Q209" s="55"/>
      <x:c r="R209" s="55"/>
      <x:c r="S209" s="56"/>
      <x:c r="T209" s="55"/>
    </x:row>
    <x:row r="210" ht="28" customHeight="1">
      <x:c r="A210" s="55"/>
      <x:c r="B210" s="55"/>
      <x:c r="C210" s="55"/>
      <x:c r="D210" s="57"/>
      <x:c r="E210" s="56"/>
      <x:c r="F210" s="55"/>
      <x:c r="G210" s="55"/>
      <x:c r="H210" s="56"/>
      <x:c r="I210" s="56"/>
      <x:c r="J210" s="57"/>
      <x:c r="K210" s="57"/>
      <x:c r="L210" s="57"/>
      <x:c r="M210" s="56"/>
      <x:c r="N210" s="56"/>
      <x:c r="O210" s="55"/>
      <x:c r="P210" s="55"/>
      <x:c r="Q210" s="55"/>
      <x:c r="R210" s="55"/>
      <x:c r="S210" s="56"/>
      <x:c r="T210" s="55"/>
    </x:row>
    <x:row r="211" ht="28" customHeight="1">
      <x:c r="A211" s="55"/>
      <x:c r="B211" s="55"/>
      <x:c r="C211" s="55"/>
      <x:c r="D211" s="57"/>
      <x:c r="E211" s="56"/>
      <x:c r="F211" s="55"/>
      <x:c r="G211" s="55"/>
      <x:c r="H211" s="56"/>
      <x:c r="I211" s="56"/>
      <x:c r="J211" s="57"/>
      <x:c r="K211" s="57"/>
      <x:c r="L211" s="57"/>
      <x:c r="M211" s="56"/>
      <x:c r="N211" s="56"/>
      <x:c r="O211" s="55"/>
      <x:c r="P211" s="55"/>
      <x:c r="Q211" s="55"/>
      <x:c r="R211" s="55"/>
      <x:c r="S211" s="56"/>
      <x:c r="T211" s="55"/>
    </x:row>
    <x:row r="212" ht="28" customHeight="1">
      <x:c r="A212" s="55"/>
      <x:c r="B212" s="55"/>
      <x:c r="C212" s="55"/>
      <x:c r="D212" s="57"/>
      <x:c r="E212" s="56"/>
      <x:c r="F212" s="55"/>
      <x:c r="G212" s="55"/>
      <x:c r="H212" s="56"/>
      <x:c r="I212" s="56"/>
      <x:c r="J212" s="57"/>
      <x:c r="K212" s="57"/>
      <x:c r="L212" s="57"/>
      <x:c r="M212" s="56"/>
      <x:c r="N212" s="56"/>
      <x:c r="O212" s="55"/>
      <x:c r="P212" s="55"/>
      <x:c r="Q212" s="55"/>
      <x:c r="R212" s="55"/>
      <x:c r="S212" s="56"/>
      <x:c r="T212" s="55"/>
    </x:row>
    <x:row r="213" ht="28" customHeight="1">
      <x:c r="A213" s="55"/>
      <x:c r="B213" s="55"/>
      <x:c r="C213" s="55"/>
      <x:c r="D213" s="57"/>
      <x:c r="E213" s="56"/>
      <x:c r="F213" s="55"/>
      <x:c r="G213" s="55"/>
      <x:c r="H213" s="56"/>
      <x:c r="I213" s="56"/>
      <x:c r="J213" s="57"/>
      <x:c r="K213" s="57"/>
      <x:c r="L213" s="57"/>
      <x:c r="M213" s="56"/>
      <x:c r="N213" s="56"/>
      <x:c r="O213" s="55"/>
      <x:c r="P213" s="55"/>
      <x:c r="Q213" s="55"/>
      <x:c r="R213" s="55"/>
      <x:c r="S213" s="56"/>
      <x:c r="T213" s="55"/>
    </x:row>
    <x:row r="214" ht="28" customHeight="1">
      <x:c r="A214" s="55"/>
      <x:c r="B214" s="55"/>
      <x:c r="C214" s="55"/>
      <x:c r="D214" s="57"/>
      <x:c r="E214" s="56"/>
      <x:c r="F214" s="55"/>
      <x:c r="G214" s="55"/>
      <x:c r="H214" s="56"/>
      <x:c r="I214" s="56"/>
      <x:c r="J214" s="57"/>
      <x:c r="K214" s="57"/>
      <x:c r="L214" s="57"/>
      <x:c r="M214" s="56"/>
      <x:c r="N214" s="56"/>
      <x:c r="O214" s="55"/>
      <x:c r="P214" s="55"/>
      <x:c r="Q214" s="55"/>
      <x:c r="R214" s="55"/>
      <x:c r="S214" s="56"/>
      <x:c r="T214" s="55"/>
    </x:row>
    <x:row r="215" ht="28" customHeight="1">
      <x:c r="A215" s="55"/>
      <x:c r="B215" s="55"/>
      <x:c r="C215" s="55"/>
      <x:c r="D215" s="57"/>
      <x:c r="E215" s="56"/>
      <x:c r="F215" s="55"/>
      <x:c r="G215" s="55"/>
      <x:c r="H215" s="56"/>
      <x:c r="I215" s="56"/>
      <x:c r="J215" s="57"/>
      <x:c r="K215" s="57"/>
      <x:c r="L215" s="57"/>
      <x:c r="M215" s="56"/>
      <x:c r="N215" s="56"/>
      <x:c r="O215" s="55"/>
      <x:c r="P215" s="55"/>
      <x:c r="Q215" s="55"/>
      <x:c r="R215" s="55"/>
      <x:c r="S215" s="56"/>
      <x:c r="T215" s="55"/>
    </x:row>
    <x:row r="216" ht="28" customHeight="1">
      <x:c r="A216" s="55"/>
      <x:c r="B216" s="55"/>
      <x:c r="C216" s="55"/>
      <x:c r="D216" s="57"/>
      <x:c r="E216" s="56"/>
      <x:c r="F216" s="55"/>
      <x:c r="G216" s="55"/>
      <x:c r="H216" s="56"/>
      <x:c r="I216" s="56"/>
      <x:c r="J216" s="57"/>
      <x:c r="K216" s="57"/>
      <x:c r="L216" s="57"/>
      <x:c r="M216" s="56"/>
      <x:c r="N216" s="56"/>
      <x:c r="O216" s="55"/>
      <x:c r="P216" s="55"/>
      <x:c r="Q216" s="55"/>
      <x:c r="R216" s="55"/>
      <x:c r="S216" s="56"/>
      <x:c r="T216" s="55"/>
    </x:row>
  </x:sheetData>
  <x:dataValidations count="5">
    <x:dataValidation type="list" sqref="B4">
      <x:formula1>INDIRECT("'Project Status &amp; EVM'!$A$17:$A$216")</x:formula1>
    </x:dataValidation>
    <x:dataValidation type="list" sqref="F17:F216">
      <x:formula1>"Under preparation,Submitted,Under certification,Certified,Part payment received,Fully collected,On hold"</x:formula1>
    </x:dataValidation>
    <x:dataValidation type="list" sqref="G17:G216">
      <x:formula1>"Under preparation,Submitted,Under certification,Certified,Part payment received,Fully collected,On hold"</x:formula1>
    </x:dataValidation>
    <x:dataValidation type="list" sqref="A17:A216">
      <x:formula1>INDIRECT("'Project Status &amp; EVM'!$A$17:$A$216")</x:formula1>
    </x:dataValidation>
    <x:dataValidation type="list" sqref="R17:R216">
      <x:formula1>INDIRECT("'MD Decisions'!$C$17:$C$216")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98e1d6967444a8"/>
  </x:tableParts>
</x:worksheet>
</file>

<file path=xl/worksheets/sheet5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2" hidden="0" customWidth="1"/>
    <x:col min="4" max="4" width="25" hidden="0" customWidth="1"/>
    <x:col min="5" max="5" width="46" hidden="0" customWidth="1"/>
    <x:col min="6" max="6" width="20" hidden="0" customWidth="1"/>
    <x:col min="7" max="7" width="17" hidden="0" customWidth="1"/>
    <x:col min="8" max="8" width="25" hidden="0" customWidth="1"/>
    <x:col min="9" max="9" width="25" hidden="0" customWidth="1"/>
    <x:col min="10" max="10" width="17" hidden="0" customWidth="1"/>
    <x:col min="11" max="11" width="20" hidden="0" customWidth="1"/>
    <x:col min="12" max="12" width="20" hidden="0" customWidth="1"/>
    <x:col min="13" max="13" width="20" hidden="0" customWidth="1"/>
    <x:col min="14" max="14" width="17" hidden="0" customWidth="1"/>
    <x:col min="15" max="15" width="17" hidden="0" customWidth="1"/>
    <x:col min="16" max="16" width="46" hidden="0" customWidth="1"/>
    <x:col min="17" max="17" width="22" hidden="0" customWidth="1"/>
    <x:col min="18" max="18" width="46" hidden="0" customWidth="1"/>
    <x:col min="19" max="19" width="25" hidden="0" customWidth="1"/>
    <x:col min="20" max="20" width="22" hidden="0" customWidth="1"/>
    <x:col min="21" max="21" width="17" hidden="0" customWidth="1"/>
    <x:col min="22" max="22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4" t="str">
        <x:v>5. Liability Status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Tracked records</x:v>
      </x:c>
      <x:c r="E4" s="31" t="n">
        <x:f>COUNTIFS($A$17:$A$216,$B$4,$B$17:$B$216,"&lt;&gt;")</x:f>
        <x:v>4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4" customHeight="1">
      <x:c r="A5" s="3" t="str">
        <x:v>Review date</x:v>
      </x:c>
      <x:c r="B5" s="8" t="n">
        <x:v>46285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24" customHeight="1">
      <x:c r="A11" s="3" t="str">
        <x:v>One current row per bill or distinct payable. Present/Next Status share the same dropdown; record a date for the next commitment.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24" customHeight="1">
      <x:c r="A12" s="3" t="str">
        <x:v>Outstanding is a reported input: confirm deductions, retention and paid-to-date rather than assuming bill amount minus cash.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24" customHeight="1">
      <x:c r="A13" s="3" t="str">
        <x:v>Fictional contractor and vendor bills include fully paid, partly paid, under-verification and approved-for-payment cases.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54" customHeight="1">
      <x:c r="A16" s="13" t="str">
        <x:v>Project code</x:v>
      </x:c>
      <x:c r="B16" s="13" t="str">
        <x:v>Liability / bill reference</x:v>
      </x:c>
      <x:c r="C16" s="13" t="str">
        <x:v>Party type</x:v>
      </x:c>
      <x:c r="D16" s="13" t="str">
        <x:v>Contractor / vendor name</x:v>
      </x:c>
      <x:c r="E16" s="13" t="str">
        <x:v>Work / supply description</x:v>
      </x:c>
      <x:c r="F16" s="13" t="str">
        <x:v>Bill / claim amount (INR lakh)</x:v>
      </x:c>
      <x:c r="G16" s="13" t="str">
        <x:v>Bill received date</x:v>
      </x:c>
      <x:c r="H16" s="13" t="str">
        <x:v>Present Status</x:v>
      </x:c>
      <x:c r="I16" s="13" t="str">
        <x:v>Next Status</x:v>
      </x:c>
      <x:c r="J16" s="13" t="str">
        <x:v>Next Status Target Date</x:v>
      </x:c>
      <x:c r="K16" s="13" t="str">
        <x:v>Certified / approved amount (INR lakh)</x:v>
      </x:c>
      <x:c r="L16" s="13" t="str">
        <x:v>Amount paid (INR lakh)</x:v>
      </x:c>
      <x:c r="M16" s="13" t="str">
        <x:v>Outstanding liability (INR lakh)</x:v>
      </x:c>
      <x:c r="N16" s="13" t="str">
        <x:v>Contractual payment due date</x:v>
      </x:c>
      <x:c r="O16" s="13" t="str">
        <x:v>Expected payment date</x:v>
      </x:c>
      <x:c r="P16" s="13" t="str">
        <x:v>Reason pending</x:v>
      </x:c>
      <x:c r="Q16" s="13" t="str">
        <x:v>Work affected if delayed</x:v>
      </x:c>
      <x:c r="R16" s="13" t="str">
        <x:v>Action / MD support required</x:v>
      </x:c>
      <x:c r="S16" s="13" t="str">
        <x:v>Responsible owner</x:v>
      </x:c>
      <x:c r="T16" s="13" t="str">
        <x:v>Linked Decision ID</x:v>
      </x:c>
      <x:c r="U16" s="13" t="str">
        <x:v>Last updated</x:v>
      </x:c>
      <x:c r="V16" s="13" t="str">
        <x:v>Source / entry notes</x:v>
      </x:c>
    </x:row>
    <x:row r="17" ht="102" customHeight="1">
      <x:c r="A17" s="55" t="str">
        <x:v>S25WRJ01</x:v>
      </x:c>
      <x:c r="B17" s="55" t="str">
        <x:v>S25WRJ01-PAY-01</x:v>
      </x:c>
      <x:c r="C17" s="55" t="str">
        <x:v>Contractor</x:v>
      </x:c>
      <x:c r="D17" s="55" t="str">
        <x:v>Fictional Civil Works P1-1</x:v>
      </x:c>
      <x:c r="E17" s="55" t="str">
        <x:v>Concrete works</x:v>
      </x:c>
      <x:c r="F17" s="57" t="n">
        <x:v>100</x:v>
      </x:c>
      <x:c r="G17" s="56" t="n">
        <x:v>46268</x:v>
      </x:c>
      <x:c r="H17" s="55" t="str">
        <x:v>Fully paid</x:v>
      </x:c>
      <x:c r="I17" s="55" t="str">
        <x:v>Fully paid</x:v>
      </x:c>
      <x:c r="J17" s="56" t="n">
        <x:v>46281</x:v>
      </x:c>
      <x:c r="K17" s="57" t="n">
        <x:v>100</x:v>
      </x:c>
      <x:c r="L17" s="57" t="n">
        <x:v>100</x:v>
      </x:c>
      <x:c r="M17" s="57" t="n">
        <x:v>0</x:v>
      </x:c>
      <x:c r="N17" s="56" t="n">
        <x:v>46283</x:v>
      </x:c>
      <x:c r="O17" s="56" t="n">
        <x:v>46281</x:v>
      </x:c>
      <x:c r="P17" s="55" t="str">
        <x:v>None; settled.</x:v>
      </x:c>
      <x:c r="Q17" s="55" t="str">
        <x:v>None; item closed.</x:v>
      </x:c>
      <x:c r="R17" s="55" t="str">
        <x:v>No further action.</x:v>
      </x:c>
      <x:c r="S17" s="55" t="str">
        <x:v>Demo Finance Lead P1</x:v>
      </x:c>
      <x:c r="T17" s="55" t="str">
        <x:v>S25WRJ01-DEC-01</x:v>
      </x:c>
      <x:c r="U17" s="56" t="n">
        <x:v>46285</x:v>
      </x:c>
      <x:c r="V17" s="55" t="str">
        <x:v>FICTIONAL TEST DATA. All people, quantities, money, dates and statuses are invented; not project records.</x:v>
      </x:c>
    </x:row>
    <x:row r="18" ht="102" customHeight="1">
      <x:c r="A18" s="55" t="str">
        <x:v>S25WRJ01</x:v>
      </x:c>
      <x:c r="B18" s="55" t="str">
        <x:v>S25WRJ01-PAY-02</x:v>
      </x:c>
      <x:c r="C18" s="55" t="str">
        <x:v>Vendor</x:v>
      </x:c>
      <x:c r="D18" s="55" t="str">
        <x:v>Fictional Supplies P1-2</x:v>
      </x:c>
      <x:c r="E18" s="55" t="str">
        <x:v>Reinforcement supply</x:v>
      </x:c>
      <x:c r="F18" s="57" t="n">
        <x:v>120</x:v>
      </x:c>
      <x:c r="G18" s="56" t="n">
        <x:v>46273</x:v>
      </x:c>
      <x:c r="H18" s="55" t="str">
        <x:v>Partly paid</x:v>
      </x:c>
      <x:c r="I18" s="55" t="str">
        <x:v>Fully paid</x:v>
      </x:c>
      <x:c r="J18" s="56" t="n">
        <x:v>46289</x:v>
      </x:c>
      <x:c r="K18" s="57" t="n">
        <x:v>120</x:v>
      </x:c>
      <x:c r="L18" s="57" t="n">
        <x:v>60</x:v>
      </x:c>
      <x:c r="M18" s="57" t="n">
        <x:v>60</x:v>
      </x:c>
      <x:c r="N18" s="56" t="n">
        <x:v>46290</x:v>
      </x:c>
      <x:c r="O18" s="56" t="n">
        <x:v>46289</x:v>
      </x:c>
      <x:c r="P18" s="55" t="str">
        <x:v>Payment allocation pending.</x:v>
      </x:c>
      <x:c r="Q18" s="55" t="str">
        <x:v>Next phase of Pipe corridor.</x:v>
      </x:c>
      <x:c r="R18" s="55" t="str">
        <x:v>Confirm certification and approve staged payment.</x:v>
      </x:c>
      <x:c r="S18" s="55" t="str">
        <x:v>Demo Finance Lead P1</x:v>
      </x:c>
      <x:c r="T18" s="55" t="str">
        <x:v>S25WRJ01-DEC-02</x:v>
      </x:c>
      <x:c r="U18" s="56" t="n">
        <x:v>46285</x:v>
      </x:c>
      <x:c r="V18" s="55" t="str">
        <x:v>FICTIONAL TEST DATA. All people, quantities, money, dates and statuses are invented; not project records.</x:v>
      </x:c>
    </x:row>
    <x:row r="19" ht="102" customHeight="1">
      <x:c r="A19" s="55" t="str">
        <x:v>S25WRJ01</x:v>
      </x:c>
      <x:c r="B19" s="55" t="str">
        <x:v>S25WRJ01-PAY-03</x:v>
      </x:c>
      <x:c r="C19" s="55" t="str">
        <x:v>Contractor</x:v>
      </x:c>
      <x:c r="D19" s="55" t="str">
        <x:v>Fictional Civil Works P1-3</x:v>
      </x:c>
      <x:c r="E19" s="55" t="str">
        <x:v>Earthwork</x:v>
      </x:c>
      <x:c r="F19" s="57" t="n">
        <x:v>140</x:v>
      </x:c>
      <x:c r="G19" s="56" t="n">
        <x:v>46279</x:v>
      </x:c>
      <x:c r="H19" s="55" t="str">
        <x:v>Under verification</x:v>
      </x:c>
      <x:c r="I19" s="55" t="str">
        <x:v>Certified</x:v>
      </x:c>
      <x:c r="J19" s="56" t="n">
        <x:v>46290</x:v>
      </x:c>
      <x:c r="K19" s="57" t="n">
        <x:v>0</x:v>
      </x:c>
      <x:c r="L19" s="57" t="n">
        <x:v>0</x:v>
      </x:c>
      <x:c r="M19" s="57" t="n">
        <x:v>140</x:v>
      </x:c>
      <x:c r="N19" s="56" t="n">
        <x:v>46293</x:v>
      </x:c>
      <x:c r="O19" s="56" t="n">
        <x:v>46293</x:v>
      </x:c>
      <x:c r="P19" s="55" t="str">
        <x:v>Quantity reconciliation pending.</x:v>
      </x:c>
      <x:c r="Q19" s="55" t="str">
        <x:v>Next phase of Pump house.</x:v>
      </x:c>
      <x:c r="R19" s="55" t="str">
        <x:v>Confirm certification and approve staged payment.</x:v>
      </x:c>
      <x:c r="S19" s="55" t="str">
        <x:v>Demo Finance Lead P1</x:v>
      </x:c>
      <x:c r="T19" s="55" t="str">
        <x:v>S25WRJ01-DEC-03</x:v>
      </x:c>
      <x:c r="U19" s="56" t="n">
        <x:v>46285</x:v>
      </x:c>
      <x:c r="V19" s="55" t="str">
        <x:v>FICTIONAL TEST DATA. All people, quantities, money, dates and statuses are invented; not project records.</x:v>
      </x:c>
    </x:row>
    <x:row r="20" ht="102" customHeight="1">
      <x:c r="A20" s="55" t="str">
        <x:v>S25WRJ01</x:v>
      </x:c>
      <x:c r="B20" s="55" t="str">
        <x:v>S25WRJ01-PAY-04</x:v>
      </x:c>
      <x:c r="C20" s="55" t="str">
        <x:v>Vendor</x:v>
      </x:c>
      <x:c r="D20" s="55" t="str">
        <x:v>Fictional Supplies P1-4</x:v>
      </x:c>
      <x:c r="E20" s="55" t="str">
        <x:v>Pump equipment</x:v>
      </x:c>
      <x:c r="F20" s="57" t="n">
        <x:v>160</x:v>
      </x:c>
      <x:c r="G20" s="56" t="n">
        <x:v>46283</x:v>
      </x:c>
      <x:c r="H20" s="55" t="str">
        <x:v>Approved for payment</x:v>
      </x:c>
      <x:c r="I20" s="55" t="str">
        <x:v>Fully paid</x:v>
      </x:c>
      <x:c r="J20" s="56" t="n">
        <x:v>46292</x:v>
      </x:c>
      <x:c r="K20" s="57" t="n">
        <x:v>160</x:v>
      </x:c>
      <x:c r="L20" s="57" t="n">
        <x:v>0</x:v>
      </x:c>
      <x:c r="M20" s="57" t="n">
        <x:v>160</x:v>
      </x:c>
      <x:c r="N20" s="56" t="n">
        <x:v>46295</x:v>
      </x:c>
      <x:c r="O20" s="56" t="n">
        <x:v>46292</x:v>
      </x:c>
      <x:c r="P20" s="55" t="str">
        <x:v>Payment allocation pending.</x:v>
      </x:c>
      <x:c r="Q20" s="55" t="str">
        <x:v>Next phase of Treatment plant.</x:v>
      </x:c>
      <x:c r="R20" s="55" t="str">
        <x:v>Confirm certification and approve staged payment.</x:v>
      </x:c>
      <x:c r="S20" s="55" t="str">
        <x:v>Demo Finance Lead P1</x:v>
      </x:c>
      <x:c r="T20" s="55" t="str">
        <x:v>S25WRJ01-DEC-04</x:v>
      </x:c>
      <x:c r="U20" s="56" t="n">
        <x:v>46285</x:v>
      </x:c>
      <x:c r="V20" s="55" t="str">
        <x:v>FICTIONAL TEST DATA. All people, quantities, money, dates and statuses are invented; not project records.</x:v>
      </x:c>
    </x:row>
    <x:row r="21" ht="102" customHeight="1">
      <x:c r="A21" s="55" t="str">
        <x:v>S25WJH01</x:v>
      </x:c>
      <x:c r="B21" s="55" t="str">
        <x:v>S25WJH01-PAY-01</x:v>
      </x:c>
      <x:c r="C21" s="55" t="str">
        <x:v>Contractor</x:v>
      </x:c>
      <x:c r="D21" s="55" t="str">
        <x:v>Fictional Civil Works P2-1</x:v>
      </x:c>
      <x:c r="E21" s="55" t="str">
        <x:v>Concrete works</x:v>
      </x:c>
      <x:c r="F21" s="57" t="n">
        <x:v>130</x:v>
      </x:c>
      <x:c r="G21" s="56" t="n">
        <x:v>46268</x:v>
      </x:c>
      <x:c r="H21" s="55" t="str">
        <x:v>Fully paid</x:v>
      </x:c>
      <x:c r="I21" s="55" t="str">
        <x:v>Fully paid</x:v>
      </x:c>
      <x:c r="J21" s="56" t="n">
        <x:v>46281</x:v>
      </x:c>
      <x:c r="K21" s="57" t="n">
        <x:v>130</x:v>
      </x:c>
      <x:c r="L21" s="57" t="n">
        <x:v>130</x:v>
      </x:c>
      <x:c r="M21" s="57" t="n">
        <x:v>0</x:v>
      </x:c>
      <x:c r="N21" s="56" t="n">
        <x:v>46283</x:v>
      </x:c>
      <x:c r="O21" s="56" t="n">
        <x:v>46281</x:v>
      </x:c>
      <x:c r="P21" s="55" t="str">
        <x:v>None; settled.</x:v>
      </x:c>
      <x:c r="Q21" s="55" t="str">
        <x:v>None; item closed.</x:v>
      </x:c>
      <x:c r="R21" s="55" t="str">
        <x:v>No further action.</x:v>
      </x:c>
      <x:c r="S21" s="55" t="str">
        <x:v>Demo Finance Lead P2</x:v>
      </x:c>
      <x:c r="T21" s="55" t="str">
        <x:v>S25WJH01-DEC-01</x:v>
      </x:c>
      <x:c r="U21" s="56" t="n">
        <x:v>46285</x:v>
      </x:c>
      <x:c r="V21" s="55" t="str">
        <x:v>FICTIONAL TEST DATA. All people, quantities, money, dates and statuses are invented; not project records.</x:v>
      </x:c>
    </x:row>
    <x:row r="22" ht="102" customHeight="1">
      <x:c r="A22" s="55" t="str">
        <x:v>S25WJH01</x:v>
      </x:c>
      <x:c r="B22" s="55" t="str">
        <x:v>S25WJH01-PAY-02</x:v>
      </x:c>
      <x:c r="C22" s="55" t="str">
        <x:v>Vendor</x:v>
      </x:c>
      <x:c r="D22" s="55" t="str">
        <x:v>Fictional Supplies P2-2</x:v>
      </x:c>
      <x:c r="E22" s="55" t="str">
        <x:v>Reinforcement supply</x:v>
      </x:c>
      <x:c r="F22" s="57" t="n">
        <x:v>150</x:v>
      </x:c>
      <x:c r="G22" s="56" t="n">
        <x:v>46273</x:v>
      </x:c>
      <x:c r="H22" s="55" t="str">
        <x:v>Partly paid</x:v>
      </x:c>
      <x:c r="I22" s="55" t="str">
        <x:v>Fully paid</x:v>
      </x:c>
      <x:c r="J22" s="56" t="n">
        <x:v>46289</x:v>
      </x:c>
      <x:c r="K22" s="57" t="n">
        <x:v>150</x:v>
      </x:c>
      <x:c r="L22" s="57" t="n">
        <x:v>75</x:v>
      </x:c>
      <x:c r="M22" s="57" t="n">
        <x:v>75</x:v>
      </x:c>
      <x:c r="N22" s="56" t="n">
        <x:v>46290</x:v>
      </x:c>
      <x:c r="O22" s="56" t="n">
        <x:v>46289</x:v>
      </x:c>
      <x:c r="P22" s="55" t="str">
        <x:v>Payment allocation pending.</x:v>
      </x:c>
      <x:c r="Q22" s="55" t="str">
        <x:v>Next phase of Canal reach.</x:v>
      </x:c>
      <x:c r="R22" s="55" t="str">
        <x:v>Confirm certification and approve staged payment.</x:v>
      </x:c>
      <x:c r="S22" s="55" t="str">
        <x:v>Demo Finance Lead P2</x:v>
      </x:c>
      <x:c r="T22" s="55" t="str">
        <x:v>S25WJH01-DEC-02</x:v>
      </x:c>
      <x:c r="U22" s="56" t="n">
        <x:v>46285</x:v>
      </x:c>
      <x:c r="V22" s="55" t="str">
        <x:v>FICTIONAL TEST DATA. All people, quantities, money, dates and statuses are invented; not project records.</x:v>
      </x:c>
    </x:row>
    <x:row r="23" ht="102" customHeight="1">
      <x:c r="A23" s="55" t="str">
        <x:v>S25WJH01</x:v>
      </x:c>
      <x:c r="B23" s="55" t="str">
        <x:v>S25WJH01-PAY-03</x:v>
      </x:c>
      <x:c r="C23" s="55" t="str">
        <x:v>Contractor</x:v>
      </x:c>
      <x:c r="D23" s="55" t="str">
        <x:v>Fictional Civil Works P2-3</x:v>
      </x:c>
      <x:c r="E23" s="55" t="str">
        <x:v>Earthwork</x:v>
      </x:c>
      <x:c r="F23" s="57" t="n">
        <x:v>170</x:v>
      </x:c>
      <x:c r="G23" s="56" t="n">
        <x:v>46279</x:v>
      </x:c>
      <x:c r="H23" s="55" t="str">
        <x:v>Under verification</x:v>
      </x:c>
      <x:c r="I23" s="55" t="str">
        <x:v>Certified</x:v>
      </x:c>
      <x:c r="J23" s="56" t="n">
        <x:v>46290</x:v>
      </x:c>
      <x:c r="K23" s="57" t="n">
        <x:v>0</x:v>
      </x:c>
      <x:c r="L23" s="57" t="n">
        <x:v>0</x:v>
      </x:c>
      <x:c r="M23" s="57" t="n">
        <x:v>170</x:v>
      </x:c>
      <x:c r="N23" s="56" t="n">
        <x:v>46293</x:v>
      </x:c>
      <x:c r="O23" s="56" t="n">
        <x:v>46293</x:v>
      </x:c>
      <x:c r="P23" s="55" t="str">
        <x:v>Quantity reconciliation pending.</x:v>
      </x:c>
      <x:c r="Q23" s="55" t="str">
        <x:v>Next phase of Cross regulator.</x:v>
      </x:c>
      <x:c r="R23" s="55" t="str">
        <x:v>Confirm certification and approve staged payment.</x:v>
      </x:c>
      <x:c r="S23" s="55" t="str">
        <x:v>Demo Finance Lead P2</x:v>
      </x:c>
      <x:c r="T23" s="55" t="str">
        <x:v>S25WJH01-DEC-03</x:v>
      </x:c>
      <x:c r="U23" s="56" t="n">
        <x:v>46285</x:v>
      </x:c>
      <x:c r="V23" s="55" t="str">
        <x:v>FICTIONAL TEST DATA. All people, quantities, money, dates and statuses are invented; not project records.</x:v>
      </x:c>
    </x:row>
    <x:row r="24" ht="102" customHeight="1">
      <x:c r="A24" s="55" t="str">
        <x:v>S25WJH01</x:v>
      </x:c>
      <x:c r="B24" s="55" t="str">
        <x:v>S25WJH01-PAY-04</x:v>
      </x:c>
      <x:c r="C24" s="55" t="str">
        <x:v>Vendor</x:v>
      </x:c>
      <x:c r="D24" s="55" t="str">
        <x:v>Fictional Supplies P2-4</x:v>
      </x:c>
      <x:c r="E24" s="55" t="str">
        <x:v>Pump equipment</x:v>
      </x:c>
      <x:c r="F24" s="57" t="n">
        <x:v>190</x:v>
      </x:c>
      <x:c r="G24" s="56" t="n">
        <x:v>46283</x:v>
      </x:c>
      <x:c r="H24" s="55" t="str">
        <x:v>Approved for payment</x:v>
      </x:c>
      <x:c r="I24" s="55" t="str">
        <x:v>Fully paid</x:v>
      </x:c>
      <x:c r="J24" s="56" t="n">
        <x:v>46292</x:v>
      </x:c>
      <x:c r="K24" s="57" t="n">
        <x:v>190</x:v>
      </x:c>
      <x:c r="L24" s="57" t="n">
        <x:v>0</x:v>
      </x:c>
      <x:c r="M24" s="57" t="n">
        <x:v>190</x:v>
      </x:c>
      <x:c r="N24" s="56" t="n">
        <x:v>46295</x:v>
      </x:c>
      <x:c r="O24" s="56" t="n">
        <x:v>46292</x:v>
      </x:c>
      <x:c r="P24" s="55" t="str">
        <x:v>Payment allocation pending.</x:v>
      </x:c>
      <x:c r="Q24" s="55" t="str">
        <x:v>Next phase of Pump station.</x:v>
      </x:c>
      <x:c r="R24" s="55" t="str">
        <x:v>Confirm certification and approve staged payment.</x:v>
      </x:c>
      <x:c r="S24" s="55" t="str">
        <x:v>Demo Finance Lead P2</x:v>
      </x:c>
      <x:c r="T24" s="55" t="str">
        <x:v>S25WJH01-DEC-04</x:v>
      </x:c>
      <x:c r="U24" s="56" t="n">
        <x:v>46285</x:v>
      </x:c>
      <x:c r="V24" s="55" t="str">
        <x:v>FICTIONAL TEST DATA. All people, quantities, money, dates and statuses are invented; not project records.</x:v>
      </x:c>
    </x:row>
    <x:row r="25" ht="102" customHeight="1">
      <x:c r="A25" s="55" t="str">
        <x:v>S25WMP01</x:v>
      </x:c>
      <x:c r="B25" s="55" t="str">
        <x:v>S25WMP01-PAY-01</x:v>
      </x:c>
      <x:c r="C25" s="55" t="str">
        <x:v>Contractor</x:v>
      </x:c>
      <x:c r="D25" s="55" t="str">
        <x:v>Fictional Civil Works P3-1</x:v>
      </x:c>
      <x:c r="E25" s="55" t="str">
        <x:v>Concrete works</x:v>
      </x:c>
      <x:c r="F25" s="57" t="n">
        <x:v>160</x:v>
      </x:c>
      <x:c r="G25" s="56" t="n">
        <x:v>46268</x:v>
      </x:c>
      <x:c r="H25" s="55" t="str">
        <x:v>Fully paid</x:v>
      </x:c>
      <x:c r="I25" s="55" t="str">
        <x:v>Fully paid</x:v>
      </x:c>
      <x:c r="J25" s="56" t="n">
        <x:v>46281</x:v>
      </x:c>
      <x:c r="K25" s="57" t="n">
        <x:v>160</x:v>
      </x:c>
      <x:c r="L25" s="57" t="n">
        <x:v>160</x:v>
      </x:c>
      <x:c r="M25" s="57" t="n">
        <x:v>0</x:v>
      </x:c>
      <x:c r="N25" s="56" t="n">
        <x:v>46283</x:v>
      </x:c>
      <x:c r="O25" s="56" t="n">
        <x:v>46281</x:v>
      </x:c>
      <x:c r="P25" s="55" t="str">
        <x:v>None; settled.</x:v>
      </x:c>
      <x:c r="Q25" s="55" t="str">
        <x:v>None; item closed.</x:v>
      </x:c>
      <x:c r="R25" s="55" t="str">
        <x:v>No further action.</x:v>
      </x:c>
      <x:c r="S25" s="55" t="str">
        <x:v>Demo Finance Lead P3</x:v>
      </x:c>
      <x:c r="T25" s="55" t="str">
        <x:v>S25WMP01-DEC-01</x:v>
      </x:c>
      <x:c r="U25" s="56" t="n">
        <x:v>46285</x:v>
      </x:c>
      <x:c r="V25" s="55" t="str">
        <x:v>FICTIONAL TEST DATA. All people, quantities, money, dates and statuses are invented; not project records.</x:v>
      </x:c>
    </x:row>
    <x:row r="26" ht="102" customHeight="1">
      <x:c r="A26" s="55" t="str">
        <x:v>S25WMP01</x:v>
      </x:c>
      <x:c r="B26" s="55" t="str">
        <x:v>S25WMP01-PAY-02</x:v>
      </x:c>
      <x:c r="C26" s="55" t="str">
        <x:v>Vendor</x:v>
      </x:c>
      <x:c r="D26" s="55" t="str">
        <x:v>Fictional Supplies P3-2</x:v>
      </x:c>
      <x:c r="E26" s="55" t="str">
        <x:v>Reinforcement supply</x:v>
      </x:c>
      <x:c r="F26" s="57" t="n">
        <x:v>180</x:v>
      </x:c>
      <x:c r="G26" s="56" t="n">
        <x:v>46273</x:v>
      </x:c>
      <x:c r="H26" s="55" t="str">
        <x:v>Partly paid</x:v>
      </x:c>
      <x:c r="I26" s="55" t="str">
        <x:v>Fully paid</x:v>
      </x:c>
      <x:c r="J26" s="56" t="n">
        <x:v>46289</x:v>
      </x:c>
      <x:c r="K26" s="57" t="n">
        <x:v>180</x:v>
      </x:c>
      <x:c r="L26" s="57" t="n">
        <x:v>90</x:v>
      </x:c>
      <x:c r="M26" s="57" t="n">
        <x:v>90</x:v>
      </x:c>
      <x:c r="N26" s="56" t="n">
        <x:v>46290</x:v>
      </x:c>
      <x:c r="O26" s="56" t="n">
        <x:v>46289</x:v>
      </x:c>
      <x:c r="P26" s="55" t="str">
        <x:v>Payment allocation pending.</x:v>
      </x:c>
      <x:c r="Q26" s="55" t="str">
        <x:v>Next phase of Distribution zone.</x:v>
      </x:c>
      <x:c r="R26" s="55" t="str">
        <x:v>Confirm certification and approve staged payment.</x:v>
      </x:c>
      <x:c r="S26" s="55" t="str">
        <x:v>Demo Finance Lead P3</x:v>
      </x:c>
      <x:c r="T26" s="55" t="str">
        <x:v>S25WMP01-DEC-02</x:v>
      </x:c>
      <x:c r="U26" s="56" t="n">
        <x:v>46285</x:v>
      </x:c>
      <x:c r="V26" s="55" t="str">
        <x:v>FICTIONAL TEST DATA. All people, quantities, money, dates and statuses are invented; not project records.</x:v>
      </x:c>
    </x:row>
    <x:row r="27" ht="102" customHeight="1">
      <x:c r="A27" s="55" t="str">
        <x:v>S25WMP01</x:v>
      </x:c>
      <x:c r="B27" s="55" t="str">
        <x:v>S25WMP01-PAY-03</x:v>
      </x:c>
      <x:c r="C27" s="55" t="str">
        <x:v>Contractor</x:v>
      </x:c>
      <x:c r="D27" s="55" t="str">
        <x:v>Fictional Civil Works P3-3</x:v>
      </x:c>
      <x:c r="E27" s="55" t="str">
        <x:v>Earthwork</x:v>
      </x:c>
      <x:c r="F27" s="57" t="n">
        <x:v>200</x:v>
      </x:c>
      <x:c r="G27" s="56" t="n">
        <x:v>46279</x:v>
      </x:c>
      <x:c r="H27" s="55" t="str">
        <x:v>Under verification</x:v>
      </x:c>
      <x:c r="I27" s="55" t="str">
        <x:v>Certified</x:v>
      </x:c>
      <x:c r="J27" s="56" t="n">
        <x:v>46290</x:v>
      </x:c>
      <x:c r="K27" s="57" t="n">
        <x:v>0</x:v>
      </x:c>
      <x:c r="L27" s="57" t="n">
        <x:v>0</x:v>
      </x:c>
      <x:c r="M27" s="57" t="n">
        <x:v>200</x:v>
      </x:c>
      <x:c r="N27" s="56" t="n">
        <x:v>46293</x:v>
      </x:c>
      <x:c r="O27" s="56" t="n">
        <x:v>46293</x:v>
      </x:c>
      <x:c r="P27" s="55" t="str">
        <x:v>Quantity reconciliation pending.</x:v>
      </x:c>
      <x:c r="Q27" s="55" t="str">
        <x:v>Next phase of Pump house.</x:v>
      </x:c>
      <x:c r="R27" s="55" t="str">
        <x:v>Confirm certification and approve staged payment.</x:v>
      </x:c>
      <x:c r="S27" s="55" t="str">
        <x:v>Demo Finance Lead P3</x:v>
      </x:c>
      <x:c r="T27" s="55" t="str">
        <x:v>S25WMP01-DEC-03</x:v>
      </x:c>
      <x:c r="U27" s="56" t="n">
        <x:v>46285</x:v>
      </x:c>
      <x:c r="V27" s="55" t="str">
        <x:v>FICTIONAL TEST DATA. All people, quantities, money, dates and statuses are invented; not project records.</x:v>
      </x:c>
    </x:row>
    <x:row r="28" ht="102" customHeight="1">
      <x:c r="A28" s="55" t="str">
        <x:v>S25WMP01</x:v>
      </x:c>
      <x:c r="B28" s="55" t="str">
        <x:v>S25WMP01-PAY-04</x:v>
      </x:c>
      <x:c r="C28" s="55" t="str">
        <x:v>Vendor</x:v>
      </x:c>
      <x:c r="D28" s="55" t="str">
        <x:v>Fictional Supplies P3-4</x:v>
      </x:c>
      <x:c r="E28" s="55" t="str">
        <x:v>Pump equipment</x:v>
      </x:c>
      <x:c r="F28" s="57" t="n">
        <x:v>220</x:v>
      </x:c>
      <x:c r="G28" s="56" t="n">
        <x:v>46283</x:v>
      </x:c>
      <x:c r="H28" s="55" t="str">
        <x:v>Approved for payment</x:v>
      </x:c>
      <x:c r="I28" s="55" t="str">
        <x:v>Fully paid</x:v>
      </x:c>
      <x:c r="J28" s="56" t="n">
        <x:v>46292</x:v>
      </x:c>
      <x:c r="K28" s="57" t="n">
        <x:v>220</x:v>
      </x:c>
      <x:c r="L28" s="57" t="n">
        <x:v>0</x:v>
      </x:c>
      <x:c r="M28" s="57" t="n">
        <x:v>220</x:v>
      </x:c>
      <x:c r="N28" s="56" t="n">
        <x:v>46295</x:v>
      </x:c>
      <x:c r="O28" s="56" t="n">
        <x:v>46292</x:v>
      </x:c>
      <x:c r="P28" s="55" t="str">
        <x:v>Payment allocation pending.</x:v>
      </x:c>
      <x:c r="Q28" s="55" t="str">
        <x:v>Next phase of Water treatment plant.</x:v>
      </x:c>
      <x:c r="R28" s="55" t="str">
        <x:v>Confirm certification and approve staged payment.</x:v>
      </x:c>
      <x:c r="S28" s="55" t="str">
        <x:v>Demo Finance Lead P3</x:v>
      </x:c>
      <x:c r="T28" s="55" t="str">
        <x:v>S25WMP01-DEC-04</x:v>
      </x:c>
      <x:c r="U28" s="56" t="n">
        <x:v>46285</x:v>
      </x:c>
      <x:c r="V28" s="55" t="str">
        <x:v>FICTIONAL TEST DATA. All people, quantities, money, dates and statuses are invented; not project records.</x:v>
      </x:c>
    </x:row>
    <x:row r="29" ht="102" customHeight="1">
      <x:c r="A29" s="55" t="str">
        <x:v>S26BBI01</x:v>
      </x:c>
      <x:c r="B29" s="55" t="str">
        <x:v>S26BBI01-PAY-01</x:v>
      </x:c>
      <x:c r="C29" s="55" t="str">
        <x:v>Contractor</x:v>
      </x:c>
      <x:c r="D29" s="55" t="str">
        <x:v>Fictional Civil Works P4-1</x:v>
      </x:c>
      <x:c r="E29" s="55" t="str">
        <x:v>Concrete works</x:v>
      </x:c>
      <x:c r="F29" s="57" t="n">
        <x:v>190</x:v>
      </x:c>
      <x:c r="G29" s="56" t="n">
        <x:v>46268</x:v>
      </x:c>
      <x:c r="H29" s="55" t="str">
        <x:v>Fully paid</x:v>
      </x:c>
      <x:c r="I29" s="55" t="str">
        <x:v>Fully paid</x:v>
      </x:c>
      <x:c r="J29" s="56" t="n">
        <x:v>46281</x:v>
      </x:c>
      <x:c r="K29" s="57" t="n">
        <x:v>190</x:v>
      </x:c>
      <x:c r="L29" s="57" t="n">
        <x:v>190</x:v>
      </x:c>
      <x:c r="M29" s="57" t="n">
        <x:v>0</x:v>
      </x:c>
      <x:c r="N29" s="56" t="n">
        <x:v>46283</x:v>
      </x:c>
      <x:c r="O29" s="56" t="n">
        <x:v>46281</x:v>
      </x:c>
      <x:c r="P29" s="55" t="str">
        <x:v>None; settled.</x:v>
      </x:c>
      <x:c r="Q29" s="55" t="str">
        <x:v>None; item closed.</x:v>
      </x:c>
      <x:c r="R29" s="55" t="str">
        <x:v>No further action.</x:v>
      </x:c>
      <x:c r="S29" s="55" t="str">
        <x:v>Demo Finance Lead P4</x:v>
      </x:c>
      <x:c r="T29" s="55" t="str">
        <x:v>S26BBI01-DEC-01</x:v>
      </x:c>
      <x:c r="U29" s="56" t="n">
        <x:v>46285</x:v>
      </x:c>
      <x:c r="V29" s="55" t="str">
        <x:v>FICTIONAL TEST DATA. All people, quantities, money, dates and statuses are invented; not project records.</x:v>
      </x:c>
    </x:row>
    <x:row r="30" ht="102" customHeight="1">
      <x:c r="A30" s="55" t="str">
        <x:v>S26BBI01</x:v>
      </x:c>
      <x:c r="B30" s="55" t="str">
        <x:v>S26BBI01-PAY-02</x:v>
      </x:c>
      <x:c r="C30" s="55" t="str">
        <x:v>Vendor</x:v>
      </x:c>
      <x:c r="D30" s="55" t="str">
        <x:v>Fictional Supplies P4-2</x:v>
      </x:c>
      <x:c r="E30" s="55" t="str">
        <x:v>Reinforcement supply</x:v>
      </x:c>
      <x:c r="F30" s="57" t="n">
        <x:v>210</x:v>
      </x:c>
      <x:c r="G30" s="56" t="n">
        <x:v>46273</x:v>
      </x:c>
      <x:c r="H30" s="55" t="str">
        <x:v>Partly paid</x:v>
      </x:c>
      <x:c r="I30" s="55" t="str">
        <x:v>Fully paid</x:v>
      </x:c>
      <x:c r="J30" s="56" t="n">
        <x:v>46289</x:v>
      </x:c>
      <x:c r="K30" s="57" t="n">
        <x:v>210</x:v>
      </x:c>
      <x:c r="L30" s="57" t="n">
        <x:v>105</x:v>
      </x:c>
      <x:c r="M30" s="57" t="n">
        <x:v>105</x:v>
      </x:c>
      <x:c r="N30" s="56" t="n">
        <x:v>46290</x:v>
      </x:c>
      <x:c r="O30" s="56" t="n">
        <x:v>46289</x:v>
      </x:c>
      <x:c r="P30" s="55" t="str">
        <x:v>Payment allocation pending.</x:v>
      </x:c>
      <x:c r="Q30" s="55" t="str">
        <x:v>Next phase of Utility corridor.</x:v>
      </x:c>
      <x:c r="R30" s="55" t="str">
        <x:v>Confirm certification and approve staged payment.</x:v>
      </x:c>
      <x:c r="S30" s="55" t="str">
        <x:v>Demo Finance Lead P4</x:v>
      </x:c>
      <x:c r="T30" s="55" t="str">
        <x:v>S26BBI01-DEC-02</x:v>
      </x:c>
      <x:c r="U30" s="56" t="n">
        <x:v>46285</x:v>
      </x:c>
      <x:c r="V30" s="55" t="str">
        <x:v>FICTIONAL TEST DATA. All people, quantities, money, dates and statuses are invented; not project records.</x:v>
      </x:c>
    </x:row>
    <x:row r="31" ht="102" customHeight="1">
      <x:c r="A31" s="55" t="str">
        <x:v>S26BBI01</x:v>
      </x:c>
      <x:c r="B31" s="55" t="str">
        <x:v>S26BBI01-PAY-03</x:v>
      </x:c>
      <x:c r="C31" s="55" t="str">
        <x:v>Contractor</x:v>
      </x:c>
      <x:c r="D31" s="55" t="str">
        <x:v>Fictional Civil Works P4-3</x:v>
      </x:c>
      <x:c r="E31" s="55" t="str">
        <x:v>Earthwork</x:v>
      </x:c>
      <x:c r="F31" s="57" t="n">
        <x:v>230</x:v>
      </x:c>
      <x:c r="G31" s="56" t="n">
        <x:v>46279</x:v>
      </x:c>
      <x:c r="H31" s="55" t="str">
        <x:v>Under verification</x:v>
      </x:c>
      <x:c r="I31" s="55" t="str">
        <x:v>Certified</x:v>
      </x:c>
      <x:c r="J31" s="56" t="n">
        <x:v>46290</x:v>
      </x:c>
      <x:c r="K31" s="57" t="n">
        <x:v>0</x:v>
      </x:c>
      <x:c r="L31" s="57" t="n">
        <x:v>0</x:v>
      </x:c>
      <x:c r="M31" s="57" t="n">
        <x:v>230</x:v>
      </x:c>
      <x:c r="N31" s="56" t="n">
        <x:v>46293</x:v>
      </x:c>
      <x:c r="O31" s="56" t="n">
        <x:v>46293</x:v>
      </x:c>
      <x:c r="P31" s="55" t="str">
        <x:v>Quantity reconciliation pending.</x:v>
      </x:c>
      <x:c r="Q31" s="55" t="str">
        <x:v>Next phase of Pump foundation.</x:v>
      </x:c>
      <x:c r="R31" s="55" t="str">
        <x:v>Confirm certification and approve staged payment.</x:v>
      </x:c>
      <x:c r="S31" s="55" t="str">
        <x:v>Demo Finance Lead P4</x:v>
      </x:c>
      <x:c r="T31" s="55" t="str">
        <x:v>S26BBI01-DEC-03</x:v>
      </x:c>
      <x:c r="U31" s="56" t="n">
        <x:v>46285</x:v>
      </x:c>
      <x:c r="V31" s="55" t="str">
        <x:v>FICTIONAL TEST DATA. All people, quantities, money, dates and statuses are invented; not project records.</x:v>
      </x:c>
    </x:row>
    <x:row r="32" ht="102" customHeight="1">
      <x:c r="A32" s="55" t="str">
        <x:v>S26BBI01</x:v>
      </x:c>
      <x:c r="B32" s="55" t="str">
        <x:v>S26BBI01-PAY-04</x:v>
      </x:c>
      <x:c r="C32" s="55" t="str">
        <x:v>Vendor</x:v>
      </x:c>
      <x:c r="D32" s="55" t="str">
        <x:v>Fictional Supplies P4-4</x:v>
      </x:c>
      <x:c r="E32" s="55" t="str">
        <x:v>Pump equipment</x:v>
      </x:c>
      <x:c r="F32" s="57" t="n">
        <x:v>250</x:v>
      </x:c>
      <x:c r="G32" s="56" t="n">
        <x:v>46283</x:v>
      </x:c>
      <x:c r="H32" s="55" t="str">
        <x:v>Approved for payment</x:v>
      </x:c>
      <x:c r="I32" s="55" t="str">
        <x:v>Fully paid</x:v>
      </x:c>
      <x:c r="J32" s="56" t="n">
        <x:v>46292</x:v>
      </x:c>
      <x:c r="K32" s="57" t="n">
        <x:v>250</x:v>
      </x:c>
      <x:c r="L32" s="57" t="n">
        <x:v>0</x:v>
      </x:c>
      <x:c r="M32" s="57" t="n">
        <x:v>250</x:v>
      </x:c>
      <x:c r="N32" s="56" t="n">
        <x:v>46295</x:v>
      </x:c>
      <x:c r="O32" s="56" t="n">
        <x:v>46292</x:v>
      </x:c>
      <x:c r="P32" s="55" t="str">
        <x:v>Payment allocation pending.</x:v>
      </x:c>
      <x:c r="Q32" s="55" t="str">
        <x:v>Next phase of Service building.</x:v>
      </x:c>
      <x:c r="R32" s="55" t="str">
        <x:v>Confirm certification and approve staged payment.</x:v>
      </x:c>
      <x:c r="S32" s="55" t="str">
        <x:v>Demo Finance Lead P4</x:v>
      </x:c>
      <x:c r="T32" s="55" t="str">
        <x:v>S26BBI01-DEC-04</x:v>
      </x:c>
      <x:c r="U32" s="56" t="n">
        <x:v>46285</x:v>
      </x:c>
      <x:c r="V32" s="55" t="str">
        <x:v>FICTIONAL TEST DATA. All people, quantities, money, dates and statuses are invented; not project records.</x:v>
      </x:c>
    </x:row>
    <x:row r="33" ht="102" customHeight="1">
      <x:c r="A33" s="55" t="str">
        <x:v>S26PRJ01</x:v>
      </x:c>
      <x:c r="B33" s="55" t="str">
        <x:v>S26PRJ01-PAY-01</x:v>
      </x:c>
      <x:c r="C33" s="55" t="str">
        <x:v>Contractor</x:v>
      </x:c>
      <x:c r="D33" s="55" t="str">
        <x:v>Fictional Civil Works P5-1</x:v>
      </x:c>
      <x:c r="E33" s="55" t="str">
        <x:v>Concrete works</x:v>
      </x:c>
      <x:c r="F33" s="57" t="n">
        <x:v>220</x:v>
      </x:c>
      <x:c r="G33" s="56" t="n">
        <x:v>46268</x:v>
      </x:c>
      <x:c r="H33" s="55" t="str">
        <x:v>Fully paid</x:v>
      </x:c>
      <x:c r="I33" s="55" t="str">
        <x:v>Fully paid</x:v>
      </x:c>
      <x:c r="J33" s="56" t="n">
        <x:v>46281</x:v>
      </x:c>
      <x:c r="K33" s="57" t="n">
        <x:v>220</x:v>
      </x:c>
      <x:c r="L33" s="57" t="n">
        <x:v>220</x:v>
      </x:c>
      <x:c r="M33" s="57" t="n">
        <x:v>0</x:v>
      </x:c>
      <x:c r="N33" s="56" t="n">
        <x:v>46283</x:v>
      </x:c>
      <x:c r="O33" s="56" t="n">
        <x:v>46281</x:v>
      </x:c>
      <x:c r="P33" s="55" t="str">
        <x:v>None; settled.</x:v>
      </x:c>
      <x:c r="Q33" s="55" t="str">
        <x:v>None; item closed.</x:v>
      </x:c>
      <x:c r="R33" s="55" t="str">
        <x:v>No further action.</x:v>
      </x:c>
      <x:c r="S33" s="55" t="str">
        <x:v>Demo Finance Lead P5</x:v>
      </x:c>
      <x:c r="T33" s="55" t="str">
        <x:v>S26PRJ01-DEC-01</x:v>
      </x:c>
      <x:c r="U33" s="56" t="n">
        <x:v>46285</x:v>
      </x:c>
      <x:c r="V33" s="55" t="str">
        <x:v>FICTIONAL TEST DATA. All people, quantities, money, dates and statuses are invented; not project records.</x:v>
      </x:c>
    </x:row>
    <x:row r="34" ht="102" customHeight="1">
      <x:c r="A34" s="55" t="str">
        <x:v>S26PRJ01</x:v>
      </x:c>
      <x:c r="B34" s="55" t="str">
        <x:v>S26PRJ01-PAY-02</x:v>
      </x:c>
      <x:c r="C34" s="55" t="str">
        <x:v>Vendor</x:v>
      </x:c>
      <x:c r="D34" s="55" t="str">
        <x:v>Fictional Supplies P5-2</x:v>
      </x:c>
      <x:c r="E34" s="55" t="str">
        <x:v>Reinforcement supply</x:v>
      </x:c>
      <x:c r="F34" s="57" t="n">
        <x:v>240</x:v>
      </x:c>
      <x:c r="G34" s="56" t="n">
        <x:v>46273</x:v>
      </x:c>
      <x:c r="H34" s="55" t="str">
        <x:v>Partly paid</x:v>
      </x:c>
      <x:c r="I34" s="55" t="str">
        <x:v>Fully paid</x:v>
      </x:c>
      <x:c r="J34" s="56" t="n">
        <x:v>46289</x:v>
      </x:c>
      <x:c r="K34" s="57" t="n">
        <x:v>240</x:v>
      </x:c>
      <x:c r="L34" s="57" t="n">
        <x:v>120</x:v>
      </x:c>
      <x:c r="M34" s="57" t="n">
        <x:v>120</x:v>
      </x:c>
      <x:c r="N34" s="56" t="n">
        <x:v>46290</x:v>
      </x:c>
      <x:c r="O34" s="56" t="n">
        <x:v>46289</x:v>
      </x:c>
      <x:c r="P34" s="55" t="str">
        <x:v>Payment allocation pending.</x:v>
      </x:c>
      <x:c r="Q34" s="55" t="str">
        <x:v>Next phase of Cable trench.</x:v>
      </x:c>
      <x:c r="R34" s="55" t="str">
        <x:v>Confirm certification and approve staged payment.</x:v>
      </x:c>
      <x:c r="S34" s="55" t="str">
        <x:v>Demo Finance Lead P5</x:v>
      </x:c>
      <x:c r="T34" s="55" t="str">
        <x:v>S26PRJ01-DEC-02</x:v>
      </x:c>
      <x:c r="U34" s="56" t="n">
        <x:v>46285</x:v>
      </x:c>
      <x:c r="V34" s="55" t="str">
        <x:v>FICTIONAL TEST DATA. All people, quantities, money, dates and statuses are invented; not project records.</x:v>
      </x:c>
    </x:row>
    <x:row r="35" ht="102" customHeight="1">
      <x:c r="A35" s="55" t="str">
        <x:v>S26PRJ01</x:v>
      </x:c>
      <x:c r="B35" s="55" t="str">
        <x:v>S26PRJ01-PAY-03</x:v>
      </x:c>
      <x:c r="C35" s="55" t="str">
        <x:v>Contractor</x:v>
      </x:c>
      <x:c r="D35" s="55" t="str">
        <x:v>Fictional Civil Works P5-3</x:v>
      </x:c>
      <x:c r="E35" s="55" t="str">
        <x:v>Earthwork</x:v>
      </x:c>
      <x:c r="F35" s="57" t="n">
        <x:v>260</x:v>
      </x:c>
      <x:c r="G35" s="56" t="n">
        <x:v>46279</x:v>
      </x:c>
      <x:c r="H35" s="55" t="str">
        <x:v>Under verification</x:v>
      </x:c>
      <x:c r="I35" s="55" t="str">
        <x:v>Certified</x:v>
      </x:c>
      <x:c r="J35" s="56" t="n">
        <x:v>46290</x:v>
      </x:c>
      <x:c r="K35" s="57" t="n">
        <x:v>0</x:v>
      </x:c>
      <x:c r="L35" s="57" t="n">
        <x:v>0</x:v>
      </x:c>
      <x:c r="M35" s="57" t="n">
        <x:v>260</x:v>
      </x:c>
      <x:c r="N35" s="56" t="n">
        <x:v>46293</x:v>
      </x:c>
      <x:c r="O35" s="56" t="n">
        <x:v>46293</x:v>
      </x:c>
      <x:c r="P35" s="55" t="str">
        <x:v>Quantity reconciliation pending.</x:v>
      </x:c>
      <x:c r="Q35" s="55" t="str">
        <x:v>Next phase of Control room.</x:v>
      </x:c>
      <x:c r="R35" s="55" t="str">
        <x:v>Confirm certification and approve staged payment.</x:v>
      </x:c>
      <x:c r="S35" s="55" t="str">
        <x:v>Demo Finance Lead P5</x:v>
      </x:c>
      <x:c r="T35" s="55" t="str">
        <x:v>S26PRJ01-DEC-03</x:v>
      </x:c>
      <x:c r="U35" s="56" t="n">
        <x:v>46285</x:v>
      </x:c>
      <x:c r="V35" s="55" t="str">
        <x:v>FICTIONAL TEST DATA. All people, quantities, money, dates and statuses are invented; not project records.</x:v>
      </x:c>
    </x:row>
    <x:row r="36" ht="102" customHeight="1">
      <x:c r="A36" s="55" t="str">
        <x:v>S26PRJ01</x:v>
      </x:c>
      <x:c r="B36" s="55" t="str">
        <x:v>S26PRJ01-PAY-04</x:v>
      </x:c>
      <x:c r="C36" s="55" t="str">
        <x:v>Vendor</x:v>
      </x:c>
      <x:c r="D36" s="55" t="str">
        <x:v>Fictional Supplies P5-4</x:v>
      </x:c>
      <x:c r="E36" s="55" t="str">
        <x:v>Pump equipment</x:v>
      </x:c>
      <x:c r="F36" s="57" t="n">
        <x:v>280</x:v>
      </x:c>
      <x:c r="G36" s="56" t="n">
        <x:v>46283</x:v>
      </x:c>
      <x:c r="H36" s="55" t="str">
        <x:v>Approved for payment</x:v>
      </x:c>
      <x:c r="I36" s="55" t="str">
        <x:v>Fully paid</x:v>
      </x:c>
      <x:c r="J36" s="56" t="n">
        <x:v>46292</x:v>
      </x:c>
      <x:c r="K36" s="57" t="n">
        <x:v>280</x:v>
      </x:c>
      <x:c r="L36" s="57" t="n">
        <x:v>0</x:v>
      </x:c>
      <x:c r="M36" s="57" t="n">
        <x:v>280</x:v>
      </x:c>
      <x:c r="N36" s="56" t="n">
        <x:v>46295</x:v>
      </x:c>
      <x:c r="O36" s="56" t="n">
        <x:v>46292</x:v>
      </x:c>
      <x:c r="P36" s="55" t="str">
        <x:v>Payment allocation pending.</x:v>
      </x:c>
      <x:c r="Q36" s="55" t="str">
        <x:v>Next phase of Switchyard road.</x:v>
      </x:c>
      <x:c r="R36" s="55" t="str">
        <x:v>Confirm certification and approve staged payment.</x:v>
      </x:c>
      <x:c r="S36" s="55" t="str">
        <x:v>Demo Finance Lead P5</x:v>
      </x:c>
      <x:c r="T36" s="55" t="str">
        <x:v>S26PRJ01-DEC-04</x:v>
      </x:c>
      <x:c r="U36" s="56" t="n">
        <x:v>46285</x:v>
      </x:c>
      <x:c r="V36" s="55" t="str">
        <x:v>FICTIONAL TEST DATA. All people, quantities, money, dates and statuses are invented; not project records.</x:v>
      </x:c>
    </x:row>
    <x:row r="37" ht="28" customHeight="1">
      <x:c r="A37" s="55"/>
      <x:c r="B37" s="55"/>
      <x:c r="C37" s="55"/>
      <x:c r="D37" s="55"/>
      <x:c r="E37" s="55"/>
      <x:c r="F37" s="57"/>
      <x:c r="G37" s="56"/>
      <x:c r="H37" s="55"/>
      <x:c r="I37" s="55"/>
      <x:c r="J37" s="56"/>
      <x:c r="K37" s="57"/>
      <x:c r="L37" s="57"/>
      <x:c r="M37" s="57"/>
      <x:c r="N37" s="56"/>
      <x:c r="O37" s="56"/>
      <x:c r="P37" s="55"/>
      <x:c r="Q37" s="55"/>
      <x:c r="R37" s="55"/>
      <x:c r="S37" s="55"/>
      <x:c r="T37" s="55"/>
      <x:c r="U37" s="56"/>
      <x:c r="V37" s="55"/>
    </x:row>
    <x:row r="38" ht="28" customHeight="1">
      <x:c r="A38" s="55"/>
      <x:c r="B38" s="55"/>
      <x:c r="C38" s="55"/>
      <x:c r="D38" s="55"/>
      <x:c r="E38" s="55"/>
      <x:c r="F38" s="57"/>
      <x:c r="G38" s="56"/>
      <x:c r="H38" s="55"/>
      <x:c r="I38" s="55"/>
      <x:c r="J38" s="56"/>
      <x:c r="K38" s="57"/>
      <x:c r="L38" s="57"/>
      <x:c r="M38" s="57"/>
      <x:c r="N38" s="56"/>
      <x:c r="O38" s="56"/>
      <x:c r="P38" s="55"/>
      <x:c r="Q38" s="55"/>
      <x:c r="R38" s="55"/>
      <x:c r="S38" s="55"/>
      <x:c r="T38" s="55"/>
      <x:c r="U38" s="56"/>
      <x:c r="V38" s="55"/>
    </x:row>
    <x:row r="39" ht="28" customHeight="1">
      <x:c r="A39" s="55"/>
      <x:c r="B39" s="55"/>
      <x:c r="C39" s="55"/>
      <x:c r="D39" s="55"/>
      <x:c r="E39" s="55"/>
      <x:c r="F39" s="57"/>
      <x:c r="G39" s="56"/>
      <x:c r="H39" s="55"/>
      <x:c r="I39" s="55"/>
      <x:c r="J39" s="56"/>
      <x:c r="K39" s="57"/>
      <x:c r="L39" s="57"/>
      <x:c r="M39" s="57"/>
      <x:c r="N39" s="56"/>
      <x:c r="O39" s="56"/>
      <x:c r="P39" s="55"/>
      <x:c r="Q39" s="55"/>
      <x:c r="R39" s="55"/>
      <x:c r="S39" s="55"/>
      <x:c r="T39" s="55"/>
      <x:c r="U39" s="56"/>
      <x:c r="V39" s="55"/>
    </x:row>
    <x:row r="40" ht="28" customHeight="1">
      <x:c r="A40" s="55"/>
      <x:c r="B40" s="55"/>
      <x:c r="C40" s="55"/>
      <x:c r="D40" s="55"/>
      <x:c r="E40" s="55"/>
      <x:c r="F40" s="57"/>
      <x:c r="G40" s="56"/>
      <x:c r="H40" s="55"/>
      <x:c r="I40" s="55"/>
      <x:c r="J40" s="56"/>
      <x:c r="K40" s="57"/>
      <x:c r="L40" s="57"/>
      <x:c r="M40" s="57"/>
      <x:c r="N40" s="56"/>
      <x:c r="O40" s="56"/>
      <x:c r="P40" s="55"/>
      <x:c r="Q40" s="55"/>
      <x:c r="R40" s="55"/>
      <x:c r="S40" s="55"/>
      <x:c r="T40" s="55"/>
      <x:c r="U40" s="56"/>
      <x:c r="V40" s="55"/>
    </x:row>
    <x:row r="41" ht="28" customHeight="1">
      <x:c r="A41" s="55"/>
      <x:c r="B41" s="55"/>
      <x:c r="C41" s="55"/>
      <x:c r="D41" s="55"/>
      <x:c r="E41" s="55"/>
      <x:c r="F41" s="57"/>
      <x:c r="G41" s="56"/>
      <x:c r="H41" s="55"/>
      <x:c r="I41" s="55"/>
      <x:c r="J41" s="56"/>
      <x:c r="K41" s="57"/>
      <x:c r="L41" s="57"/>
      <x:c r="M41" s="57"/>
      <x:c r="N41" s="56"/>
      <x:c r="O41" s="56"/>
      <x:c r="P41" s="55"/>
      <x:c r="Q41" s="55"/>
      <x:c r="R41" s="55"/>
      <x:c r="S41" s="55"/>
      <x:c r="T41" s="55"/>
      <x:c r="U41" s="56"/>
      <x:c r="V41" s="55"/>
    </x:row>
    <x:row r="42" ht="28" customHeight="1">
      <x:c r="A42" s="55"/>
      <x:c r="B42" s="55"/>
      <x:c r="C42" s="55"/>
      <x:c r="D42" s="55"/>
      <x:c r="E42" s="55"/>
      <x:c r="F42" s="57"/>
      <x:c r="G42" s="56"/>
      <x:c r="H42" s="55"/>
      <x:c r="I42" s="55"/>
      <x:c r="J42" s="56"/>
      <x:c r="K42" s="57"/>
      <x:c r="L42" s="57"/>
      <x:c r="M42" s="57"/>
      <x:c r="N42" s="56"/>
      <x:c r="O42" s="56"/>
      <x:c r="P42" s="55"/>
      <x:c r="Q42" s="55"/>
      <x:c r="R42" s="55"/>
      <x:c r="S42" s="55"/>
      <x:c r="T42" s="55"/>
      <x:c r="U42" s="56"/>
      <x:c r="V42" s="55"/>
    </x:row>
    <x:row r="43" ht="28" customHeight="1">
      <x:c r="A43" s="55"/>
      <x:c r="B43" s="55"/>
      <x:c r="C43" s="55"/>
      <x:c r="D43" s="55"/>
      <x:c r="E43" s="55"/>
      <x:c r="F43" s="57"/>
      <x:c r="G43" s="56"/>
      <x:c r="H43" s="55"/>
      <x:c r="I43" s="55"/>
      <x:c r="J43" s="56"/>
      <x:c r="K43" s="57"/>
      <x:c r="L43" s="57"/>
      <x:c r="M43" s="57"/>
      <x:c r="N43" s="56"/>
      <x:c r="O43" s="56"/>
      <x:c r="P43" s="55"/>
      <x:c r="Q43" s="55"/>
      <x:c r="R43" s="55"/>
      <x:c r="S43" s="55"/>
      <x:c r="T43" s="55"/>
      <x:c r="U43" s="56"/>
      <x:c r="V43" s="55"/>
    </x:row>
    <x:row r="44" ht="28" customHeight="1">
      <x:c r="A44" s="55"/>
      <x:c r="B44" s="55"/>
      <x:c r="C44" s="55"/>
      <x:c r="D44" s="55"/>
      <x:c r="E44" s="55"/>
      <x:c r="F44" s="57"/>
      <x:c r="G44" s="56"/>
      <x:c r="H44" s="55"/>
      <x:c r="I44" s="55"/>
      <x:c r="J44" s="56"/>
      <x:c r="K44" s="57"/>
      <x:c r="L44" s="57"/>
      <x:c r="M44" s="57"/>
      <x:c r="N44" s="56"/>
      <x:c r="O44" s="56"/>
      <x:c r="P44" s="55"/>
      <x:c r="Q44" s="55"/>
      <x:c r="R44" s="55"/>
      <x:c r="S44" s="55"/>
      <x:c r="T44" s="55"/>
      <x:c r="U44" s="56"/>
      <x:c r="V44" s="55"/>
    </x:row>
    <x:row r="45" ht="28" customHeight="1">
      <x:c r="A45" s="55"/>
      <x:c r="B45" s="55"/>
      <x:c r="C45" s="55"/>
      <x:c r="D45" s="55"/>
      <x:c r="E45" s="55"/>
      <x:c r="F45" s="57"/>
      <x:c r="G45" s="56"/>
      <x:c r="H45" s="55"/>
      <x:c r="I45" s="55"/>
      <x:c r="J45" s="56"/>
      <x:c r="K45" s="57"/>
      <x:c r="L45" s="57"/>
      <x:c r="M45" s="57"/>
      <x:c r="N45" s="56"/>
      <x:c r="O45" s="56"/>
      <x:c r="P45" s="55"/>
      <x:c r="Q45" s="55"/>
      <x:c r="R45" s="55"/>
      <x:c r="S45" s="55"/>
      <x:c r="T45" s="55"/>
      <x:c r="U45" s="56"/>
      <x:c r="V45" s="55"/>
    </x:row>
    <x:row r="46" ht="28" customHeight="1">
      <x:c r="A46" s="55"/>
      <x:c r="B46" s="55"/>
      <x:c r="C46" s="55"/>
      <x:c r="D46" s="55"/>
      <x:c r="E46" s="55"/>
      <x:c r="F46" s="57"/>
      <x:c r="G46" s="56"/>
      <x:c r="H46" s="55"/>
      <x:c r="I46" s="55"/>
      <x:c r="J46" s="56"/>
      <x:c r="K46" s="57"/>
      <x:c r="L46" s="57"/>
      <x:c r="M46" s="57"/>
      <x:c r="N46" s="56"/>
      <x:c r="O46" s="56"/>
      <x:c r="P46" s="55"/>
      <x:c r="Q46" s="55"/>
      <x:c r="R46" s="55"/>
      <x:c r="S46" s="55"/>
      <x:c r="T46" s="55"/>
      <x:c r="U46" s="56"/>
      <x:c r="V46" s="55"/>
    </x:row>
    <x:row r="47" ht="28" customHeight="1">
      <x:c r="A47" s="55"/>
      <x:c r="B47" s="55"/>
      <x:c r="C47" s="55"/>
      <x:c r="D47" s="55"/>
      <x:c r="E47" s="55"/>
      <x:c r="F47" s="57"/>
      <x:c r="G47" s="56"/>
      <x:c r="H47" s="55"/>
      <x:c r="I47" s="55"/>
      <x:c r="J47" s="56"/>
      <x:c r="K47" s="57"/>
      <x:c r="L47" s="57"/>
      <x:c r="M47" s="57"/>
      <x:c r="N47" s="56"/>
      <x:c r="O47" s="56"/>
      <x:c r="P47" s="55"/>
      <x:c r="Q47" s="55"/>
      <x:c r="R47" s="55"/>
      <x:c r="S47" s="55"/>
      <x:c r="T47" s="55"/>
      <x:c r="U47" s="56"/>
      <x:c r="V47" s="55"/>
    </x:row>
    <x:row r="48" ht="28" customHeight="1">
      <x:c r="A48" s="55"/>
      <x:c r="B48" s="55"/>
      <x:c r="C48" s="55"/>
      <x:c r="D48" s="55"/>
      <x:c r="E48" s="55"/>
      <x:c r="F48" s="57"/>
      <x:c r="G48" s="56"/>
      <x:c r="H48" s="55"/>
      <x:c r="I48" s="55"/>
      <x:c r="J48" s="56"/>
      <x:c r="K48" s="57"/>
      <x:c r="L48" s="57"/>
      <x:c r="M48" s="57"/>
      <x:c r="N48" s="56"/>
      <x:c r="O48" s="56"/>
      <x:c r="P48" s="55"/>
      <x:c r="Q48" s="55"/>
      <x:c r="R48" s="55"/>
      <x:c r="S48" s="55"/>
      <x:c r="T48" s="55"/>
      <x:c r="U48" s="56"/>
      <x:c r="V48" s="55"/>
    </x:row>
    <x:row r="49" ht="28" customHeight="1">
      <x:c r="A49" s="55"/>
      <x:c r="B49" s="55"/>
      <x:c r="C49" s="55"/>
      <x:c r="D49" s="55"/>
      <x:c r="E49" s="55"/>
      <x:c r="F49" s="57"/>
      <x:c r="G49" s="56"/>
      <x:c r="H49" s="55"/>
      <x:c r="I49" s="55"/>
      <x:c r="J49" s="56"/>
      <x:c r="K49" s="57"/>
      <x:c r="L49" s="57"/>
      <x:c r="M49" s="57"/>
      <x:c r="N49" s="56"/>
      <x:c r="O49" s="56"/>
      <x:c r="P49" s="55"/>
      <x:c r="Q49" s="55"/>
      <x:c r="R49" s="55"/>
      <x:c r="S49" s="55"/>
      <x:c r="T49" s="55"/>
      <x:c r="U49" s="56"/>
      <x:c r="V49" s="55"/>
    </x:row>
    <x:row r="50" ht="28" customHeight="1">
      <x:c r="A50" s="55"/>
      <x:c r="B50" s="55"/>
      <x:c r="C50" s="55"/>
      <x:c r="D50" s="55"/>
      <x:c r="E50" s="55"/>
      <x:c r="F50" s="57"/>
      <x:c r="G50" s="56"/>
      <x:c r="H50" s="55"/>
      <x:c r="I50" s="55"/>
      <x:c r="J50" s="56"/>
      <x:c r="K50" s="57"/>
      <x:c r="L50" s="57"/>
      <x:c r="M50" s="57"/>
      <x:c r="N50" s="56"/>
      <x:c r="O50" s="56"/>
      <x:c r="P50" s="55"/>
      <x:c r="Q50" s="55"/>
      <x:c r="R50" s="55"/>
      <x:c r="S50" s="55"/>
      <x:c r="T50" s="55"/>
      <x:c r="U50" s="56"/>
      <x:c r="V50" s="55"/>
    </x:row>
    <x:row r="51" ht="28" customHeight="1">
      <x:c r="A51" s="55"/>
      <x:c r="B51" s="55"/>
      <x:c r="C51" s="55"/>
      <x:c r="D51" s="55"/>
      <x:c r="E51" s="55"/>
      <x:c r="F51" s="57"/>
      <x:c r="G51" s="56"/>
      <x:c r="H51" s="55"/>
      <x:c r="I51" s="55"/>
      <x:c r="J51" s="56"/>
      <x:c r="K51" s="57"/>
      <x:c r="L51" s="57"/>
      <x:c r="M51" s="57"/>
      <x:c r="N51" s="56"/>
      <x:c r="O51" s="56"/>
      <x:c r="P51" s="55"/>
      <x:c r="Q51" s="55"/>
      <x:c r="R51" s="55"/>
      <x:c r="S51" s="55"/>
      <x:c r="T51" s="55"/>
      <x:c r="U51" s="56"/>
      <x:c r="V51" s="55"/>
    </x:row>
    <x:row r="52" ht="28" customHeight="1">
      <x:c r="A52" s="55"/>
      <x:c r="B52" s="55"/>
      <x:c r="C52" s="55"/>
      <x:c r="D52" s="55"/>
      <x:c r="E52" s="55"/>
      <x:c r="F52" s="57"/>
      <x:c r="G52" s="56"/>
      <x:c r="H52" s="55"/>
      <x:c r="I52" s="55"/>
      <x:c r="J52" s="56"/>
      <x:c r="K52" s="57"/>
      <x:c r="L52" s="57"/>
      <x:c r="M52" s="57"/>
      <x:c r="N52" s="56"/>
      <x:c r="O52" s="56"/>
      <x:c r="P52" s="55"/>
      <x:c r="Q52" s="55"/>
      <x:c r="R52" s="55"/>
      <x:c r="S52" s="55"/>
      <x:c r="T52" s="55"/>
      <x:c r="U52" s="56"/>
      <x:c r="V52" s="55"/>
    </x:row>
    <x:row r="53" ht="28" customHeight="1">
      <x:c r="A53" s="55"/>
      <x:c r="B53" s="55"/>
      <x:c r="C53" s="55"/>
      <x:c r="D53" s="55"/>
      <x:c r="E53" s="55"/>
      <x:c r="F53" s="57"/>
      <x:c r="G53" s="56"/>
      <x:c r="H53" s="55"/>
      <x:c r="I53" s="55"/>
      <x:c r="J53" s="56"/>
      <x:c r="K53" s="57"/>
      <x:c r="L53" s="57"/>
      <x:c r="M53" s="57"/>
      <x:c r="N53" s="56"/>
      <x:c r="O53" s="56"/>
      <x:c r="P53" s="55"/>
      <x:c r="Q53" s="55"/>
      <x:c r="R53" s="55"/>
      <x:c r="S53" s="55"/>
      <x:c r="T53" s="55"/>
      <x:c r="U53" s="56"/>
      <x:c r="V53" s="55"/>
    </x:row>
    <x:row r="54" ht="28" customHeight="1">
      <x:c r="A54" s="55"/>
      <x:c r="B54" s="55"/>
      <x:c r="C54" s="55"/>
      <x:c r="D54" s="55"/>
      <x:c r="E54" s="55"/>
      <x:c r="F54" s="57"/>
      <x:c r="G54" s="56"/>
      <x:c r="H54" s="55"/>
      <x:c r="I54" s="55"/>
      <x:c r="J54" s="56"/>
      <x:c r="K54" s="57"/>
      <x:c r="L54" s="57"/>
      <x:c r="M54" s="57"/>
      <x:c r="N54" s="56"/>
      <x:c r="O54" s="56"/>
      <x:c r="P54" s="55"/>
      <x:c r="Q54" s="55"/>
      <x:c r="R54" s="55"/>
      <x:c r="S54" s="55"/>
      <x:c r="T54" s="55"/>
      <x:c r="U54" s="56"/>
      <x:c r="V54" s="55"/>
    </x:row>
    <x:row r="55" ht="28" customHeight="1">
      <x:c r="A55" s="55"/>
      <x:c r="B55" s="55"/>
      <x:c r="C55" s="55"/>
      <x:c r="D55" s="55"/>
      <x:c r="E55" s="55"/>
      <x:c r="F55" s="57"/>
      <x:c r="G55" s="56"/>
      <x:c r="H55" s="55"/>
      <x:c r="I55" s="55"/>
      <x:c r="J55" s="56"/>
      <x:c r="K55" s="57"/>
      <x:c r="L55" s="57"/>
      <x:c r="M55" s="57"/>
      <x:c r="N55" s="56"/>
      <x:c r="O55" s="56"/>
      <x:c r="P55" s="55"/>
      <x:c r="Q55" s="55"/>
      <x:c r="R55" s="55"/>
      <x:c r="S55" s="55"/>
      <x:c r="T55" s="55"/>
      <x:c r="U55" s="56"/>
      <x:c r="V55" s="55"/>
    </x:row>
    <x:row r="56" ht="28" customHeight="1">
      <x:c r="A56" s="55"/>
      <x:c r="B56" s="55"/>
      <x:c r="C56" s="55"/>
      <x:c r="D56" s="55"/>
      <x:c r="E56" s="55"/>
      <x:c r="F56" s="57"/>
      <x:c r="G56" s="56"/>
      <x:c r="H56" s="55"/>
      <x:c r="I56" s="55"/>
      <x:c r="J56" s="56"/>
      <x:c r="K56" s="57"/>
      <x:c r="L56" s="57"/>
      <x:c r="M56" s="57"/>
      <x:c r="N56" s="56"/>
      <x:c r="O56" s="56"/>
      <x:c r="P56" s="55"/>
      <x:c r="Q56" s="55"/>
      <x:c r="R56" s="55"/>
      <x:c r="S56" s="55"/>
      <x:c r="T56" s="55"/>
      <x:c r="U56" s="56"/>
      <x:c r="V56" s="55"/>
    </x:row>
    <x:row r="57" ht="28" customHeight="1">
      <x:c r="A57" s="55"/>
      <x:c r="B57" s="55"/>
      <x:c r="C57" s="55"/>
      <x:c r="D57" s="55"/>
      <x:c r="E57" s="55"/>
      <x:c r="F57" s="57"/>
      <x:c r="G57" s="56"/>
      <x:c r="H57" s="55"/>
      <x:c r="I57" s="55"/>
      <x:c r="J57" s="56"/>
      <x:c r="K57" s="57"/>
      <x:c r="L57" s="57"/>
      <x:c r="M57" s="57"/>
      <x:c r="N57" s="56"/>
      <x:c r="O57" s="56"/>
      <x:c r="P57" s="55"/>
      <x:c r="Q57" s="55"/>
      <x:c r="R57" s="55"/>
      <x:c r="S57" s="55"/>
      <x:c r="T57" s="55"/>
      <x:c r="U57" s="56"/>
      <x:c r="V57" s="55"/>
    </x:row>
    <x:row r="58" ht="28" customHeight="1">
      <x:c r="A58" s="55"/>
      <x:c r="B58" s="55"/>
      <x:c r="C58" s="55"/>
      <x:c r="D58" s="55"/>
      <x:c r="E58" s="55"/>
      <x:c r="F58" s="57"/>
      <x:c r="G58" s="56"/>
      <x:c r="H58" s="55"/>
      <x:c r="I58" s="55"/>
      <x:c r="J58" s="56"/>
      <x:c r="K58" s="57"/>
      <x:c r="L58" s="57"/>
      <x:c r="M58" s="57"/>
      <x:c r="N58" s="56"/>
      <x:c r="O58" s="56"/>
      <x:c r="P58" s="55"/>
      <x:c r="Q58" s="55"/>
      <x:c r="R58" s="55"/>
      <x:c r="S58" s="55"/>
      <x:c r="T58" s="55"/>
      <x:c r="U58" s="56"/>
      <x:c r="V58" s="55"/>
    </x:row>
    <x:row r="59" ht="28" customHeight="1">
      <x:c r="A59" s="55"/>
      <x:c r="B59" s="55"/>
      <x:c r="C59" s="55"/>
      <x:c r="D59" s="55"/>
      <x:c r="E59" s="55"/>
      <x:c r="F59" s="57"/>
      <x:c r="G59" s="56"/>
      <x:c r="H59" s="55"/>
      <x:c r="I59" s="55"/>
      <x:c r="J59" s="56"/>
      <x:c r="K59" s="57"/>
      <x:c r="L59" s="57"/>
      <x:c r="M59" s="57"/>
      <x:c r="N59" s="56"/>
      <x:c r="O59" s="56"/>
      <x:c r="P59" s="55"/>
      <x:c r="Q59" s="55"/>
      <x:c r="R59" s="55"/>
      <x:c r="S59" s="55"/>
      <x:c r="T59" s="55"/>
      <x:c r="U59" s="56"/>
      <x:c r="V59" s="55"/>
    </x:row>
    <x:row r="60" ht="28" customHeight="1">
      <x:c r="A60" s="55"/>
      <x:c r="B60" s="55"/>
      <x:c r="C60" s="55"/>
      <x:c r="D60" s="55"/>
      <x:c r="E60" s="55"/>
      <x:c r="F60" s="57"/>
      <x:c r="G60" s="56"/>
      <x:c r="H60" s="55"/>
      <x:c r="I60" s="55"/>
      <x:c r="J60" s="56"/>
      <x:c r="K60" s="57"/>
      <x:c r="L60" s="57"/>
      <x:c r="M60" s="57"/>
      <x:c r="N60" s="56"/>
      <x:c r="O60" s="56"/>
      <x:c r="P60" s="55"/>
      <x:c r="Q60" s="55"/>
      <x:c r="R60" s="55"/>
      <x:c r="S60" s="55"/>
      <x:c r="T60" s="55"/>
      <x:c r="U60" s="56"/>
      <x:c r="V60" s="55"/>
    </x:row>
    <x:row r="61" ht="28" customHeight="1">
      <x:c r="A61" s="55"/>
      <x:c r="B61" s="55"/>
      <x:c r="C61" s="55"/>
      <x:c r="D61" s="55"/>
      <x:c r="E61" s="55"/>
      <x:c r="F61" s="57"/>
      <x:c r="G61" s="56"/>
      <x:c r="H61" s="55"/>
      <x:c r="I61" s="55"/>
      <x:c r="J61" s="56"/>
      <x:c r="K61" s="57"/>
      <x:c r="L61" s="57"/>
      <x:c r="M61" s="57"/>
      <x:c r="N61" s="56"/>
      <x:c r="O61" s="56"/>
      <x:c r="P61" s="55"/>
      <x:c r="Q61" s="55"/>
      <x:c r="R61" s="55"/>
      <x:c r="S61" s="55"/>
      <x:c r="T61" s="55"/>
      <x:c r="U61" s="56"/>
      <x:c r="V61" s="55"/>
    </x:row>
    <x:row r="62" ht="28" customHeight="1">
      <x:c r="A62" s="55"/>
      <x:c r="B62" s="55"/>
      <x:c r="C62" s="55"/>
      <x:c r="D62" s="55"/>
      <x:c r="E62" s="55"/>
      <x:c r="F62" s="57"/>
      <x:c r="G62" s="56"/>
      <x:c r="H62" s="55"/>
      <x:c r="I62" s="55"/>
      <x:c r="J62" s="56"/>
      <x:c r="K62" s="57"/>
      <x:c r="L62" s="57"/>
      <x:c r="M62" s="57"/>
      <x:c r="N62" s="56"/>
      <x:c r="O62" s="56"/>
      <x:c r="P62" s="55"/>
      <x:c r="Q62" s="55"/>
      <x:c r="R62" s="55"/>
      <x:c r="S62" s="55"/>
      <x:c r="T62" s="55"/>
      <x:c r="U62" s="56"/>
      <x:c r="V62" s="55"/>
    </x:row>
    <x:row r="63" ht="28" customHeight="1">
      <x:c r="A63" s="55"/>
      <x:c r="B63" s="55"/>
      <x:c r="C63" s="55"/>
      <x:c r="D63" s="55"/>
      <x:c r="E63" s="55"/>
      <x:c r="F63" s="57"/>
      <x:c r="G63" s="56"/>
      <x:c r="H63" s="55"/>
      <x:c r="I63" s="55"/>
      <x:c r="J63" s="56"/>
      <x:c r="K63" s="57"/>
      <x:c r="L63" s="57"/>
      <x:c r="M63" s="57"/>
      <x:c r="N63" s="56"/>
      <x:c r="O63" s="56"/>
      <x:c r="P63" s="55"/>
      <x:c r="Q63" s="55"/>
      <x:c r="R63" s="55"/>
      <x:c r="S63" s="55"/>
      <x:c r="T63" s="55"/>
      <x:c r="U63" s="56"/>
      <x:c r="V63" s="55"/>
    </x:row>
    <x:row r="64" ht="28" customHeight="1">
      <x:c r="A64" s="55"/>
      <x:c r="B64" s="55"/>
      <x:c r="C64" s="55"/>
      <x:c r="D64" s="55"/>
      <x:c r="E64" s="55"/>
      <x:c r="F64" s="57"/>
      <x:c r="G64" s="56"/>
      <x:c r="H64" s="55"/>
      <x:c r="I64" s="55"/>
      <x:c r="J64" s="56"/>
      <x:c r="K64" s="57"/>
      <x:c r="L64" s="57"/>
      <x:c r="M64" s="57"/>
      <x:c r="N64" s="56"/>
      <x:c r="O64" s="56"/>
      <x:c r="P64" s="55"/>
      <x:c r="Q64" s="55"/>
      <x:c r="R64" s="55"/>
      <x:c r="S64" s="55"/>
      <x:c r="T64" s="55"/>
      <x:c r="U64" s="56"/>
      <x:c r="V64" s="55"/>
    </x:row>
    <x:row r="65" ht="28" customHeight="1">
      <x:c r="A65" s="55"/>
      <x:c r="B65" s="55"/>
      <x:c r="C65" s="55"/>
      <x:c r="D65" s="55"/>
      <x:c r="E65" s="55"/>
      <x:c r="F65" s="57"/>
      <x:c r="G65" s="56"/>
      <x:c r="H65" s="55"/>
      <x:c r="I65" s="55"/>
      <x:c r="J65" s="56"/>
      <x:c r="K65" s="57"/>
      <x:c r="L65" s="57"/>
      <x:c r="M65" s="57"/>
      <x:c r="N65" s="56"/>
      <x:c r="O65" s="56"/>
      <x:c r="P65" s="55"/>
      <x:c r="Q65" s="55"/>
      <x:c r="R65" s="55"/>
      <x:c r="S65" s="55"/>
      <x:c r="T65" s="55"/>
      <x:c r="U65" s="56"/>
      <x:c r="V65" s="55"/>
    </x:row>
    <x:row r="66" ht="28" customHeight="1">
      <x:c r="A66" s="55"/>
      <x:c r="B66" s="55"/>
      <x:c r="C66" s="55"/>
      <x:c r="D66" s="55"/>
      <x:c r="E66" s="55"/>
      <x:c r="F66" s="57"/>
      <x:c r="G66" s="56"/>
      <x:c r="H66" s="55"/>
      <x:c r="I66" s="55"/>
      <x:c r="J66" s="56"/>
      <x:c r="K66" s="57"/>
      <x:c r="L66" s="57"/>
      <x:c r="M66" s="57"/>
      <x:c r="N66" s="56"/>
      <x:c r="O66" s="56"/>
      <x:c r="P66" s="55"/>
      <x:c r="Q66" s="55"/>
      <x:c r="R66" s="55"/>
      <x:c r="S66" s="55"/>
      <x:c r="T66" s="55"/>
      <x:c r="U66" s="56"/>
      <x:c r="V66" s="55"/>
    </x:row>
    <x:row r="67" ht="28" customHeight="1">
      <x:c r="A67" s="55"/>
      <x:c r="B67" s="55"/>
      <x:c r="C67" s="55"/>
      <x:c r="D67" s="55"/>
      <x:c r="E67" s="55"/>
      <x:c r="F67" s="57"/>
      <x:c r="G67" s="56"/>
      <x:c r="H67" s="55"/>
      <x:c r="I67" s="55"/>
      <x:c r="J67" s="56"/>
      <x:c r="K67" s="57"/>
      <x:c r="L67" s="57"/>
      <x:c r="M67" s="57"/>
      <x:c r="N67" s="56"/>
      <x:c r="O67" s="56"/>
      <x:c r="P67" s="55"/>
      <x:c r="Q67" s="55"/>
      <x:c r="R67" s="55"/>
      <x:c r="S67" s="55"/>
      <x:c r="T67" s="55"/>
      <x:c r="U67" s="56"/>
      <x:c r="V67" s="55"/>
    </x:row>
    <x:row r="68" ht="28" customHeight="1">
      <x:c r="A68" s="55"/>
      <x:c r="B68" s="55"/>
      <x:c r="C68" s="55"/>
      <x:c r="D68" s="55"/>
      <x:c r="E68" s="55"/>
      <x:c r="F68" s="57"/>
      <x:c r="G68" s="56"/>
      <x:c r="H68" s="55"/>
      <x:c r="I68" s="55"/>
      <x:c r="J68" s="56"/>
      <x:c r="K68" s="57"/>
      <x:c r="L68" s="57"/>
      <x:c r="M68" s="57"/>
      <x:c r="N68" s="56"/>
      <x:c r="O68" s="56"/>
      <x:c r="P68" s="55"/>
      <x:c r="Q68" s="55"/>
      <x:c r="R68" s="55"/>
      <x:c r="S68" s="55"/>
      <x:c r="T68" s="55"/>
      <x:c r="U68" s="56"/>
      <x:c r="V68" s="55"/>
    </x:row>
    <x:row r="69" ht="28" customHeight="1">
      <x:c r="A69" s="55"/>
      <x:c r="B69" s="55"/>
      <x:c r="C69" s="55"/>
      <x:c r="D69" s="55"/>
      <x:c r="E69" s="55"/>
      <x:c r="F69" s="57"/>
      <x:c r="G69" s="56"/>
      <x:c r="H69" s="55"/>
      <x:c r="I69" s="55"/>
      <x:c r="J69" s="56"/>
      <x:c r="K69" s="57"/>
      <x:c r="L69" s="57"/>
      <x:c r="M69" s="57"/>
      <x:c r="N69" s="56"/>
      <x:c r="O69" s="56"/>
      <x:c r="P69" s="55"/>
      <x:c r="Q69" s="55"/>
      <x:c r="R69" s="55"/>
      <x:c r="S69" s="55"/>
      <x:c r="T69" s="55"/>
      <x:c r="U69" s="56"/>
      <x:c r="V69" s="55"/>
    </x:row>
    <x:row r="70" ht="28" customHeight="1">
      <x:c r="A70" s="55"/>
      <x:c r="B70" s="55"/>
      <x:c r="C70" s="55"/>
      <x:c r="D70" s="55"/>
      <x:c r="E70" s="55"/>
      <x:c r="F70" s="57"/>
      <x:c r="G70" s="56"/>
      <x:c r="H70" s="55"/>
      <x:c r="I70" s="55"/>
      <x:c r="J70" s="56"/>
      <x:c r="K70" s="57"/>
      <x:c r="L70" s="57"/>
      <x:c r="M70" s="57"/>
      <x:c r="N70" s="56"/>
      <x:c r="O70" s="56"/>
      <x:c r="P70" s="55"/>
      <x:c r="Q70" s="55"/>
      <x:c r="R70" s="55"/>
      <x:c r="S70" s="55"/>
      <x:c r="T70" s="55"/>
      <x:c r="U70" s="56"/>
      <x:c r="V70" s="55"/>
    </x:row>
    <x:row r="71" ht="28" customHeight="1">
      <x:c r="A71" s="55"/>
      <x:c r="B71" s="55"/>
      <x:c r="C71" s="55"/>
      <x:c r="D71" s="55"/>
      <x:c r="E71" s="55"/>
      <x:c r="F71" s="57"/>
      <x:c r="G71" s="56"/>
      <x:c r="H71" s="55"/>
      <x:c r="I71" s="55"/>
      <x:c r="J71" s="56"/>
      <x:c r="K71" s="57"/>
      <x:c r="L71" s="57"/>
      <x:c r="M71" s="57"/>
      <x:c r="N71" s="56"/>
      <x:c r="O71" s="56"/>
      <x:c r="P71" s="55"/>
      <x:c r="Q71" s="55"/>
      <x:c r="R71" s="55"/>
      <x:c r="S71" s="55"/>
      <x:c r="T71" s="55"/>
      <x:c r="U71" s="56"/>
      <x:c r="V71" s="55"/>
    </x:row>
    <x:row r="72" ht="28" customHeight="1">
      <x:c r="A72" s="55"/>
      <x:c r="B72" s="55"/>
      <x:c r="C72" s="55"/>
      <x:c r="D72" s="55"/>
      <x:c r="E72" s="55"/>
      <x:c r="F72" s="57"/>
      <x:c r="G72" s="56"/>
      <x:c r="H72" s="55"/>
      <x:c r="I72" s="55"/>
      <x:c r="J72" s="56"/>
      <x:c r="K72" s="57"/>
      <x:c r="L72" s="57"/>
      <x:c r="M72" s="57"/>
      <x:c r="N72" s="56"/>
      <x:c r="O72" s="56"/>
      <x:c r="P72" s="55"/>
      <x:c r="Q72" s="55"/>
      <x:c r="R72" s="55"/>
      <x:c r="S72" s="55"/>
      <x:c r="T72" s="55"/>
      <x:c r="U72" s="56"/>
      <x:c r="V72" s="55"/>
    </x:row>
    <x:row r="73" ht="28" customHeight="1">
      <x:c r="A73" s="55"/>
      <x:c r="B73" s="55"/>
      <x:c r="C73" s="55"/>
      <x:c r="D73" s="55"/>
      <x:c r="E73" s="55"/>
      <x:c r="F73" s="57"/>
      <x:c r="G73" s="56"/>
      <x:c r="H73" s="55"/>
      <x:c r="I73" s="55"/>
      <x:c r="J73" s="56"/>
      <x:c r="K73" s="57"/>
      <x:c r="L73" s="57"/>
      <x:c r="M73" s="57"/>
      <x:c r="N73" s="56"/>
      <x:c r="O73" s="56"/>
      <x:c r="P73" s="55"/>
      <x:c r="Q73" s="55"/>
      <x:c r="R73" s="55"/>
      <x:c r="S73" s="55"/>
      <x:c r="T73" s="55"/>
      <x:c r="U73" s="56"/>
      <x:c r="V73" s="55"/>
    </x:row>
    <x:row r="74" ht="28" customHeight="1">
      <x:c r="A74" s="55"/>
      <x:c r="B74" s="55"/>
      <x:c r="C74" s="55"/>
      <x:c r="D74" s="55"/>
      <x:c r="E74" s="55"/>
      <x:c r="F74" s="57"/>
      <x:c r="G74" s="56"/>
      <x:c r="H74" s="55"/>
      <x:c r="I74" s="55"/>
      <x:c r="J74" s="56"/>
      <x:c r="K74" s="57"/>
      <x:c r="L74" s="57"/>
      <x:c r="M74" s="57"/>
      <x:c r="N74" s="56"/>
      <x:c r="O74" s="56"/>
      <x:c r="P74" s="55"/>
      <x:c r="Q74" s="55"/>
      <x:c r="R74" s="55"/>
      <x:c r="S74" s="55"/>
      <x:c r="T74" s="55"/>
      <x:c r="U74" s="56"/>
      <x:c r="V74" s="55"/>
    </x:row>
    <x:row r="75" ht="28" customHeight="1">
      <x:c r="A75" s="55"/>
      <x:c r="B75" s="55"/>
      <x:c r="C75" s="55"/>
      <x:c r="D75" s="55"/>
      <x:c r="E75" s="55"/>
      <x:c r="F75" s="57"/>
      <x:c r="G75" s="56"/>
      <x:c r="H75" s="55"/>
      <x:c r="I75" s="55"/>
      <x:c r="J75" s="56"/>
      <x:c r="K75" s="57"/>
      <x:c r="L75" s="57"/>
      <x:c r="M75" s="57"/>
      <x:c r="N75" s="56"/>
      <x:c r="O75" s="56"/>
      <x:c r="P75" s="55"/>
      <x:c r="Q75" s="55"/>
      <x:c r="R75" s="55"/>
      <x:c r="S75" s="55"/>
      <x:c r="T75" s="55"/>
      <x:c r="U75" s="56"/>
      <x:c r="V75" s="55"/>
    </x:row>
    <x:row r="76" ht="28" customHeight="1">
      <x:c r="A76" s="55"/>
      <x:c r="B76" s="55"/>
      <x:c r="C76" s="55"/>
      <x:c r="D76" s="55"/>
      <x:c r="E76" s="55"/>
      <x:c r="F76" s="57"/>
      <x:c r="G76" s="56"/>
      <x:c r="H76" s="55"/>
      <x:c r="I76" s="55"/>
      <x:c r="J76" s="56"/>
      <x:c r="K76" s="57"/>
      <x:c r="L76" s="57"/>
      <x:c r="M76" s="57"/>
      <x:c r="N76" s="56"/>
      <x:c r="O76" s="56"/>
      <x:c r="P76" s="55"/>
      <x:c r="Q76" s="55"/>
      <x:c r="R76" s="55"/>
      <x:c r="S76" s="55"/>
      <x:c r="T76" s="55"/>
      <x:c r="U76" s="56"/>
      <x:c r="V76" s="55"/>
    </x:row>
    <x:row r="77" ht="28" customHeight="1">
      <x:c r="A77" s="55"/>
      <x:c r="B77" s="55"/>
      <x:c r="C77" s="55"/>
      <x:c r="D77" s="55"/>
      <x:c r="E77" s="55"/>
      <x:c r="F77" s="57"/>
      <x:c r="G77" s="56"/>
      <x:c r="H77" s="55"/>
      <x:c r="I77" s="55"/>
      <x:c r="J77" s="56"/>
      <x:c r="K77" s="57"/>
      <x:c r="L77" s="57"/>
      <x:c r="M77" s="57"/>
      <x:c r="N77" s="56"/>
      <x:c r="O77" s="56"/>
      <x:c r="P77" s="55"/>
      <x:c r="Q77" s="55"/>
      <x:c r="R77" s="55"/>
      <x:c r="S77" s="55"/>
      <x:c r="T77" s="55"/>
      <x:c r="U77" s="56"/>
      <x:c r="V77" s="55"/>
    </x:row>
    <x:row r="78" ht="28" customHeight="1">
      <x:c r="A78" s="55"/>
      <x:c r="B78" s="55"/>
      <x:c r="C78" s="55"/>
      <x:c r="D78" s="55"/>
      <x:c r="E78" s="55"/>
      <x:c r="F78" s="57"/>
      <x:c r="G78" s="56"/>
      <x:c r="H78" s="55"/>
      <x:c r="I78" s="55"/>
      <x:c r="J78" s="56"/>
      <x:c r="K78" s="57"/>
      <x:c r="L78" s="57"/>
      <x:c r="M78" s="57"/>
      <x:c r="N78" s="56"/>
      <x:c r="O78" s="56"/>
      <x:c r="P78" s="55"/>
      <x:c r="Q78" s="55"/>
      <x:c r="R78" s="55"/>
      <x:c r="S78" s="55"/>
      <x:c r="T78" s="55"/>
      <x:c r="U78" s="56"/>
      <x:c r="V78" s="55"/>
    </x:row>
    <x:row r="79" ht="28" customHeight="1">
      <x:c r="A79" s="55"/>
      <x:c r="B79" s="55"/>
      <x:c r="C79" s="55"/>
      <x:c r="D79" s="55"/>
      <x:c r="E79" s="55"/>
      <x:c r="F79" s="57"/>
      <x:c r="G79" s="56"/>
      <x:c r="H79" s="55"/>
      <x:c r="I79" s="55"/>
      <x:c r="J79" s="56"/>
      <x:c r="K79" s="57"/>
      <x:c r="L79" s="57"/>
      <x:c r="M79" s="57"/>
      <x:c r="N79" s="56"/>
      <x:c r="O79" s="56"/>
      <x:c r="P79" s="55"/>
      <x:c r="Q79" s="55"/>
      <x:c r="R79" s="55"/>
      <x:c r="S79" s="55"/>
      <x:c r="T79" s="55"/>
      <x:c r="U79" s="56"/>
      <x:c r="V79" s="55"/>
    </x:row>
    <x:row r="80" ht="28" customHeight="1">
      <x:c r="A80" s="55"/>
      <x:c r="B80" s="55"/>
      <x:c r="C80" s="55"/>
      <x:c r="D80" s="55"/>
      <x:c r="E80" s="55"/>
      <x:c r="F80" s="57"/>
      <x:c r="G80" s="56"/>
      <x:c r="H80" s="55"/>
      <x:c r="I80" s="55"/>
      <x:c r="J80" s="56"/>
      <x:c r="K80" s="57"/>
      <x:c r="L80" s="57"/>
      <x:c r="M80" s="57"/>
      <x:c r="N80" s="56"/>
      <x:c r="O80" s="56"/>
      <x:c r="P80" s="55"/>
      <x:c r="Q80" s="55"/>
      <x:c r="R80" s="55"/>
      <x:c r="S80" s="55"/>
      <x:c r="T80" s="55"/>
      <x:c r="U80" s="56"/>
      <x:c r="V80" s="55"/>
    </x:row>
    <x:row r="81" ht="28" customHeight="1">
      <x:c r="A81" s="55"/>
      <x:c r="B81" s="55"/>
      <x:c r="C81" s="55"/>
      <x:c r="D81" s="55"/>
      <x:c r="E81" s="55"/>
      <x:c r="F81" s="57"/>
      <x:c r="G81" s="56"/>
      <x:c r="H81" s="55"/>
      <x:c r="I81" s="55"/>
      <x:c r="J81" s="56"/>
      <x:c r="K81" s="57"/>
      <x:c r="L81" s="57"/>
      <x:c r="M81" s="57"/>
      <x:c r="N81" s="56"/>
      <x:c r="O81" s="56"/>
      <x:c r="P81" s="55"/>
      <x:c r="Q81" s="55"/>
      <x:c r="R81" s="55"/>
      <x:c r="S81" s="55"/>
      <x:c r="T81" s="55"/>
      <x:c r="U81" s="56"/>
      <x:c r="V81" s="55"/>
    </x:row>
    <x:row r="82" ht="28" customHeight="1">
      <x:c r="A82" s="55"/>
      <x:c r="B82" s="55"/>
      <x:c r="C82" s="55"/>
      <x:c r="D82" s="55"/>
      <x:c r="E82" s="55"/>
      <x:c r="F82" s="57"/>
      <x:c r="G82" s="56"/>
      <x:c r="H82" s="55"/>
      <x:c r="I82" s="55"/>
      <x:c r="J82" s="56"/>
      <x:c r="K82" s="57"/>
      <x:c r="L82" s="57"/>
      <x:c r="M82" s="57"/>
      <x:c r="N82" s="56"/>
      <x:c r="O82" s="56"/>
      <x:c r="P82" s="55"/>
      <x:c r="Q82" s="55"/>
      <x:c r="R82" s="55"/>
      <x:c r="S82" s="55"/>
      <x:c r="T82" s="55"/>
      <x:c r="U82" s="56"/>
      <x:c r="V82" s="55"/>
    </x:row>
    <x:row r="83" ht="28" customHeight="1">
      <x:c r="A83" s="55"/>
      <x:c r="B83" s="55"/>
      <x:c r="C83" s="55"/>
      <x:c r="D83" s="55"/>
      <x:c r="E83" s="55"/>
      <x:c r="F83" s="57"/>
      <x:c r="G83" s="56"/>
      <x:c r="H83" s="55"/>
      <x:c r="I83" s="55"/>
      <x:c r="J83" s="56"/>
      <x:c r="K83" s="57"/>
      <x:c r="L83" s="57"/>
      <x:c r="M83" s="57"/>
      <x:c r="N83" s="56"/>
      <x:c r="O83" s="56"/>
      <x:c r="P83" s="55"/>
      <x:c r="Q83" s="55"/>
      <x:c r="R83" s="55"/>
      <x:c r="S83" s="55"/>
      <x:c r="T83" s="55"/>
      <x:c r="U83" s="56"/>
      <x:c r="V83" s="55"/>
    </x:row>
    <x:row r="84" ht="28" customHeight="1">
      <x:c r="A84" s="55"/>
      <x:c r="B84" s="55"/>
      <x:c r="C84" s="55"/>
      <x:c r="D84" s="55"/>
      <x:c r="E84" s="55"/>
      <x:c r="F84" s="57"/>
      <x:c r="G84" s="56"/>
      <x:c r="H84" s="55"/>
      <x:c r="I84" s="55"/>
      <x:c r="J84" s="56"/>
      <x:c r="K84" s="57"/>
      <x:c r="L84" s="57"/>
      <x:c r="M84" s="57"/>
      <x:c r="N84" s="56"/>
      <x:c r="O84" s="56"/>
      <x:c r="P84" s="55"/>
      <x:c r="Q84" s="55"/>
      <x:c r="R84" s="55"/>
      <x:c r="S84" s="55"/>
      <x:c r="T84" s="55"/>
      <x:c r="U84" s="56"/>
      <x:c r="V84" s="55"/>
    </x:row>
    <x:row r="85" ht="28" customHeight="1">
      <x:c r="A85" s="55"/>
      <x:c r="B85" s="55"/>
      <x:c r="C85" s="55"/>
      <x:c r="D85" s="55"/>
      <x:c r="E85" s="55"/>
      <x:c r="F85" s="57"/>
      <x:c r="G85" s="56"/>
      <x:c r="H85" s="55"/>
      <x:c r="I85" s="55"/>
      <x:c r="J85" s="56"/>
      <x:c r="K85" s="57"/>
      <x:c r="L85" s="57"/>
      <x:c r="M85" s="57"/>
      <x:c r="N85" s="56"/>
      <x:c r="O85" s="56"/>
      <x:c r="P85" s="55"/>
      <x:c r="Q85" s="55"/>
      <x:c r="R85" s="55"/>
      <x:c r="S85" s="55"/>
      <x:c r="T85" s="55"/>
      <x:c r="U85" s="56"/>
      <x:c r="V85" s="55"/>
    </x:row>
    <x:row r="86" ht="28" customHeight="1">
      <x:c r="A86" s="55"/>
      <x:c r="B86" s="55"/>
      <x:c r="C86" s="55"/>
      <x:c r="D86" s="55"/>
      <x:c r="E86" s="55"/>
      <x:c r="F86" s="57"/>
      <x:c r="G86" s="56"/>
      <x:c r="H86" s="55"/>
      <x:c r="I86" s="55"/>
      <x:c r="J86" s="56"/>
      <x:c r="K86" s="57"/>
      <x:c r="L86" s="57"/>
      <x:c r="M86" s="57"/>
      <x:c r="N86" s="56"/>
      <x:c r="O86" s="56"/>
      <x:c r="P86" s="55"/>
      <x:c r="Q86" s="55"/>
      <x:c r="R86" s="55"/>
      <x:c r="S86" s="55"/>
      <x:c r="T86" s="55"/>
      <x:c r="U86" s="56"/>
      <x:c r="V86" s="55"/>
    </x:row>
    <x:row r="87" ht="28" customHeight="1">
      <x:c r="A87" s="55"/>
      <x:c r="B87" s="55"/>
      <x:c r="C87" s="55"/>
      <x:c r="D87" s="55"/>
      <x:c r="E87" s="55"/>
      <x:c r="F87" s="57"/>
      <x:c r="G87" s="56"/>
      <x:c r="H87" s="55"/>
      <x:c r="I87" s="55"/>
      <x:c r="J87" s="56"/>
      <x:c r="K87" s="57"/>
      <x:c r="L87" s="57"/>
      <x:c r="M87" s="57"/>
      <x:c r="N87" s="56"/>
      <x:c r="O87" s="56"/>
      <x:c r="P87" s="55"/>
      <x:c r="Q87" s="55"/>
      <x:c r="R87" s="55"/>
      <x:c r="S87" s="55"/>
      <x:c r="T87" s="55"/>
      <x:c r="U87" s="56"/>
      <x:c r="V87" s="55"/>
    </x:row>
    <x:row r="88" ht="28" customHeight="1">
      <x:c r="A88" s="55"/>
      <x:c r="B88" s="55"/>
      <x:c r="C88" s="55"/>
      <x:c r="D88" s="55"/>
      <x:c r="E88" s="55"/>
      <x:c r="F88" s="57"/>
      <x:c r="G88" s="56"/>
      <x:c r="H88" s="55"/>
      <x:c r="I88" s="55"/>
      <x:c r="J88" s="56"/>
      <x:c r="K88" s="57"/>
      <x:c r="L88" s="57"/>
      <x:c r="M88" s="57"/>
      <x:c r="N88" s="56"/>
      <x:c r="O88" s="56"/>
      <x:c r="P88" s="55"/>
      <x:c r="Q88" s="55"/>
      <x:c r="R88" s="55"/>
      <x:c r="S88" s="55"/>
      <x:c r="T88" s="55"/>
      <x:c r="U88" s="56"/>
      <x:c r="V88" s="55"/>
    </x:row>
    <x:row r="89" ht="28" customHeight="1">
      <x:c r="A89" s="55"/>
      <x:c r="B89" s="55"/>
      <x:c r="C89" s="55"/>
      <x:c r="D89" s="55"/>
      <x:c r="E89" s="55"/>
      <x:c r="F89" s="57"/>
      <x:c r="G89" s="56"/>
      <x:c r="H89" s="55"/>
      <x:c r="I89" s="55"/>
      <x:c r="J89" s="56"/>
      <x:c r="K89" s="57"/>
      <x:c r="L89" s="57"/>
      <x:c r="M89" s="57"/>
      <x:c r="N89" s="56"/>
      <x:c r="O89" s="56"/>
      <x:c r="P89" s="55"/>
      <x:c r="Q89" s="55"/>
      <x:c r="R89" s="55"/>
      <x:c r="S89" s="55"/>
      <x:c r="T89" s="55"/>
      <x:c r="U89" s="56"/>
      <x:c r="V89" s="55"/>
    </x:row>
    <x:row r="90" ht="28" customHeight="1">
      <x:c r="A90" s="55"/>
      <x:c r="B90" s="55"/>
      <x:c r="C90" s="55"/>
      <x:c r="D90" s="55"/>
      <x:c r="E90" s="55"/>
      <x:c r="F90" s="57"/>
      <x:c r="G90" s="56"/>
      <x:c r="H90" s="55"/>
      <x:c r="I90" s="55"/>
      <x:c r="J90" s="56"/>
      <x:c r="K90" s="57"/>
      <x:c r="L90" s="57"/>
      <x:c r="M90" s="57"/>
      <x:c r="N90" s="56"/>
      <x:c r="O90" s="56"/>
      <x:c r="P90" s="55"/>
      <x:c r="Q90" s="55"/>
      <x:c r="R90" s="55"/>
      <x:c r="S90" s="55"/>
      <x:c r="T90" s="55"/>
      <x:c r="U90" s="56"/>
      <x:c r="V90" s="55"/>
    </x:row>
    <x:row r="91" ht="28" customHeight="1">
      <x:c r="A91" s="55"/>
      <x:c r="B91" s="55"/>
      <x:c r="C91" s="55"/>
      <x:c r="D91" s="55"/>
      <x:c r="E91" s="55"/>
      <x:c r="F91" s="57"/>
      <x:c r="G91" s="56"/>
      <x:c r="H91" s="55"/>
      <x:c r="I91" s="55"/>
      <x:c r="J91" s="56"/>
      <x:c r="K91" s="57"/>
      <x:c r="L91" s="57"/>
      <x:c r="M91" s="57"/>
      <x:c r="N91" s="56"/>
      <x:c r="O91" s="56"/>
      <x:c r="P91" s="55"/>
      <x:c r="Q91" s="55"/>
      <x:c r="R91" s="55"/>
      <x:c r="S91" s="55"/>
      <x:c r="T91" s="55"/>
      <x:c r="U91" s="56"/>
      <x:c r="V91" s="55"/>
    </x:row>
    <x:row r="92" ht="28" customHeight="1">
      <x:c r="A92" s="55"/>
      <x:c r="B92" s="55"/>
      <x:c r="C92" s="55"/>
      <x:c r="D92" s="55"/>
      <x:c r="E92" s="55"/>
      <x:c r="F92" s="57"/>
      <x:c r="G92" s="56"/>
      <x:c r="H92" s="55"/>
      <x:c r="I92" s="55"/>
      <x:c r="J92" s="56"/>
      <x:c r="K92" s="57"/>
      <x:c r="L92" s="57"/>
      <x:c r="M92" s="57"/>
      <x:c r="N92" s="56"/>
      <x:c r="O92" s="56"/>
      <x:c r="P92" s="55"/>
      <x:c r="Q92" s="55"/>
      <x:c r="R92" s="55"/>
      <x:c r="S92" s="55"/>
      <x:c r="T92" s="55"/>
      <x:c r="U92" s="56"/>
      <x:c r="V92" s="55"/>
    </x:row>
    <x:row r="93" ht="28" customHeight="1">
      <x:c r="A93" s="55"/>
      <x:c r="B93" s="55"/>
      <x:c r="C93" s="55"/>
      <x:c r="D93" s="55"/>
      <x:c r="E93" s="55"/>
      <x:c r="F93" s="57"/>
      <x:c r="G93" s="56"/>
      <x:c r="H93" s="55"/>
      <x:c r="I93" s="55"/>
      <x:c r="J93" s="56"/>
      <x:c r="K93" s="57"/>
      <x:c r="L93" s="57"/>
      <x:c r="M93" s="57"/>
      <x:c r="N93" s="56"/>
      <x:c r="O93" s="56"/>
      <x:c r="P93" s="55"/>
      <x:c r="Q93" s="55"/>
      <x:c r="R93" s="55"/>
      <x:c r="S93" s="55"/>
      <x:c r="T93" s="55"/>
      <x:c r="U93" s="56"/>
      <x:c r="V93" s="55"/>
    </x:row>
    <x:row r="94" ht="28" customHeight="1">
      <x:c r="A94" s="55"/>
      <x:c r="B94" s="55"/>
      <x:c r="C94" s="55"/>
      <x:c r="D94" s="55"/>
      <x:c r="E94" s="55"/>
      <x:c r="F94" s="57"/>
      <x:c r="G94" s="56"/>
      <x:c r="H94" s="55"/>
      <x:c r="I94" s="55"/>
      <x:c r="J94" s="56"/>
      <x:c r="K94" s="57"/>
      <x:c r="L94" s="57"/>
      <x:c r="M94" s="57"/>
      <x:c r="N94" s="56"/>
      <x:c r="O94" s="56"/>
      <x:c r="P94" s="55"/>
      <x:c r="Q94" s="55"/>
      <x:c r="R94" s="55"/>
      <x:c r="S94" s="55"/>
      <x:c r="T94" s="55"/>
      <x:c r="U94" s="56"/>
      <x:c r="V94" s="55"/>
    </x:row>
    <x:row r="95" ht="28" customHeight="1">
      <x:c r="A95" s="55"/>
      <x:c r="B95" s="55"/>
      <x:c r="C95" s="55"/>
      <x:c r="D95" s="55"/>
      <x:c r="E95" s="55"/>
      <x:c r="F95" s="57"/>
      <x:c r="G95" s="56"/>
      <x:c r="H95" s="55"/>
      <x:c r="I95" s="55"/>
      <x:c r="J95" s="56"/>
      <x:c r="K95" s="57"/>
      <x:c r="L95" s="57"/>
      <x:c r="M95" s="57"/>
      <x:c r="N95" s="56"/>
      <x:c r="O95" s="56"/>
      <x:c r="P95" s="55"/>
      <x:c r="Q95" s="55"/>
      <x:c r="R95" s="55"/>
      <x:c r="S95" s="55"/>
      <x:c r="T95" s="55"/>
      <x:c r="U95" s="56"/>
      <x:c r="V95" s="55"/>
    </x:row>
    <x:row r="96" ht="28" customHeight="1">
      <x:c r="A96" s="55"/>
      <x:c r="B96" s="55"/>
      <x:c r="C96" s="55"/>
      <x:c r="D96" s="55"/>
      <x:c r="E96" s="55"/>
      <x:c r="F96" s="57"/>
      <x:c r="G96" s="56"/>
      <x:c r="H96" s="55"/>
      <x:c r="I96" s="55"/>
      <x:c r="J96" s="56"/>
      <x:c r="K96" s="57"/>
      <x:c r="L96" s="57"/>
      <x:c r="M96" s="57"/>
      <x:c r="N96" s="56"/>
      <x:c r="O96" s="56"/>
      <x:c r="P96" s="55"/>
      <x:c r="Q96" s="55"/>
      <x:c r="R96" s="55"/>
      <x:c r="S96" s="55"/>
      <x:c r="T96" s="55"/>
      <x:c r="U96" s="56"/>
      <x:c r="V96" s="55"/>
    </x:row>
    <x:row r="97" ht="28" customHeight="1">
      <x:c r="A97" s="55"/>
      <x:c r="B97" s="55"/>
      <x:c r="C97" s="55"/>
      <x:c r="D97" s="55"/>
      <x:c r="E97" s="55"/>
      <x:c r="F97" s="57"/>
      <x:c r="G97" s="56"/>
      <x:c r="H97" s="55"/>
      <x:c r="I97" s="55"/>
      <x:c r="J97" s="56"/>
      <x:c r="K97" s="57"/>
      <x:c r="L97" s="57"/>
      <x:c r="M97" s="57"/>
      <x:c r="N97" s="56"/>
      <x:c r="O97" s="56"/>
      <x:c r="P97" s="55"/>
      <x:c r="Q97" s="55"/>
      <x:c r="R97" s="55"/>
      <x:c r="S97" s="55"/>
      <x:c r="T97" s="55"/>
      <x:c r="U97" s="56"/>
      <x:c r="V97" s="55"/>
    </x:row>
    <x:row r="98" ht="28" customHeight="1">
      <x:c r="A98" s="55"/>
      <x:c r="B98" s="55"/>
      <x:c r="C98" s="55"/>
      <x:c r="D98" s="55"/>
      <x:c r="E98" s="55"/>
      <x:c r="F98" s="57"/>
      <x:c r="G98" s="56"/>
      <x:c r="H98" s="55"/>
      <x:c r="I98" s="55"/>
      <x:c r="J98" s="56"/>
      <x:c r="K98" s="57"/>
      <x:c r="L98" s="57"/>
      <x:c r="M98" s="57"/>
      <x:c r="N98" s="56"/>
      <x:c r="O98" s="56"/>
      <x:c r="P98" s="55"/>
      <x:c r="Q98" s="55"/>
      <x:c r="R98" s="55"/>
      <x:c r="S98" s="55"/>
      <x:c r="T98" s="55"/>
      <x:c r="U98" s="56"/>
      <x:c r="V98" s="55"/>
    </x:row>
    <x:row r="99" ht="28" customHeight="1">
      <x:c r="A99" s="55"/>
      <x:c r="B99" s="55"/>
      <x:c r="C99" s="55"/>
      <x:c r="D99" s="55"/>
      <x:c r="E99" s="55"/>
      <x:c r="F99" s="57"/>
      <x:c r="G99" s="56"/>
      <x:c r="H99" s="55"/>
      <x:c r="I99" s="55"/>
      <x:c r="J99" s="56"/>
      <x:c r="K99" s="57"/>
      <x:c r="L99" s="57"/>
      <x:c r="M99" s="57"/>
      <x:c r="N99" s="56"/>
      <x:c r="O99" s="56"/>
      <x:c r="P99" s="55"/>
      <x:c r="Q99" s="55"/>
      <x:c r="R99" s="55"/>
      <x:c r="S99" s="55"/>
      <x:c r="T99" s="55"/>
      <x:c r="U99" s="56"/>
      <x:c r="V99" s="55"/>
    </x:row>
    <x:row r="100" ht="28" customHeight="1">
      <x:c r="A100" s="55"/>
      <x:c r="B100" s="55"/>
      <x:c r="C100" s="55"/>
      <x:c r="D100" s="55"/>
      <x:c r="E100" s="55"/>
      <x:c r="F100" s="57"/>
      <x:c r="G100" s="56"/>
      <x:c r="H100" s="55"/>
      <x:c r="I100" s="55"/>
      <x:c r="J100" s="56"/>
      <x:c r="K100" s="57"/>
      <x:c r="L100" s="57"/>
      <x:c r="M100" s="57"/>
      <x:c r="N100" s="56"/>
      <x:c r="O100" s="56"/>
      <x:c r="P100" s="55"/>
      <x:c r="Q100" s="55"/>
      <x:c r="R100" s="55"/>
      <x:c r="S100" s="55"/>
      <x:c r="T100" s="55"/>
      <x:c r="U100" s="56"/>
      <x:c r="V100" s="55"/>
    </x:row>
    <x:row r="101" ht="28" customHeight="1">
      <x:c r="A101" s="55"/>
      <x:c r="B101" s="55"/>
      <x:c r="C101" s="55"/>
      <x:c r="D101" s="55"/>
      <x:c r="E101" s="55"/>
      <x:c r="F101" s="57"/>
      <x:c r="G101" s="56"/>
      <x:c r="H101" s="55"/>
      <x:c r="I101" s="55"/>
      <x:c r="J101" s="56"/>
      <x:c r="K101" s="57"/>
      <x:c r="L101" s="57"/>
      <x:c r="M101" s="57"/>
      <x:c r="N101" s="56"/>
      <x:c r="O101" s="56"/>
      <x:c r="P101" s="55"/>
      <x:c r="Q101" s="55"/>
      <x:c r="R101" s="55"/>
      <x:c r="S101" s="55"/>
      <x:c r="T101" s="55"/>
      <x:c r="U101" s="56"/>
      <x:c r="V101" s="55"/>
    </x:row>
    <x:row r="102" ht="28" customHeight="1">
      <x:c r="A102" s="55"/>
      <x:c r="B102" s="55"/>
      <x:c r="C102" s="55"/>
      <x:c r="D102" s="55"/>
      <x:c r="E102" s="55"/>
      <x:c r="F102" s="57"/>
      <x:c r="G102" s="56"/>
      <x:c r="H102" s="55"/>
      <x:c r="I102" s="55"/>
      <x:c r="J102" s="56"/>
      <x:c r="K102" s="57"/>
      <x:c r="L102" s="57"/>
      <x:c r="M102" s="57"/>
      <x:c r="N102" s="56"/>
      <x:c r="O102" s="56"/>
      <x:c r="P102" s="55"/>
      <x:c r="Q102" s="55"/>
      <x:c r="R102" s="55"/>
      <x:c r="S102" s="55"/>
      <x:c r="T102" s="55"/>
      <x:c r="U102" s="56"/>
      <x:c r="V102" s="55"/>
    </x:row>
    <x:row r="103" ht="28" customHeight="1">
      <x:c r="A103" s="55"/>
      <x:c r="B103" s="55"/>
      <x:c r="C103" s="55"/>
      <x:c r="D103" s="55"/>
      <x:c r="E103" s="55"/>
      <x:c r="F103" s="57"/>
      <x:c r="G103" s="56"/>
      <x:c r="H103" s="55"/>
      <x:c r="I103" s="55"/>
      <x:c r="J103" s="56"/>
      <x:c r="K103" s="57"/>
      <x:c r="L103" s="57"/>
      <x:c r="M103" s="57"/>
      <x:c r="N103" s="56"/>
      <x:c r="O103" s="56"/>
      <x:c r="P103" s="55"/>
      <x:c r="Q103" s="55"/>
      <x:c r="R103" s="55"/>
      <x:c r="S103" s="55"/>
      <x:c r="T103" s="55"/>
      <x:c r="U103" s="56"/>
      <x:c r="V103" s="55"/>
    </x:row>
    <x:row r="104" ht="28" customHeight="1">
      <x:c r="A104" s="55"/>
      <x:c r="B104" s="55"/>
      <x:c r="C104" s="55"/>
      <x:c r="D104" s="55"/>
      <x:c r="E104" s="55"/>
      <x:c r="F104" s="57"/>
      <x:c r="G104" s="56"/>
      <x:c r="H104" s="55"/>
      <x:c r="I104" s="55"/>
      <x:c r="J104" s="56"/>
      <x:c r="K104" s="57"/>
      <x:c r="L104" s="57"/>
      <x:c r="M104" s="57"/>
      <x:c r="N104" s="56"/>
      <x:c r="O104" s="56"/>
      <x:c r="P104" s="55"/>
      <x:c r="Q104" s="55"/>
      <x:c r="R104" s="55"/>
      <x:c r="S104" s="55"/>
      <x:c r="T104" s="55"/>
      <x:c r="U104" s="56"/>
      <x:c r="V104" s="55"/>
    </x:row>
    <x:row r="105" ht="28" customHeight="1">
      <x:c r="A105" s="55"/>
      <x:c r="B105" s="55"/>
      <x:c r="C105" s="55"/>
      <x:c r="D105" s="55"/>
      <x:c r="E105" s="55"/>
      <x:c r="F105" s="57"/>
      <x:c r="G105" s="56"/>
      <x:c r="H105" s="55"/>
      <x:c r="I105" s="55"/>
      <x:c r="J105" s="56"/>
      <x:c r="K105" s="57"/>
      <x:c r="L105" s="57"/>
      <x:c r="M105" s="57"/>
      <x:c r="N105" s="56"/>
      <x:c r="O105" s="56"/>
      <x:c r="P105" s="55"/>
      <x:c r="Q105" s="55"/>
      <x:c r="R105" s="55"/>
      <x:c r="S105" s="55"/>
      <x:c r="T105" s="55"/>
      <x:c r="U105" s="56"/>
      <x:c r="V105" s="55"/>
    </x:row>
    <x:row r="106" ht="28" customHeight="1">
      <x:c r="A106" s="55"/>
      <x:c r="B106" s="55"/>
      <x:c r="C106" s="55"/>
      <x:c r="D106" s="55"/>
      <x:c r="E106" s="55"/>
      <x:c r="F106" s="57"/>
      <x:c r="G106" s="56"/>
      <x:c r="H106" s="55"/>
      <x:c r="I106" s="55"/>
      <x:c r="J106" s="56"/>
      <x:c r="K106" s="57"/>
      <x:c r="L106" s="57"/>
      <x:c r="M106" s="57"/>
      <x:c r="N106" s="56"/>
      <x:c r="O106" s="56"/>
      <x:c r="P106" s="55"/>
      <x:c r="Q106" s="55"/>
      <x:c r="R106" s="55"/>
      <x:c r="S106" s="55"/>
      <x:c r="T106" s="55"/>
      <x:c r="U106" s="56"/>
      <x:c r="V106" s="55"/>
    </x:row>
    <x:row r="107" ht="28" customHeight="1">
      <x:c r="A107" s="55"/>
      <x:c r="B107" s="55"/>
      <x:c r="C107" s="55"/>
      <x:c r="D107" s="55"/>
      <x:c r="E107" s="55"/>
      <x:c r="F107" s="57"/>
      <x:c r="G107" s="56"/>
      <x:c r="H107" s="55"/>
      <x:c r="I107" s="55"/>
      <x:c r="J107" s="56"/>
      <x:c r="K107" s="57"/>
      <x:c r="L107" s="57"/>
      <x:c r="M107" s="57"/>
      <x:c r="N107" s="56"/>
      <x:c r="O107" s="56"/>
      <x:c r="P107" s="55"/>
      <x:c r="Q107" s="55"/>
      <x:c r="R107" s="55"/>
      <x:c r="S107" s="55"/>
      <x:c r="T107" s="55"/>
      <x:c r="U107" s="56"/>
      <x:c r="V107" s="55"/>
    </x:row>
    <x:row r="108" ht="28" customHeight="1">
      <x:c r="A108" s="55"/>
      <x:c r="B108" s="55"/>
      <x:c r="C108" s="55"/>
      <x:c r="D108" s="55"/>
      <x:c r="E108" s="55"/>
      <x:c r="F108" s="57"/>
      <x:c r="G108" s="56"/>
      <x:c r="H108" s="55"/>
      <x:c r="I108" s="55"/>
      <x:c r="J108" s="56"/>
      <x:c r="K108" s="57"/>
      <x:c r="L108" s="57"/>
      <x:c r="M108" s="57"/>
      <x:c r="N108" s="56"/>
      <x:c r="O108" s="56"/>
      <x:c r="P108" s="55"/>
      <x:c r="Q108" s="55"/>
      <x:c r="R108" s="55"/>
      <x:c r="S108" s="55"/>
      <x:c r="T108" s="55"/>
      <x:c r="U108" s="56"/>
      <x:c r="V108" s="55"/>
    </x:row>
    <x:row r="109" ht="28" customHeight="1">
      <x:c r="A109" s="55"/>
      <x:c r="B109" s="55"/>
      <x:c r="C109" s="55"/>
      <x:c r="D109" s="55"/>
      <x:c r="E109" s="55"/>
      <x:c r="F109" s="57"/>
      <x:c r="G109" s="56"/>
      <x:c r="H109" s="55"/>
      <x:c r="I109" s="55"/>
      <x:c r="J109" s="56"/>
      <x:c r="K109" s="57"/>
      <x:c r="L109" s="57"/>
      <x:c r="M109" s="57"/>
      <x:c r="N109" s="56"/>
      <x:c r="O109" s="56"/>
      <x:c r="P109" s="55"/>
      <x:c r="Q109" s="55"/>
      <x:c r="R109" s="55"/>
      <x:c r="S109" s="55"/>
      <x:c r="T109" s="55"/>
      <x:c r="U109" s="56"/>
      <x:c r="V109" s="55"/>
    </x:row>
    <x:row r="110" ht="28" customHeight="1">
      <x:c r="A110" s="55"/>
      <x:c r="B110" s="55"/>
      <x:c r="C110" s="55"/>
      <x:c r="D110" s="55"/>
      <x:c r="E110" s="55"/>
      <x:c r="F110" s="57"/>
      <x:c r="G110" s="56"/>
      <x:c r="H110" s="55"/>
      <x:c r="I110" s="55"/>
      <x:c r="J110" s="56"/>
      <x:c r="K110" s="57"/>
      <x:c r="L110" s="57"/>
      <x:c r="M110" s="57"/>
      <x:c r="N110" s="56"/>
      <x:c r="O110" s="56"/>
      <x:c r="P110" s="55"/>
      <x:c r="Q110" s="55"/>
      <x:c r="R110" s="55"/>
      <x:c r="S110" s="55"/>
      <x:c r="T110" s="55"/>
      <x:c r="U110" s="56"/>
      <x:c r="V110" s="55"/>
    </x:row>
    <x:row r="111" ht="28" customHeight="1">
      <x:c r="A111" s="55"/>
      <x:c r="B111" s="55"/>
      <x:c r="C111" s="55"/>
      <x:c r="D111" s="55"/>
      <x:c r="E111" s="55"/>
      <x:c r="F111" s="57"/>
      <x:c r="G111" s="56"/>
      <x:c r="H111" s="55"/>
      <x:c r="I111" s="55"/>
      <x:c r="J111" s="56"/>
      <x:c r="K111" s="57"/>
      <x:c r="L111" s="57"/>
      <x:c r="M111" s="57"/>
      <x:c r="N111" s="56"/>
      <x:c r="O111" s="56"/>
      <x:c r="P111" s="55"/>
      <x:c r="Q111" s="55"/>
      <x:c r="R111" s="55"/>
      <x:c r="S111" s="55"/>
      <x:c r="T111" s="55"/>
      <x:c r="U111" s="56"/>
      <x:c r="V111" s="55"/>
    </x:row>
    <x:row r="112" ht="28" customHeight="1">
      <x:c r="A112" s="55"/>
      <x:c r="B112" s="55"/>
      <x:c r="C112" s="55"/>
      <x:c r="D112" s="55"/>
      <x:c r="E112" s="55"/>
      <x:c r="F112" s="57"/>
      <x:c r="G112" s="56"/>
      <x:c r="H112" s="55"/>
      <x:c r="I112" s="55"/>
      <x:c r="J112" s="56"/>
      <x:c r="K112" s="57"/>
      <x:c r="L112" s="57"/>
      <x:c r="M112" s="57"/>
      <x:c r="N112" s="56"/>
      <x:c r="O112" s="56"/>
      <x:c r="P112" s="55"/>
      <x:c r="Q112" s="55"/>
      <x:c r="R112" s="55"/>
      <x:c r="S112" s="55"/>
      <x:c r="T112" s="55"/>
      <x:c r="U112" s="56"/>
      <x:c r="V112" s="55"/>
    </x:row>
    <x:row r="113" ht="28" customHeight="1">
      <x:c r="A113" s="55"/>
      <x:c r="B113" s="55"/>
      <x:c r="C113" s="55"/>
      <x:c r="D113" s="55"/>
      <x:c r="E113" s="55"/>
      <x:c r="F113" s="57"/>
      <x:c r="G113" s="56"/>
      <x:c r="H113" s="55"/>
      <x:c r="I113" s="55"/>
      <x:c r="J113" s="56"/>
      <x:c r="K113" s="57"/>
      <x:c r="L113" s="57"/>
      <x:c r="M113" s="57"/>
      <x:c r="N113" s="56"/>
      <x:c r="O113" s="56"/>
      <x:c r="P113" s="55"/>
      <x:c r="Q113" s="55"/>
      <x:c r="R113" s="55"/>
      <x:c r="S113" s="55"/>
      <x:c r="T113" s="55"/>
      <x:c r="U113" s="56"/>
      <x:c r="V113" s="55"/>
    </x:row>
    <x:row r="114" ht="28" customHeight="1">
      <x:c r="A114" s="55"/>
      <x:c r="B114" s="55"/>
      <x:c r="C114" s="55"/>
      <x:c r="D114" s="55"/>
      <x:c r="E114" s="55"/>
      <x:c r="F114" s="57"/>
      <x:c r="G114" s="56"/>
      <x:c r="H114" s="55"/>
      <x:c r="I114" s="55"/>
      <x:c r="J114" s="56"/>
      <x:c r="K114" s="57"/>
      <x:c r="L114" s="57"/>
      <x:c r="M114" s="57"/>
      <x:c r="N114" s="56"/>
      <x:c r="O114" s="56"/>
      <x:c r="P114" s="55"/>
      <x:c r="Q114" s="55"/>
      <x:c r="R114" s="55"/>
      <x:c r="S114" s="55"/>
      <x:c r="T114" s="55"/>
      <x:c r="U114" s="56"/>
      <x:c r="V114" s="55"/>
    </x:row>
    <x:row r="115" ht="28" customHeight="1">
      <x:c r="A115" s="55"/>
      <x:c r="B115" s="55"/>
      <x:c r="C115" s="55"/>
      <x:c r="D115" s="55"/>
      <x:c r="E115" s="55"/>
      <x:c r="F115" s="57"/>
      <x:c r="G115" s="56"/>
      <x:c r="H115" s="55"/>
      <x:c r="I115" s="55"/>
      <x:c r="J115" s="56"/>
      <x:c r="K115" s="57"/>
      <x:c r="L115" s="57"/>
      <x:c r="M115" s="57"/>
      <x:c r="N115" s="56"/>
      <x:c r="O115" s="56"/>
      <x:c r="P115" s="55"/>
      <x:c r="Q115" s="55"/>
      <x:c r="R115" s="55"/>
      <x:c r="S115" s="55"/>
      <x:c r="T115" s="55"/>
      <x:c r="U115" s="56"/>
      <x:c r="V115" s="55"/>
    </x:row>
    <x:row r="116" ht="28" customHeight="1">
      <x:c r="A116" s="55"/>
      <x:c r="B116" s="55"/>
      <x:c r="C116" s="55"/>
      <x:c r="D116" s="55"/>
      <x:c r="E116" s="55"/>
      <x:c r="F116" s="57"/>
      <x:c r="G116" s="56"/>
      <x:c r="H116" s="55"/>
      <x:c r="I116" s="55"/>
      <x:c r="J116" s="56"/>
      <x:c r="K116" s="57"/>
      <x:c r="L116" s="57"/>
      <x:c r="M116" s="57"/>
      <x:c r="N116" s="56"/>
      <x:c r="O116" s="56"/>
      <x:c r="P116" s="55"/>
      <x:c r="Q116" s="55"/>
      <x:c r="R116" s="55"/>
      <x:c r="S116" s="55"/>
      <x:c r="T116" s="55"/>
      <x:c r="U116" s="56"/>
      <x:c r="V116" s="55"/>
    </x:row>
    <x:row r="117" ht="28" customHeight="1">
      <x:c r="A117" s="55"/>
      <x:c r="B117" s="55"/>
      <x:c r="C117" s="55"/>
      <x:c r="D117" s="55"/>
      <x:c r="E117" s="55"/>
      <x:c r="F117" s="57"/>
      <x:c r="G117" s="56"/>
      <x:c r="H117" s="55"/>
      <x:c r="I117" s="55"/>
      <x:c r="J117" s="56"/>
      <x:c r="K117" s="57"/>
      <x:c r="L117" s="57"/>
      <x:c r="M117" s="57"/>
      <x:c r="N117" s="56"/>
      <x:c r="O117" s="56"/>
      <x:c r="P117" s="55"/>
      <x:c r="Q117" s="55"/>
      <x:c r="R117" s="55"/>
      <x:c r="S117" s="55"/>
      <x:c r="T117" s="55"/>
      <x:c r="U117" s="56"/>
      <x:c r="V117" s="55"/>
    </x:row>
    <x:row r="118" ht="28" customHeight="1">
      <x:c r="A118" s="55"/>
      <x:c r="B118" s="55"/>
      <x:c r="C118" s="55"/>
      <x:c r="D118" s="55"/>
      <x:c r="E118" s="55"/>
      <x:c r="F118" s="57"/>
      <x:c r="G118" s="56"/>
      <x:c r="H118" s="55"/>
      <x:c r="I118" s="55"/>
      <x:c r="J118" s="56"/>
      <x:c r="K118" s="57"/>
      <x:c r="L118" s="57"/>
      <x:c r="M118" s="57"/>
      <x:c r="N118" s="56"/>
      <x:c r="O118" s="56"/>
      <x:c r="P118" s="55"/>
      <x:c r="Q118" s="55"/>
      <x:c r="R118" s="55"/>
      <x:c r="S118" s="55"/>
      <x:c r="T118" s="55"/>
      <x:c r="U118" s="56"/>
      <x:c r="V118" s="55"/>
    </x:row>
    <x:row r="119" ht="28" customHeight="1">
      <x:c r="A119" s="55"/>
      <x:c r="B119" s="55"/>
      <x:c r="C119" s="55"/>
      <x:c r="D119" s="55"/>
      <x:c r="E119" s="55"/>
      <x:c r="F119" s="57"/>
      <x:c r="G119" s="56"/>
      <x:c r="H119" s="55"/>
      <x:c r="I119" s="55"/>
      <x:c r="J119" s="56"/>
      <x:c r="K119" s="57"/>
      <x:c r="L119" s="57"/>
      <x:c r="M119" s="57"/>
      <x:c r="N119" s="56"/>
      <x:c r="O119" s="56"/>
      <x:c r="P119" s="55"/>
      <x:c r="Q119" s="55"/>
      <x:c r="R119" s="55"/>
      <x:c r="S119" s="55"/>
      <x:c r="T119" s="55"/>
      <x:c r="U119" s="56"/>
      <x:c r="V119" s="55"/>
    </x:row>
    <x:row r="120" ht="28" customHeight="1">
      <x:c r="A120" s="55"/>
      <x:c r="B120" s="55"/>
      <x:c r="C120" s="55"/>
      <x:c r="D120" s="55"/>
      <x:c r="E120" s="55"/>
      <x:c r="F120" s="57"/>
      <x:c r="G120" s="56"/>
      <x:c r="H120" s="55"/>
      <x:c r="I120" s="55"/>
      <x:c r="J120" s="56"/>
      <x:c r="K120" s="57"/>
      <x:c r="L120" s="57"/>
      <x:c r="M120" s="57"/>
      <x:c r="N120" s="56"/>
      <x:c r="O120" s="56"/>
      <x:c r="P120" s="55"/>
      <x:c r="Q120" s="55"/>
      <x:c r="R120" s="55"/>
      <x:c r="S120" s="55"/>
      <x:c r="T120" s="55"/>
      <x:c r="U120" s="56"/>
      <x:c r="V120" s="55"/>
    </x:row>
    <x:row r="121" ht="28" customHeight="1">
      <x:c r="A121" s="55"/>
      <x:c r="B121" s="55"/>
      <x:c r="C121" s="55"/>
      <x:c r="D121" s="55"/>
      <x:c r="E121" s="55"/>
      <x:c r="F121" s="57"/>
      <x:c r="G121" s="56"/>
      <x:c r="H121" s="55"/>
      <x:c r="I121" s="55"/>
      <x:c r="J121" s="56"/>
      <x:c r="K121" s="57"/>
      <x:c r="L121" s="57"/>
      <x:c r="M121" s="57"/>
      <x:c r="N121" s="56"/>
      <x:c r="O121" s="56"/>
      <x:c r="P121" s="55"/>
      <x:c r="Q121" s="55"/>
      <x:c r="R121" s="55"/>
      <x:c r="S121" s="55"/>
      <x:c r="T121" s="55"/>
      <x:c r="U121" s="56"/>
      <x:c r="V121" s="55"/>
    </x:row>
    <x:row r="122" ht="28" customHeight="1">
      <x:c r="A122" s="55"/>
      <x:c r="B122" s="55"/>
      <x:c r="C122" s="55"/>
      <x:c r="D122" s="55"/>
      <x:c r="E122" s="55"/>
      <x:c r="F122" s="57"/>
      <x:c r="G122" s="56"/>
      <x:c r="H122" s="55"/>
      <x:c r="I122" s="55"/>
      <x:c r="J122" s="56"/>
      <x:c r="K122" s="57"/>
      <x:c r="L122" s="57"/>
      <x:c r="M122" s="57"/>
      <x:c r="N122" s="56"/>
      <x:c r="O122" s="56"/>
      <x:c r="P122" s="55"/>
      <x:c r="Q122" s="55"/>
      <x:c r="R122" s="55"/>
      <x:c r="S122" s="55"/>
      <x:c r="T122" s="55"/>
      <x:c r="U122" s="56"/>
      <x:c r="V122" s="55"/>
    </x:row>
    <x:row r="123" ht="28" customHeight="1">
      <x:c r="A123" s="55"/>
      <x:c r="B123" s="55"/>
      <x:c r="C123" s="55"/>
      <x:c r="D123" s="55"/>
      <x:c r="E123" s="55"/>
      <x:c r="F123" s="57"/>
      <x:c r="G123" s="56"/>
      <x:c r="H123" s="55"/>
      <x:c r="I123" s="55"/>
      <x:c r="J123" s="56"/>
      <x:c r="K123" s="57"/>
      <x:c r="L123" s="57"/>
      <x:c r="M123" s="57"/>
      <x:c r="N123" s="56"/>
      <x:c r="O123" s="56"/>
      <x:c r="P123" s="55"/>
      <x:c r="Q123" s="55"/>
      <x:c r="R123" s="55"/>
      <x:c r="S123" s="55"/>
      <x:c r="T123" s="55"/>
      <x:c r="U123" s="56"/>
      <x:c r="V123" s="55"/>
    </x:row>
    <x:row r="124" ht="28" customHeight="1">
      <x:c r="A124" s="55"/>
      <x:c r="B124" s="55"/>
      <x:c r="C124" s="55"/>
      <x:c r="D124" s="55"/>
      <x:c r="E124" s="55"/>
      <x:c r="F124" s="57"/>
      <x:c r="G124" s="56"/>
      <x:c r="H124" s="55"/>
      <x:c r="I124" s="55"/>
      <x:c r="J124" s="56"/>
      <x:c r="K124" s="57"/>
      <x:c r="L124" s="57"/>
      <x:c r="M124" s="57"/>
      <x:c r="N124" s="56"/>
      <x:c r="O124" s="56"/>
      <x:c r="P124" s="55"/>
      <x:c r="Q124" s="55"/>
      <x:c r="R124" s="55"/>
      <x:c r="S124" s="55"/>
      <x:c r="T124" s="55"/>
      <x:c r="U124" s="56"/>
      <x:c r="V124" s="55"/>
    </x:row>
    <x:row r="125" ht="28" customHeight="1">
      <x:c r="A125" s="55"/>
      <x:c r="B125" s="55"/>
      <x:c r="C125" s="55"/>
      <x:c r="D125" s="55"/>
      <x:c r="E125" s="55"/>
      <x:c r="F125" s="57"/>
      <x:c r="G125" s="56"/>
      <x:c r="H125" s="55"/>
      <x:c r="I125" s="55"/>
      <x:c r="J125" s="56"/>
      <x:c r="K125" s="57"/>
      <x:c r="L125" s="57"/>
      <x:c r="M125" s="57"/>
      <x:c r="N125" s="56"/>
      <x:c r="O125" s="56"/>
      <x:c r="P125" s="55"/>
      <x:c r="Q125" s="55"/>
      <x:c r="R125" s="55"/>
      <x:c r="S125" s="55"/>
      <x:c r="T125" s="55"/>
      <x:c r="U125" s="56"/>
      <x:c r="V125" s="55"/>
    </x:row>
    <x:row r="126" ht="28" customHeight="1">
      <x:c r="A126" s="55"/>
      <x:c r="B126" s="55"/>
      <x:c r="C126" s="55"/>
      <x:c r="D126" s="55"/>
      <x:c r="E126" s="55"/>
      <x:c r="F126" s="57"/>
      <x:c r="G126" s="56"/>
      <x:c r="H126" s="55"/>
      <x:c r="I126" s="55"/>
      <x:c r="J126" s="56"/>
      <x:c r="K126" s="57"/>
      <x:c r="L126" s="57"/>
      <x:c r="M126" s="57"/>
      <x:c r="N126" s="56"/>
      <x:c r="O126" s="56"/>
      <x:c r="P126" s="55"/>
      <x:c r="Q126" s="55"/>
      <x:c r="R126" s="55"/>
      <x:c r="S126" s="55"/>
      <x:c r="T126" s="55"/>
      <x:c r="U126" s="56"/>
      <x:c r="V126" s="55"/>
    </x:row>
    <x:row r="127" ht="28" customHeight="1">
      <x:c r="A127" s="55"/>
      <x:c r="B127" s="55"/>
      <x:c r="C127" s="55"/>
      <x:c r="D127" s="55"/>
      <x:c r="E127" s="55"/>
      <x:c r="F127" s="57"/>
      <x:c r="G127" s="56"/>
      <x:c r="H127" s="55"/>
      <x:c r="I127" s="55"/>
      <x:c r="J127" s="56"/>
      <x:c r="K127" s="57"/>
      <x:c r="L127" s="57"/>
      <x:c r="M127" s="57"/>
      <x:c r="N127" s="56"/>
      <x:c r="O127" s="56"/>
      <x:c r="P127" s="55"/>
      <x:c r="Q127" s="55"/>
      <x:c r="R127" s="55"/>
      <x:c r="S127" s="55"/>
      <x:c r="T127" s="55"/>
      <x:c r="U127" s="56"/>
      <x:c r="V127" s="55"/>
    </x:row>
    <x:row r="128" ht="28" customHeight="1">
      <x:c r="A128" s="55"/>
      <x:c r="B128" s="55"/>
      <x:c r="C128" s="55"/>
      <x:c r="D128" s="55"/>
      <x:c r="E128" s="55"/>
      <x:c r="F128" s="57"/>
      <x:c r="G128" s="56"/>
      <x:c r="H128" s="55"/>
      <x:c r="I128" s="55"/>
      <x:c r="J128" s="56"/>
      <x:c r="K128" s="57"/>
      <x:c r="L128" s="57"/>
      <x:c r="M128" s="57"/>
      <x:c r="N128" s="56"/>
      <x:c r="O128" s="56"/>
      <x:c r="P128" s="55"/>
      <x:c r="Q128" s="55"/>
      <x:c r="R128" s="55"/>
      <x:c r="S128" s="55"/>
      <x:c r="T128" s="55"/>
      <x:c r="U128" s="56"/>
      <x:c r="V128" s="55"/>
    </x:row>
    <x:row r="129" ht="28" customHeight="1">
      <x:c r="A129" s="55"/>
      <x:c r="B129" s="55"/>
      <x:c r="C129" s="55"/>
      <x:c r="D129" s="55"/>
      <x:c r="E129" s="55"/>
      <x:c r="F129" s="57"/>
      <x:c r="G129" s="56"/>
      <x:c r="H129" s="55"/>
      <x:c r="I129" s="55"/>
      <x:c r="J129" s="56"/>
      <x:c r="K129" s="57"/>
      <x:c r="L129" s="57"/>
      <x:c r="M129" s="57"/>
      <x:c r="N129" s="56"/>
      <x:c r="O129" s="56"/>
      <x:c r="P129" s="55"/>
      <x:c r="Q129" s="55"/>
      <x:c r="R129" s="55"/>
      <x:c r="S129" s="55"/>
      <x:c r="T129" s="55"/>
      <x:c r="U129" s="56"/>
      <x:c r="V129" s="55"/>
    </x:row>
    <x:row r="130" ht="28" customHeight="1">
      <x:c r="A130" s="55"/>
      <x:c r="B130" s="55"/>
      <x:c r="C130" s="55"/>
      <x:c r="D130" s="55"/>
      <x:c r="E130" s="55"/>
      <x:c r="F130" s="57"/>
      <x:c r="G130" s="56"/>
      <x:c r="H130" s="55"/>
      <x:c r="I130" s="55"/>
      <x:c r="J130" s="56"/>
      <x:c r="K130" s="57"/>
      <x:c r="L130" s="57"/>
      <x:c r="M130" s="57"/>
      <x:c r="N130" s="56"/>
      <x:c r="O130" s="56"/>
      <x:c r="P130" s="55"/>
      <x:c r="Q130" s="55"/>
      <x:c r="R130" s="55"/>
      <x:c r="S130" s="55"/>
      <x:c r="T130" s="55"/>
      <x:c r="U130" s="56"/>
      <x:c r="V130" s="55"/>
    </x:row>
    <x:row r="131" ht="28" customHeight="1">
      <x:c r="A131" s="55"/>
      <x:c r="B131" s="55"/>
      <x:c r="C131" s="55"/>
      <x:c r="D131" s="55"/>
      <x:c r="E131" s="55"/>
      <x:c r="F131" s="57"/>
      <x:c r="G131" s="56"/>
      <x:c r="H131" s="55"/>
      <x:c r="I131" s="55"/>
      <x:c r="J131" s="56"/>
      <x:c r="K131" s="57"/>
      <x:c r="L131" s="57"/>
      <x:c r="M131" s="57"/>
      <x:c r="N131" s="56"/>
      <x:c r="O131" s="56"/>
      <x:c r="P131" s="55"/>
      <x:c r="Q131" s="55"/>
      <x:c r="R131" s="55"/>
      <x:c r="S131" s="55"/>
      <x:c r="T131" s="55"/>
      <x:c r="U131" s="56"/>
      <x:c r="V131" s="55"/>
    </x:row>
    <x:row r="132" ht="28" customHeight="1">
      <x:c r="A132" s="55"/>
      <x:c r="B132" s="55"/>
      <x:c r="C132" s="55"/>
      <x:c r="D132" s="55"/>
      <x:c r="E132" s="55"/>
      <x:c r="F132" s="57"/>
      <x:c r="G132" s="56"/>
      <x:c r="H132" s="55"/>
      <x:c r="I132" s="55"/>
      <x:c r="J132" s="56"/>
      <x:c r="K132" s="57"/>
      <x:c r="L132" s="57"/>
      <x:c r="M132" s="57"/>
      <x:c r="N132" s="56"/>
      <x:c r="O132" s="56"/>
      <x:c r="P132" s="55"/>
      <x:c r="Q132" s="55"/>
      <x:c r="R132" s="55"/>
      <x:c r="S132" s="55"/>
      <x:c r="T132" s="55"/>
      <x:c r="U132" s="56"/>
      <x:c r="V132" s="55"/>
    </x:row>
    <x:row r="133" ht="28" customHeight="1">
      <x:c r="A133" s="55"/>
      <x:c r="B133" s="55"/>
      <x:c r="C133" s="55"/>
      <x:c r="D133" s="55"/>
      <x:c r="E133" s="55"/>
      <x:c r="F133" s="57"/>
      <x:c r="G133" s="56"/>
      <x:c r="H133" s="55"/>
      <x:c r="I133" s="55"/>
      <x:c r="J133" s="56"/>
      <x:c r="K133" s="57"/>
      <x:c r="L133" s="57"/>
      <x:c r="M133" s="57"/>
      <x:c r="N133" s="56"/>
      <x:c r="O133" s="56"/>
      <x:c r="P133" s="55"/>
      <x:c r="Q133" s="55"/>
      <x:c r="R133" s="55"/>
      <x:c r="S133" s="55"/>
      <x:c r="T133" s="55"/>
      <x:c r="U133" s="56"/>
      <x:c r="V133" s="55"/>
    </x:row>
    <x:row r="134" ht="28" customHeight="1">
      <x:c r="A134" s="55"/>
      <x:c r="B134" s="55"/>
      <x:c r="C134" s="55"/>
      <x:c r="D134" s="55"/>
      <x:c r="E134" s="55"/>
      <x:c r="F134" s="57"/>
      <x:c r="G134" s="56"/>
      <x:c r="H134" s="55"/>
      <x:c r="I134" s="55"/>
      <x:c r="J134" s="56"/>
      <x:c r="K134" s="57"/>
      <x:c r="L134" s="57"/>
      <x:c r="M134" s="57"/>
      <x:c r="N134" s="56"/>
      <x:c r="O134" s="56"/>
      <x:c r="P134" s="55"/>
      <x:c r="Q134" s="55"/>
      <x:c r="R134" s="55"/>
      <x:c r="S134" s="55"/>
      <x:c r="T134" s="55"/>
      <x:c r="U134" s="56"/>
      <x:c r="V134" s="55"/>
    </x:row>
    <x:row r="135" ht="28" customHeight="1">
      <x:c r="A135" s="55"/>
      <x:c r="B135" s="55"/>
      <x:c r="C135" s="55"/>
      <x:c r="D135" s="55"/>
      <x:c r="E135" s="55"/>
      <x:c r="F135" s="57"/>
      <x:c r="G135" s="56"/>
      <x:c r="H135" s="55"/>
      <x:c r="I135" s="55"/>
      <x:c r="J135" s="56"/>
      <x:c r="K135" s="57"/>
      <x:c r="L135" s="57"/>
      <x:c r="M135" s="57"/>
      <x:c r="N135" s="56"/>
      <x:c r="O135" s="56"/>
      <x:c r="P135" s="55"/>
      <x:c r="Q135" s="55"/>
      <x:c r="R135" s="55"/>
      <x:c r="S135" s="55"/>
      <x:c r="T135" s="55"/>
      <x:c r="U135" s="56"/>
      <x:c r="V135" s="55"/>
    </x:row>
    <x:row r="136" ht="28" customHeight="1">
      <x:c r="A136" s="55"/>
      <x:c r="B136" s="55"/>
      <x:c r="C136" s="55"/>
      <x:c r="D136" s="55"/>
      <x:c r="E136" s="55"/>
      <x:c r="F136" s="57"/>
      <x:c r="G136" s="56"/>
      <x:c r="H136" s="55"/>
      <x:c r="I136" s="55"/>
      <x:c r="J136" s="56"/>
      <x:c r="K136" s="57"/>
      <x:c r="L136" s="57"/>
      <x:c r="M136" s="57"/>
      <x:c r="N136" s="56"/>
      <x:c r="O136" s="56"/>
      <x:c r="P136" s="55"/>
      <x:c r="Q136" s="55"/>
      <x:c r="R136" s="55"/>
      <x:c r="S136" s="55"/>
      <x:c r="T136" s="55"/>
      <x:c r="U136" s="56"/>
      <x:c r="V136" s="55"/>
    </x:row>
    <x:row r="137" ht="28" customHeight="1">
      <x:c r="A137" s="55"/>
      <x:c r="B137" s="55"/>
      <x:c r="C137" s="55"/>
      <x:c r="D137" s="55"/>
      <x:c r="E137" s="55"/>
      <x:c r="F137" s="57"/>
      <x:c r="G137" s="56"/>
      <x:c r="H137" s="55"/>
      <x:c r="I137" s="55"/>
      <x:c r="J137" s="56"/>
      <x:c r="K137" s="57"/>
      <x:c r="L137" s="57"/>
      <x:c r="M137" s="57"/>
      <x:c r="N137" s="56"/>
      <x:c r="O137" s="56"/>
      <x:c r="P137" s="55"/>
      <x:c r="Q137" s="55"/>
      <x:c r="R137" s="55"/>
      <x:c r="S137" s="55"/>
      <x:c r="T137" s="55"/>
      <x:c r="U137" s="56"/>
      <x:c r="V137" s="55"/>
    </x:row>
    <x:row r="138" ht="28" customHeight="1">
      <x:c r="A138" s="55"/>
      <x:c r="B138" s="55"/>
      <x:c r="C138" s="55"/>
      <x:c r="D138" s="55"/>
      <x:c r="E138" s="55"/>
      <x:c r="F138" s="57"/>
      <x:c r="G138" s="56"/>
      <x:c r="H138" s="55"/>
      <x:c r="I138" s="55"/>
      <x:c r="J138" s="56"/>
      <x:c r="K138" s="57"/>
      <x:c r="L138" s="57"/>
      <x:c r="M138" s="57"/>
      <x:c r="N138" s="56"/>
      <x:c r="O138" s="56"/>
      <x:c r="P138" s="55"/>
      <x:c r="Q138" s="55"/>
      <x:c r="R138" s="55"/>
      <x:c r="S138" s="55"/>
      <x:c r="T138" s="55"/>
      <x:c r="U138" s="56"/>
      <x:c r="V138" s="55"/>
    </x:row>
    <x:row r="139" ht="28" customHeight="1">
      <x:c r="A139" s="55"/>
      <x:c r="B139" s="55"/>
      <x:c r="C139" s="55"/>
      <x:c r="D139" s="55"/>
      <x:c r="E139" s="55"/>
      <x:c r="F139" s="57"/>
      <x:c r="G139" s="56"/>
      <x:c r="H139" s="55"/>
      <x:c r="I139" s="55"/>
      <x:c r="J139" s="56"/>
      <x:c r="K139" s="57"/>
      <x:c r="L139" s="57"/>
      <x:c r="M139" s="57"/>
      <x:c r="N139" s="56"/>
      <x:c r="O139" s="56"/>
      <x:c r="P139" s="55"/>
      <x:c r="Q139" s="55"/>
      <x:c r="R139" s="55"/>
      <x:c r="S139" s="55"/>
      <x:c r="T139" s="55"/>
      <x:c r="U139" s="56"/>
      <x:c r="V139" s="55"/>
    </x:row>
    <x:row r="140" ht="28" customHeight="1">
      <x:c r="A140" s="55"/>
      <x:c r="B140" s="55"/>
      <x:c r="C140" s="55"/>
      <x:c r="D140" s="55"/>
      <x:c r="E140" s="55"/>
      <x:c r="F140" s="57"/>
      <x:c r="G140" s="56"/>
      <x:c r="H140" s="55"/>
      <x:c r="I140" s="55"/>
      <x:c r="J140" s="56"/>
      <x:c r="K140" s="57"/>
      <x:c r="L140" s="57"/>
      <x:c r="M140" s="57"/>
      <x:c r="N140" s="56"/>
      <x:c r="O140" s="56"/>
      <x:c r="P140" s="55"/>
      <x:c r="Q140" s="55"/>
      <x:c r="R140" s="55"/>
      <x:c r="S140" s="55"/>
      <x:c r="T140" s="55"/>
      <x:c r="U140" s="56"/>
      <x:c r="V140" s="55"/>
    </x:row>
    <x:row r="141" ht="28" customHeight="1">
      <x:c r="A141" s="55"/>
      <x:c r="B141" s="55"/>
      <x:c r="C141" s="55"/>
      <x:c r="D141" s="55"/>
      <x:c r="E141" s="55"/>
      <x:c r="F141" s="57"/>
      <x:c r="G141" s="56"/>
      <x:c r="H141" s="55"/>
      <x:c r="I141" s="55"/>
      <x:c r="J141" s="56"/>
      <x:c r="K141" s="57"/>
      <x:c r="L141" s="57"/>
      <x:c r="M141" s="57"/>
      <x:c r="N141" s="56"/>
      <x:c r="O141" s="56"/>
      <x:c r="P141" s="55"/>
      <x:c r="Q141" s="55"/>
      <x:c r="R141" s="55"/>
      <x:c r="S141" s="55"/>
      <x:c r="T141" s="55"/>
      <x:c r="U141" s="56"/>
      <x:c r="V141" s="55"/>
    </x:row>
    <x:row r="142" ht="28" customHeight="1">
      <x:c r="A142" s="55"/>
      <x:c r="B142" s="55"/>
      <x:c r="C142" s="55"/>
      <x:c r="D142" s="55"/>
      <x:c r="E142" s="55"/>
      <x:c r="F142" s="57"/>
      <x:c r="G142" s="56"/>
      <x:c r="H142" s="55"/>
      <x:c r="I142" s="55"/>
      <x:c r="J142" s="56"/>
      <x:c r="K142" s="57"/>
      <x:c r="L142" s="57"/>
      <x:c r="M142" s="57"/>
      <x:c r="N142" s="56"/>
      <x:c r="O142" s="56"/>
      <x:c r="P142" s="55"/>
      <x:c r="Q142" s="55"/>
      <x:c r="R142" s="55"/>
      <x:c r="S142" s="55"/>
      <x:c r="T142" s="55"/>
      <x:c r="U142" s="56"/>
      <x:c r="V142" s="55"/>
    </x:row>
    <x:row r="143" ht="28" customHeight="1">
      <x:c r="A143" s="55"/>
      <x:c r="B143" s="55"/>
      <x:c r="C143" s="55"/>
      <x:c r="D143" s="55"/>
      <x:c r="E143" s="55"/>
      <x:c r="F143" s="57"/>
      <x:c r="G143" s="56"/>
      <x:c r="H143" s="55"/>
      <x:c r="I143" s="55"/>
      <x:c r="J143" s="56"/>
      <x:c r="K143" s="57"/>
      <x:c r="L143" s="57"/>
      <x:c r="M143" s="57"/>
      <x:c r="N143" s="56"/>
      <x:c r="O143" s="56"/>
      <x:c r="P143" s="55"/>
      <x:c r="Q143" s="55"/>
      <x:c r="R143" s="55"/>
      <x:c r="S143" s="55"/>
      <x:c r="T143" s="55"/>
      <x:c r="U143" s="56"/>
      <x:c r="V143" s="55"/>
    </x:row>
    <x:row r="144" ht="28" customHeight="1">
      <x:c r="A144" s="55"/>
      <x:c r="B144" s="55"/>
      <x:c r="C144" s="55"/>
      <x:c r="D144" s="55"/>
      <x:c r="E144" s="55"/>
      <x:c r="F144" s="57"/>
      <x:c r="G144" s="56"/>
      <x:c r="H144" s="55"/>
      <x:c r="I144" s="55"/>
      <x:c r="J144" s="56"/>
      <x:c r="K144" s="57"/>
      <x:c r="L144" s="57"/>
      <x:c r="M144" s="57"/>
      <x:c r="N144" s="56"/>
      <x:c r="O144" s="56"/>
      <x:c r="P144" s="55"/>
      <x:c r="Q144" s="55"/>
      <x:c r="R144" s="55"/>
      <x:c r="S144" s="55"/>
      <x:c r="T144" s="55"/>
      <x:c r="U144" s="56"/>
      <x:c r="V144" s="55"/>
    </x:row>
    <x:row r="145" ht="28" customHeight="1">
      <x:c r="A145" s="55"/>
      <x:c r="B145" s="55"/>
      <x:c r="C145" s="55"/>
      <x:c r="D145" s="55"/>
      <x:c r="E145" s="55"/>
      <x:c r="F145" s="57"/>
      <x:c r="G145" s="56"/>
      <x:c r="H145" s="55"/>
      <x:c r="I145" s="55"/>
      <x:c r="J145" s="56"/>
      <x:c r="K145" s="57"/>
      <x:c r="L145" s="57"/>
      <x:c r="M145" s="57"/>
      <x:c r="N145" s="56"/>
      <x:c r="O145" s="56"/>
      <x:c r="P145" s="55"/>
      <x:c r="Q145" s="55"/>
      <x:c r="R145" s="55"/>
      <x:c r="S145" s="55"/>
      <x:c r="T145" s="55"/>
      <x:c r="U145" s="56"/>
      <x:c r="V145" s="55"/>
    </x:row>
    <x:row r="146" ht="28" customHeight="1">
      <x:c r="A146" s="55"/>
      <x:c r="B146" s="55"/>
      <x:c r="C146" s="55"/>
      <x:c r="D146" s="55"/>
      <x:c r="E146" s="55"/>
      <x:c r="F146" s="57"/>
      <x:c r="G146" s="56"/>
      <x:c r="H146" s="55"/>
      <x:c r="I146" s="55"/>
      <x:c r="J146" s="56"/>
      <x:c r="K146" s="57"/>
      <x:c r="L146" s="57"/>
      <x:c r="M146" s="57"/>
      <x:c r="N146" s="56"/>
      <x:c r="O146" s="56"/>
      <x:c r="P146" s="55"/>
      <x:c r="Q146" s="55"/>
      <x:c r="R146" s="55"/>
      <x:c r="S146" s="55"/>
      <x:c r="T146" s="55"/>
      <x:c r="U146" s="56"/>
      <x:c r="V146" s="55"/>
    </x:row>
    <x:row r="147" ht="28" customHeight="1">
      <x:c r="A147" s="55"/>
      <x:c r="B147" s="55"/>
      <x:c r="C147" s="55"/>
      <x:c r="D147" s="55"/>
      <x:c r="E147" s="55"/>
      <x:c r="F147" s="57"/>
      <x:c r="G147" s="56"/>
      <x:c r="H147" s="55"/>
      <x:c r="I147" s="55"/>
      <x:c r="J147" s="56"/>
      <x:c r="K147" s="57"/>
      <x:c r="L147" s="57"/>
      <x:c r="M147" s="57"/>
      <x:c r="N147" s="56"/>
      <x:c r="O147" s="56"/>
      <x:c r="P147" s="55"/>
      <x:c r="Q147" s="55"/>
      <x:c r="R147" s="55"/>
      <x:c r="S147" s="55"/>
      <x:c r="T147" s="55"/>
      <x:c r="U147" s="56"/>
      <x:c r="V147" s="55"/>
    </x:row>
    <x:row r="148" ht="28" customHeight="1">
      <x:c r="A148" s="55"/>
      <x:c r="B148" s="55"/>
      <x:c r="C148" s="55"/>
      <x:c r="D148" s="55"/>
      <x:c r="E148" s="55"/>
      <x:c r="F148" s="57"/>
      <x:c r="G148" s="56"/>
      <x:c r="H148" s="55"/>
      <x:c r="I148" s="55"/>
      <x:c r="J148" s="56"/>
      <x:c r="K148" s="57"/>
      <x:c r="L148" s="57"/>
      <x:c r="M148" s="57"/>
      <x:c r="N148" s="56"/>
      <x:c r="O148" s="56"/>
      <x:c r="P148" s="55"/>
      <x:c r="Q148" s="55"/>
      <x:c r="R148" s="55"/>
      <x:c r="S148" s="55"/>
      <x:c r="T148" s="55"/>
      <x:c r="U148" s="56"/>
      <x:c r="V148" s="55"/>
    </x:row>
    <x:row r="149" ht="28" customHeight="1">
      <x:c r="A149" s="55"/>
      <x:c r="B149" s="55"/>
      <x:c r="C149" s="55"/>
      <x:c r="D149" s="55"/>
      <x:c r="E149" s="55"/>
      <x:c r="F149" s="57"/>
      <x:c r="G149" s="56"/>
      <x:c r="H149" s="55"/>
      <x:c r="I149" s="55"/>
      <x:c r="J149" s="56"/>
      <x:c r="K149" s="57"/>
      <x:c r="L149" s="57"/>
      <x:c r="M149" s="57"/>
      <x:c r="N149" s="56"/>
      <x:c r="O149" s="56"/>
      <x:c r="P149" s="55"/>
      <x:c r="Q149" s="55"/>
      <x:c r="R149" s="55"/>
      <x:c r="S149" s="55"/>
      <x:c r="T149" s="55"/>
      <x:c r="U149" s="56"/>
      <x:c r="V149" s="55"/>
    </x:row>
    <x:row r="150" ht="28" customHeight="1">
      <x:c r="A150" s="55"/>
      <x:c r="B150" s="55"/>
      <x:c r="C150" s="55"/>
      <x:c r="D150" s="55"/>
      <x:c r="E150" s="55"/>
      <x:c r="F150" s="57"/>
      <x:c r="G150" s="56"/>
      <x:c r="H150" s="55"/>
      <x:c r="I150" s="55"/>
      <x:c r="J150" s="56"/>
      <x:c r="K150" s="57"/>
      <x:c r="L150" s="57"/>
      <x:c r="M150" s="57"/>
      <x:c r="N150" s="56"/>
      <x:c r="O150" s="56"/>
      <x:c r="P150" s="55"/>
      <x:c r="Q150" s="55"/>
      <x:c r="R150" s="55"/>
      <x:c r="S150" s="55"/>
      <x:c r="T150" s="55"/>
      <x:c r="U150" s="56"/>
      <x:c r="V150" s="55"/>
    </x:row>
    <x:row r="151" ht="28" customHeight="1">
      <x:c r="A151" s="55"/>
      <x:c r="B151" s="55"/>
      <x:c r="C151" s="55"/>
      <x:c r="D151" s="55"/>
      <x:c r="E151" s="55"/>
      <x:c r="F151" s="57"/>
      <x:c r="G151" s="56"/>
      <x:c r="H151" s="55"/>
      <x:c r="I151" s="55"/>
      <x:c r="J151" s="56"/>
      <x:c r="K151" s="57"/>
      <x:c r="L151" s="57"/>
      <x:c r="M151" s="57"/>
      <x:c r="N151" s="56"/>
      <x:c r="O151" s="56"/>
      <x:c r="P151" s="55"/>
      <x:c r="Q151" s="55"/>
      <x:c r="R151" s="55"/>
      <x:c r="S151" s="55"/>
      <x:c r="T151" s="55"/>
      <x:c r="U151" s="56"/>
      <x:c r="V151" s="55"/>
    </x:row>
    <x:row r="152" ht="28" customHeight="1">
      <x:c r="A152" s="55"/>
      <x:c r="B152" s="55"/>
      <x:c r="C152" s="55"/>
      <x:c r="D152" s="55"/>
      <x:c r="E152" s="55"/>
      <x:c r="F152" s="57"/>
      <x:c r="G152" s="56"/>
      <x:c r="H152" s="55"/>
      <x:c r="I152" s="55"/>
      <x:c r="J152" s="56"/>
      <x:c r="K152" s="57"/>
      <x:c r="L152" s="57"/>
      <x:c r="M152" s="57"/>
      <x:c r="N152" s="56"/>
      <x:c r="O152" s="56"/>
      <x:c r="P152" s="55"/>
      <x:c r="Q152" s="55"/>
      <x:c r="R152" s="55"/>
      <x:c r="S152" s="55"/>
      <x:c r="T152" s="55"/>
      <x:c r="U152" s="56"/>
      <x:c r="V152" s="55"/>
    </x:row>
    <x:row r="153" ht="28" customHeight="1">
      <x:c r="A153" s="55"/>
      <x:c r="B153" s="55"/>
      <x:c r="C153" s="55"/>
      <x:c r="D153" s="55"/>
      <x:c r="E153" s="55"/>
      <x:c r="F153" s="57"/>
      <x:c r="G153" s="56"/>
      <x:c r="H153" s="55"/>
      <x:c r="I153" s="55"/>
      <x:c r="J153" s="56"/>
      <x:c r="K153" s="57"/>
      <x:c r="L153" s="57"/>
      <x:c r="M153" s="57"/>
      <x:c r="N153" s="56"/>
      <x:c r="O153" s="56"/>
      <x:c r="P153" s="55"/>
      <x:c r="Q153" s="55"/>
      <x:c r="R153" s="55"/>
      <x:c r="S153" s="55"/>
      <x:c r="T153" s="55"/>
      <x:c r="U153" s="56"/>
      <x:c r="V153" s="55"/>
    </x:row>
    <x:row r="154" ht="28" customHeight="1">
      <x:c r="A154" s="55"/>
      <x:c r="B154" s="55"/>
      <x:c r="C154" s="55"/>
      <x:c r="D154" s="55"/>
      <x:c r="E154" s="55"/>
      <x:c r="F154" s="57"/>
      <x:c r="G154" s="56"/>
      <x:c r="H154" s="55"/>
      <x:c r="I154" s="55"/>
      <x:c r="J154" s="56"/>
      <x:c r="K154" s="57"/>
      <x:c r="L154" s="57"/>
      <x:c r="M154" s="57"/>
      <x:c r="N154" s="56"/>
      <x:c r="O154" s="56"/>
      <x:c r="P154" s="55"/>
      <x:c r="Q154" s="55"/>
      <x:c r="R154" s="55"/>
      <x:c r="S154" s="55"/>
      <x:c r="T154" s="55"/>
      <x:c r="U154" s="56"/>
      <x:c r="V154" s="55"/>
    </x:row>
    <x:row r="155" ht="28" customHeight="1">
      <x:c r="A155" s="55"/>
      <x:c r="B155" s="55"/>
      <x:c r="C155" s="55"/>
      <x:c r="D155" s="55"/>
      <x:c r="E155" s="55"/>
      <x:c r="F155" s="57"/>
      <x:c r="G155" s="56"/>
      <x:c r="H155" s="55"/>
      <x:c r="I155" s="55"/>
      <x:c r="J155" s="56"/>
      <x:c r="K155" s="57"/>
      <x:c r="L155" s="57"/>
      <x:c r="M155" s="57"/>
      <x:c r="N155" s="56"/>
      <x:c r="O155" s="56"/>
      <x:c r="P155" s="55"/>
      <x:c r="Q155" s="55"/>
      <x:c r="R155" s="55"/>
      <x:c r="S155" s="55"/>
      <x:c r="T155" s="55"/>
      <x:c r="U155" s="56"/>
      <x:c r="V155" s="55"/>
    </x:row>
    <x:row r="156" ht="28" customHeight="1">
      <x:c r="A156" s="55"/>
      <x:c r="B156" s="55"/>
      <x:c r="C156" s="55"/>
      <x:c r="D156" s="55"/>
      <x:c r="E156" s="55"/>
      <x:c r="F156" s="57"/>
      <x:c r="G156" s="56"/>
      <x:c r="H156" s="55"/>
      <x:c r="I156" s="55"/>
      <x:c r="J156" s="56"/>
      <x:c r="K156" s="57"/>
      <x:c r="L156" s="57"/>
      <x:c r="M156" s="57"/>
      <x:c r="N156" s="56"/>
      <x:c r="O156" s="56"/>
      <x:c r="P156" s="55"/>
      <x:c r="Q156" s="55"/>
      <x:c r="R156" s="55"/>
      <x:c r="S156" s="55"/>
      <x:c r="T156" s="55"/>
      <x:c r="U156" s="56"/>
      <x:c r="V156" s="55"/>
    </x:row>
    <x:row r="157" ht="28" customHeight="1">
      <x:c r="A157" s="55"/>
      <x:c r="B157" s="55"/>
      <x:c r="C157" s="55"/>
      <x:c r="D157" s="55"/>
      <x:c r="E157" s="55"/>
      <x:c r="F157" s="57"/>
      <x:c r="G157" s="56"/>
      <x:c r="H157" s="55"/>
      <x:c r="I157" s="55"/>
      <x:c r="J157" s="56"/>
      <x:c r="K157" s="57"/>
      <x:c r="L157" s="57"/>
      <x:c r="M157" s="57"/>
      <x:c r="N157" s="56"/>
      <x:c r="O157" s="56"/>
      <x:c r="P157" s="55"/>
      <x:c r="Q157" s="55"/>
      <x:c r="R157" s="55"/>
      <x:c r="S157" s="55"/>
      <x:c r="T157" s="55"/>
      <x:c r="U157" s="56"/>
      <x:c r="V157" s="55"/>
    </x:row>
    <x:row r="158" ht="28" customHeight="1">
      <x:c r="A158" s="55"/>
      <x:c r="B158" s="55"/>
      <x:c r="C158" s="55"/>
      <x:c r="D158" s="55"/>
      <x:c r="E158" s="55"/>
      <x:c r="F158" s="57"/>
      <x:c r="G158" s="56"/>
      <x:c r="H158" s="55"/>
      <x:c r="I158" s="55"/>
      <x:c r="J158" s="56"/>
      <x:c r="K158" s="57"/>
      <x:c r="L158" s="57"/>
      <x:c r="M158" s="57"/>
      <x:c r="N158" s="56"/>
      <x:c r="O158" s="56"/>
      <x:c r="P158" s="55"/>
      <x:c r="Q158" s="55"/>
      <x:c r="R158" s="55"/>
      <x:c r="S158" s="55"/>
      <x:c r="T158" s="55"/>
      <x:c r="U158" s="56"/>
      <x:c r="V158" s="55"/>
    </x:row>
    <x:row r="159" ht="28" customHeight="1">
      <x:c r="A159" s="55"/>
      <x:c r="B159" s="55"/>
      <x:c r="C159" s="55"/>
      <x:c r="D159" s="55"/>
      <x:c r="E159" s="55"/>
      <x:c r="F159" s="57"/>
      <x:c r="G159" s="56"/>
      <x:c r="H159" s="55"/>
      <x:c r="I159" s="55"/>
      <x:c r="J159" s="56"/>
      <x:c r="K159" s="57"/>
      <x:c r="L159" s="57"/>
      <x:c r="M159" s="57"/>
      <x:c r="N159" s="56"/>
      <x:c r="O159" s="56"/>
      <x:c r="P159" s="55"/>
      <x:c r="Q159" s="55"/>
      <x:c r="R159" s="55"/>
      <x:c r="S159" s="55"/>
      <x:c r="T159" s="55"/>
      <x:c r="U159" s="56"/>
      <x:c r="V159" s="55"/>
    </x:row>
    <x:row r="160" ht="28" customHeight="1">
      <x:c r="A160" s="55"/>
      <x:c r="B160" s="55"/>
      <x:c r="C160" s="55"/>
      <x:c r="D160" s="55"/>
      <x:c r="E160" s="55"/>
      <x:c r="F160" s="57"/>
      <x:c r="G160" s="56"/>
      <x:c r="H160" s="55"/>
      <x:c r="I160" s="55"/>
      <x:c r="J160" s="56"/>
      <x:c r="K160" s="57"/>
      <x:c r="L160" s="57"/>
      <x:c r="M160" s="57"/>
      <x:c r="N160" s="56"/>
      <x:c r="O160" s="56"/>
      <x:c r="P160" s="55"/>
      <x:c r="Q160" s="55"/>
      <x:c r="R160" s="55"/>
      <x:c r="S160" s="55"/>
      <x:c r="T160" s="55"/>
      <x:c r="U160" s="56"/>
      <x:c r="V160" s="55"/>
    </x:row>
    <x:row r="161" ht="28" customHeight="1">
      <x:c r="A161" s="55"/>
      <x:c r="B161" s="55"/>
      <x:c r="C161" s="55"/>
      <x:c r="D161" s="55"/>
      <x:c r="E161" s="55"/>
      <x:c r="F161" s="57"/>
      <x:c r="G161" s="56"/>
      <x:c r="H161" s="55"/>
      <x:c r="I161" s="55"/>
      <x:c r="J161" s="56"/>
      <x:c r="K161" s="57"/>
      <x:c r="L161" s="57"/>
      <x:c r="M161" s="57"/>
      <x:c r="N161" s="56"/>
      <x:c r="O161" s="56"/>
      <x:c r="P161" s="55"/>
      <x:c r="Q161" s="55"/>
      <x:c r="R161" s="55"/>
      <x:c r="S161" s="55"/>
      <x:c r="T161" s="55"/>
      <x:c r="U161" s="56"/>
      <x:c r="V161" s="55"/>
    </x:row>
    <x:row r="162" ht="28" customHeight="1">
      <x:c r="A162" s="55"/>
      <x:c r="B162" s="55"/>
      <x:c r="C162" s="55"/>
      <x:c r="D162" s="55"/>
      <x:c r="E162" s="55"/>
      <x:c r="F162" s="57"/>
      <x:c r="G162" s="56"/>
      <x:c r="H162" s="55"/>
      <x:c r="I162" s="55"/>
      <x:c r="J162" s="56"/>
      <x:c r="K162" s="57"/>
      <x:c r="L162" s="57"/>
      <x:c r="M162" s="57"/>
      <x:c r="N162" s="56"/>
      <x:c r="O162" s="56"/>
      <x:c r="P162" s="55"/>
      <x:c r="Q162" s="55"/>
      <x:c r="R162" s="55"/>
      <x:c r="S162" s="55"/>
      <x:c r="T162" s="55"/>
      <x:c r="U162" s="56"/>
      <x:c r="V162" s="55"/>
    </x:row>
    <x:row r="163" ht="28" customHeight="1">
      <x:c r="A163" s="55"/>
      <x:c r="B163" s="55"/>
      <x:c r="C163" s="55"/>
      <x:c r="D163" s="55"/>
      <x:c r="E163" s="55"/>
      <x:c r="F163" s="57"/>
      <x:c r="G163" s="56"/>
      <x:c r="H163" s="55"/>
      <x:c r="I163" s="55"/>
      <x:c r="J163" s="56"/>
      <x:c r="K163" s="57"/>
      <x:c r="L163" s="57"/>
      <x:c r="M163" s="57"/>
      <x:c r="N163" s="56"/>
      <x:c r="O163" s="56"/>
      <x:c r="P163" s="55"/>
      <x:c r="Q163" s="55"/>
      <x:c r="R163" s="55"/>
      <x:c r="S163" s="55"/>
      <x:c r="T163" s="55"/>
      <x:c r="U163" s="56"/>
      <x:c r="V163" s="55"/>
    </x:row>
    <x:row r="164" ht="28" customHeight="1">
      <x:c r="A164" s="55"/>
      <x:c r="B164" s="55"/>
      <x:c r="C164" s="55"/>
      <x:c r="D164" s="55"/>
      <x:c r="E164" s="55"/>
      <x:c r="F164" s="57"/>
      <x:c r="G164" s="56"/>
      <x:c r="H164" s="55"/>
      <x:c r="I164" s="55"/>
      <x:c r="J164" s="56"/>
      <x:c r="K164" s="57"/>
      <x:c r="L164" s="57"/>
      <x:c r="M164" s="57"/>
      <x:c r="N164" s="56"/>
      <x:c r="O164" s="56"/>
      <x:c r="P164" s="55"/>
      <x:c r="Q164" s="55"/>
      <x:c r="R164" s="55"/>
      <x:c r="S164" s="55"/>
      <x:c r="T164" s="55"/>
      <x:c r="U164" s="56"/>
      <x:c r="V164" s="55"/>
    </x:row>
    <x:row r="165" ht="28" customHeight="1">
      <x:c r="A165" s="55"/>
      <x:c r="B165" s="55"/>
      <x:c r="C165" s="55"/>
      <x:c r="D165" s="55"/>
      <x:c r="E165" s="55"/>
      <x:c r="F165" s="57"/>
      <x:c r="G165" s="56"/>
      <x:c r="H165" s="55"/>
      <x:c r="I165" s="55"/>
      <x:c r="J165" s="56"/>
      <x:c r="K165" s="57"/>
      <x:c r="L165" s="57"/>
      <x:c r="M165" s="57"/>
      <x:c r="N165" s="56"/>
      <x:c r="O165" s="56"/>
      <x:c r="P165" s="55"/>
      <x:c r="Q165" s="55"/>
      <x:c r="R165" s="55"/>
      <x:c r="S165" s="55"/>
      <x:c r="T165" s="55"/>
      <x:c r="U165" s="56"/>
      <x:c r="V165" s="55"/>
    </x:row>
    <x:row r="166" ht="28" customHeight="1">
      <x:c r="A166" s="55"/>
      <x:c r="B166" s="55"/>
      <x:c r="C166" s="55"/>
      <x:c r="D166" s="55"/>
      <x:c r="E166" s="55"/>
      <x:c r="F166" s="57"/>
      <x:c r="G166" s="56"/>
      <x:c r="H166" s="55"/>
      <x:c r="I166" s="55"/>
      <x:c r="J166" s="56"/>
      <x:c r="K166" s="57"/>
      <x:c r="L166" s="57"/>
      <x:c r="M166" s="57"/>
      <x:c r="N166" s="56"/>
      <x:c r="O166" s="56"/>
      <x:c r="P166" s="55"/>
      <x:c r="Q166" s="55"/>
      <x:c r="R166" s="55"/>
      <x:c r="S166" s="55"/>
      <x:c r="T166" s="55"/>
      <x:c r="U166" s="56"/>
      <x:c r="V166" s="55"/>
    </x:row>
    <x:row r="167" ht="28" customHeight="1">
      <x:c r="A167" s="55"/>
      <x:c r="B167" s="55"/>
      <x:c r="C167" s="55"/>
      <x:c r="D167" s="55"/>
      <x:c r="E167" s="55"/>
      <x:c r="F167" s="57"/>
      <x:c r="G167" s="56"/>
      <x:c r="H167" s="55"/>
      <x:c r="I167" s="55"/>
      <x:c r="J167" s="56"/>
      <x:c r="K167" s="57"/>
      <x:c r="L167" s="57"/>
      <x:c r="M167" s="57"/>
      <x:c r="N167" s="56"/>
      <x:c r="O167" s="56"/>
      <x:c r="P167" s="55"/>
      <x:c r="Q167" s="55"/>
      <x:c r="R167" s="55"/>
      <x:c r="S167" s="55"/>
      <x:c r="T167" s="55"/>
      <x:c r="U167" s="56"/>
      <x:c r="V167" s="55"/>
    </x:row>
    <x:row r="168" ht="28" customHeight="1">
      <x:c r="A168" s="55"/>
      <x:c r="B168" s="55"/>
      <x:c r="C168" s="55"/>
      <x:c r="D168" s="55"/>
      <x:c r="E168" s="55"/>
      <x:c r="F168" s="57"/>
      <x:c r="G168" s="56"/>
      <x:c r="H168" s="55"/>
      <x:c r="I168" s="55"/>
      <x:c r="J168" s="56"/>
      <x:c r="K168" s="57"/>
      <x:c r="L168" s="57"/>
      <x:c r="M168" s="57"/>
      <x:c r="N168" s="56"/>
      <x:c r="O168" s="56"/>
      <x:c r="P168" s="55"/>
      <x:c r="Q168" s="55"/>
      <x:c r="R168" s="55"/>
      <x:c r="S168" s="55"/>
      <x:c r="T168" s="55"/>
      <x:c r="U168" s="56"/>
      <x:c r="V168" s="55"/>
    </x:row>
    <x:row r="169" ht="28" customHeight="1">
      <x:c r="A169" s="55"/>
      <x:c r="B169" s="55"/>
      <x:c r="C169" s="55"/>
      <x:c r="D169" s="55"/>
      <x:c r="E169" s="55"/>
      <x:c r="F169" s="57"/>
      <x:c r="G169" s="56"/>
      <x:c r="H169" s="55"/>
      <x:c r="I169" s="55"/>
      <x:c r="J169" s="56"/>
      <x:c r="K169" s="57"/>
      <x:c r="L169" s="57"/>
      <x:c r="M169" s="57"/>
      <x:c r="N169" s="56"/>
      <x:c r="O169" s="56"/>
      <x:c r="P169" s="55"/>
      <x:c r="Q169" s="55"/>
      <x:c r="R169" s="55"/>
      <x:c r="S169" s="55"/>
      <x:c r="T169" s="55"/>
      <x:c r="U169" s="56"/>
      <x:c r="V169" s="55"/>
    </x:row>
    <x:row r="170" ht="28" customHeight="1">
      <x:c r="A170" s="55"/>
      <x:c r="B170" s="55"/>
      <x:c r="C170" s="55"/>
      <x:c r="D170" s="55"/>
      <x:c r="E170" s="55"/>
      <x:c r="F170" s="57"/>
      <x:c r="G170" s="56"/>
      <x:c r="H170" s="55"/>
      <x:c r="I170" s="55"/>
      <x:c r="J170" s="56"/>
      <x:c r="K170" s="57"/>
      <x:c r="L170" s="57"/>
      <x:c r="M170" s="57"/>
      <x:c r="N170" s="56"/>
      <x:c r="O170" s="56"/>
      <x:c r="P170" s="55"/>
      <x:c r="Q170" s="55"/>
      <x:c r="R170" s="55"/>
      <x:c r="S170" s="55"/>
      <x:c r="T170" s="55"/>
      <x:c r="U170" s="56"/>
      <x:c r="V170" s="55"/>
    </x:row>
    <x:row r="171" ht="28" customHeight="1">
      <x:c r="A171" s="55"/>
      <x:c r="B171" s="55"/>
      <x:c r="C171" s="55"/>
      <x:c r="D171" s="55"/>
      <x:c r="E171" s="55"/>
      <x:c r="F171" s="57"/>
      <x:c r="G171" s="56"/>
      <x:c r="H171" s="55"/>
      <x:c r="I171" s="55"/>
      <x:c r="J171" s="56"/>
      <x:c r="K171" s="57"/>
      <x:c r="L171" s="57"/>
      <x:c r="M171" s="57"/>
      <x:c r="N171" s="56"/>
      <x:c r="O171" s="56"/>
      <x:c r="P171" s="55"/>
      <x:c r="Q171" s="55"/>
      <x:c r="R171" s="55"/>
      <x:c r="S171" s="55"/>
      <x:c r="T171" s="55"/>
      <x:c r="U171" s="56"/>
      <x:c r="V171" s="55"/>
    </x:row>
    <x:row r="172" ht="28" customHeight="1">
      <x:c r="A172" s="55"/>
      <x:c r="B172" s="55"/>
      <x:c r="C172" s="55"/>
      <x:c r="D172" s="55"/>
      <x:c r="E172" s="55"/>
      <x:c r="F172" s="57"/>
      <x:c r="G172" s="56"/>
      <x:c r="H172" s="55"/>
      <x:c r="I172" s="55"/>
      <x:c r="J172" s="56"/>
      <x:c r="K172" s="57"/>
      <x:c r="L172" s="57"/>
      <x:c r="M172" s="57"/>
      <x:c r="N172" s="56"/>
      <x:c r="O172" s="56"/>
      <x:c r="P172" s="55"/>
      <x:c r="Q172" s="55"/>
      <x:c r="R172" s="55"/>
      <x:c r="S172" s="55"/>
      <x:c r="T172" s="55"/>
      <x:c r="U172" s="56"/>
      <x:c r="V172" s="55"/>
    </x:row>
    <x:row r="173" ht="28" customHeight="1">
      <x:c r="A173" s="55"/>
      <x:c r="B173" s="55"/>
      <x:c r="C173" s="55"/>
      <x:c r="D173" s="55"/>
      <x:c r="E173" s="55"/>
      <x:c r="F173" s="57"/>
      <x:c r="G173" s="56"/>
      <x:c r="H173" s="55"/>
      <x:c r="I173" s="55"/>
      <x:c r="J173" s="56"/>
      <x:c r="K173" s="57"/>
      <x:c r="L173" s="57"/>
      <x:c r="M173" s="57"/>
      <x:c r="N173" s="56"/>
      <x:c r="O173" s="56"/>
      <x:c r="P173" s="55"/>
      <x:c r="Q173" s="55"/>
      <x:c r="R173" s="55"/>
      <x:c r="S173" s="55"/>
      <x:c r="T173" s="55"/>
      <x:c r="U173" s="56"/>
      <x:c r="V173" s="55"/>
    </x:row>
    <x:row r="174" ht="28" customHeight="1">
      <x:c r="A174" s="55"/>
      <x:c r="B174" s="55"/>
      <x:c r="C174" s="55"/>
      <x:c r="D174" s="55"/>
      <x:c r="E174" s="55"/>
      <x:c r="F174" s="57"/>
      <x:c r="G174" s="56"/>
      <x:c r="H174" s="55"/>
      <x:c r="I174" s="55"/>
      <x:c r="J174" s="56"/>
      <x:c r="K174" s="57"/>
      <x:c r="L174" s="57"/>
      <x:c r="M174" s="57"/>
      <x:c r="N174" s="56"/>
      <x:c r="O174" s="56"/>
      <x:c r="P174" s="55"/>
      <x:c r="Q174" s="55"/>
      <x:c r="R174" s="55"/>
      <x:c r="S174" s="55"/>
      <x:c r="T174" s="55"/>
      <x:c r="U174" s="56"/>
      <x:c r="V174" s="55"/>
    </x:row>
    <x:row r="175" ht="28" customHeight="1">
      <x:c r="A175" s="55"/>
      <x:c r="B175" s="55"/>
      <x:c r="C175" s="55"/>
      <x:c r="D175" s="55"/>
      <x:c r="E175" s="55"/>
      <x:c r="F175" s="57"/>
      <x:c r="G175" s="56"/>
      <x:c r="H175" s="55"/>
      <x:c r="I175" s="55"/>
      <x:c r="J175" s="56"/>
      <x:c r="K175" s="57"/>
      <x:c r="L175" s="57"/>
      <x:c r="M175" s="57"/>
      <x:c r="N175" s="56"/>
      <x:c r="O175" s="56"/>
      <x:c r="P175" s="55"/>
      <x:c r="Q175" s="55"/>
      <x:c r="R175" s="55"/>
      <x:c r="S175" s="55"/>
      <x:c r="T175" s="55"/>
      <x:c r="U175" s="56"/>
      <x:c r="V175" s="55"/>
    </x:row>
    <x:row r="176" ht="28" customHeight="1">
      <x:c r="A176" s="55"/>
      <x:c r="B176" s="55"/>
      <x:c r="C176" s="55"/>
      <x:c r="D176" s="55"/>
      <x:c r="E176" s="55"/>
      <x:c r="F176" s="57"/>
      <x:c r="G176" s="56"/>
      <x:c r="H176" s="55"/>
      <x:c r="I176" s="55"/>
      <x:c r="J176" s="56"/>
      <x:c r="K176" s="57"/>
      <x:c r="L176" s="57"/>
      <x:c r="M176" s="57"/>
      <x:c r="N176" s="56"/>
      <x:c r="O176" s="56"/>
      <x:c r="P176" s="55"/>
      <x:c r="Q176" s="55"/>
      <x:c r="R176" s="55"/>
      <x:c r="S176" s="55"/>
      <x:c r="T176" s="55"/>
      <x:c r="U176" s="56"/>
      <x:c r="V176" s="55"/>
    </x:row>
    <x:row r="177" ht="28" customHeight="1">
      <x:c r="A177" s="55"/>
      <x:c r="B177" s="55"/>
      <x:c r="C177" s="55"/>
      <x:c r="D177" s="55"/>
      <x:c r="E177" s="55"/>
      <x:c r="F177" s="57"/>
      <x:c r="G177" s="56"/>
      <x:c r="H177" s="55"/>
      <x:c r="I177" s="55"/>
      <x:c r="J177" s="56"/>
      <x:c r="K177" s="57"/>
      <x:c r="L177" s="57"/>
      <x:c r="M177" s="57"/>
      <x:c r="N177" s="56"/>
      <x:c r="O177" s="56"/>
      <x:c r="P177" s="55"/>
      <x:c r="Q177" s="55"/>
      <x:c r="R177" s="55"/>
      <x:c r="S177" s="55"/>
      <x:c r="T177" s="55"/>
      <x:c r="U177" s="56"/>
      <x:c r="V177" s="55"/>
    </x:row>
    <x:row r="178" ht="28" customHeight="1">
      <x:c r="A178" s="55"/>
      <x:c r="B178" s="55"/>
      <x:c r="C178" s="55"/>
      <x:c r="D178" s="55"/>
      <x:c r="E178" s="55"/>
      <x:c r="F178" s="57"/>
      <x:c r="G178" s="56"/>
      <x:c r="H178" s="55"/>
      <x:c r="I178" s="55"/>
      <x:c r="J178" s="56"/>
      <x:c r="K178" s="57"/>
      <x:c r="L178" s="57"/>
      <x:c r="M178" s="57"/>
      <x:c r="N178" s="56"/>
      <x:c r="O178" s="56"/>
      <x:c r="P178" s="55"/>
      <x:c r="Q178" s="55"/>
      <x:c r="R178" s="55"/>
      <x:c r="S178" s="55"/>
      <x:c r="T178" s="55"/>
      <x:c r="U178" s="56"/>
      <x:c r="V178" s="55"/>
    </x:row>
    <x:row r="179" ht="28" customHeight="1">
      <x:c r="A179" s="55"/>
      <x:c r="B179" s="55"/>
      <x:c r="C179" s="55"/>
      <x:c r="D179" s="55"/>
      <x:c r="E179" s="55"/>
      <x:c r="F179" s="57"/>
      <x:c r="G179" s="56"/>
      <x:c r="H179" s="55"/>
      <x:c r="I179" s="55"/>
      <x:c r="J179" s="56"/>
      <x:c r="K179" s="57"/>
      <x:c r="L179" s="57"/>
      <x:c r="M179" s="57"/>
      <x:c r="N179" s="56"/>
      <x:c r="O179" s="56"/>
      <x:c r="P179" s="55"/>
      <x:c r="Q179" s="55"/>
      <x:c r="R179" s="55"/>
      <x:c r="S179" s="55"/>
      <x:c r="T179" s="55"/>
      <x:c r="U179" s="56"/>
      <x:c r="V179" s="55"/>
    </x:row>
    <x:row r="180" ht="28" customHeight="1">
      <x:c r="A180" s="55"/>
      <x:c r="B180" s="55"/>
      <x:c r="C180" s="55"/>
      <x:c r="D180" s="55"/>
      <x:c r="E180" s="55"/>
      <x:c r="F180" s="57"/>
      <x:c r="G180" s="56"/>
      <x:c r="H180" s="55"/>
      <x:c r="I180" s="55"/>
      <x:c r="J180" s="56"/>
      <x:c r="K180" s="57"/>
      <x:c r="L180" s="57"/>
      <x:c r="M180" s="57"/>
      <x:c r="N180" s="56"/>
      <x:c r="O180" s="56"/>
      <x:c r="P180" s="55"/>
      <x:c r="Q180" s="55"/>
      <x:c r="R180" s="55"/>
      <x:c r="S180" s="55"/>
      <x:c r="T180" s="55"/>
      <x:c r="U180" s="56"/>
      <x:c r="V180" s="55"/>
    </x:row>
    <x:row r="181" ht="28" customHeight="1">
      <x:c r="A181" s="55"/>
      <x:c r="B181" s="55"/>
      <x:c r="C181" s="55"/>
      <x:c r="D181" s="55"/>
      <x:c r="E181" s="55"/>
      <x:c r="F181" s="57"/>
      <x:c r="G181" s="56"/>
      <x:c r="H181" s="55"/>
      <x:c r="I181" s="55"/>
      <x:c r="J181" s="56"/>
      <x:c r="K181" s="57"/>
      <x:c r="L181" s="57"/>
      <x:c r="M181" s="57"/>
      <x:c r="N181" s="56"/>
      <x:c r="O181" s="56"/>
      <x:c r="P181" s="55"/>
      <x:c r="Q181" s="55"/>
      <x:c r="R181" s="55"/>
      <x:c r="S181" s="55"/>
      <x:c r="T181" s="55"/>
      <x:c r="U181" s="56"/>
      <x:c r="V181" s="55"/>
    </x:row>
    <x:row r="182" ht="28" customHeight="1">
      <x:c r="A182" s="55"/>
      <x:c r="B182" s="55"/>
      <x:c r="C182" s="55"/>
      <x:c r="D182" s="55"/>
      <x:c r="E182" s="55"/>
      <x:c r="F182" s="57"/>
      <x:c r="G182" s="56"/>
      <x:c r="H182" s="55"/>
      <x:c r="I182" s="55"/>
      <x:c r="J182" s="56"/>
      <x:c r="K182" s="57"/>
      <x:c r="L182" s="57"/>
      <x:c r="M182" s="57"/>
      <x:c r="N182" s="56"/>
      <x:c r="O182" s="56"/>
      <x:c r="P182" s="55"/>
      <x:c r="Q182" s="55"/>
      <x:c r="R182" s="55"/>
      <x:c r="S182" s="55"/>
      <x:c r="T182" s="55"/>
      <x:c r="U182" s="56"/>
      <x:c r="V182" s="55"/>
    </x:row>
    <x:row r="183" ht="28" customHeight="1">
      <x:c r="A183" s="55"/>
      <x:c r="B183" s="55"/>
      <x:c r="C183" s="55"/>
      <x:c r="D183" s="55"/>
      <x:c r="E183" s="55"/>
      <x:c r="F183" s="57"/>
      <x:c r="G183" s="56"/>
      <x:c r="H183" s="55"/>
      <x:c r="I183" s="55"/>
      <x:c r="J183" s="56"/>
      <x:c r="K183" s="57"/>
      <x:c r="L183" s="57"/>
      <x:c r="M183" s="57"/>
      <x:c r="N183" s="56"/>
      <x:c r="O183" s="56"/>
      <x:c r="P183" s="55"/>
      <x:c r="Q183" s="55"/>
      <x:c r="R183" s="55"/>
      <x:c r="S183" s="55"/>
      <x:c r="T183" s="55"/>
      <x:c r="U183" s="56"/>
      <x:c r="V183" s="55"/>
    </x:row>
    <x:row r="184" ht="28" customHeight="1">
      <x:c r="A184" s="55"/>
      <x:c r="B184" s="55"/>
      <x:c r="C184" s="55"/>
      <x:c r="D184" s="55"/>
      <x:c r="E184" s="55"/>
      <x:c r="F184" s="57"/>
      <x:c r="G184" s="56"/>
      <x:c r="H184" s="55"/>
      <x:c r="I184" s="55"/>
      <x:c r="J184" s="56"/>
      <x:c r="K184" s="57"/>
      <x:c r="L184" s="57"/>
      <x:c r="M184" s="57"/>
      <x:c r="N184" s="56"/>
      <x:c r="O184" s="56"/>
      <x:c r="P184" s="55"/>
      <x:c r="Q184" s="55"/>
      <x:c r="R184" s="55"/>
      <x:c r="S184" s="55"/>
      <x:c r="T184" s="55"/>
      <x:c r="U184" s="56"/>
      <x:c r="V184" s="55"/>
    </x:row>
    <x:row r="185" ht="28" customHeight="1">
      <x:c r="A185" s="55"/>
      <x:c r="B185" s="55"/>
      <x:c r="C185" s="55"/>
      <x:c r="D185" s="55"/>
      <x:c r="E185" s="55"/>
      <x:c r="F185" s="57"/>
      <x:c r="G185" s="56"/>
      <x:c r="H185" s="55"/>
      <x:c r="I185" s="55"/>
      <x:c r="J185" s="56"/>
      <x:c r="K185" s="57"/>
      <x:c r="L185" s="57"/>
      <x:c r="M185" s="57"/>
      <x:c r="N185" s="56"/>
      <x:c r="O185" s="56"/>
      <x:c r="P185" s="55"/>
      <x:c r="Q185" s="55"/>
      <x:c r="R185" s="55"/>
      <x:c r="S185" s="55"/>
      <x:c r="T185" s="55"/>
      <x:c r="U185" s="56"/>
      <x:c r="V185" s="55"/>
    </x:row>
    <x:row r="186" ht="28" customHeight="1">
      <x:c r="A186" s="55"/>
      <x:c r="B186" s="55"/>
      <x:c r="C186" s="55"/>
      <x:c r="D186" s="55"/>
      <x:c r="E186" s="55"/>
      <x:c r="F186" s="57"/>
      <x:c r="G186" s="56"/>
      <x:c r="H186" s="55"/>
      <x:c r="I186" s="55"/>
      <x:c r="J186" s="56"/>
      <x:c r="K186" s="57"/>
      <x:c r="L186" s="57"/>
      <x:c r="M186" s="57"/>
      <x:c r="N186" s="56"/>
      <x:c r="O186" s="56"/>
      <x:c r="P186" s="55"/>
      <x:c r="Q186" s="55"/>
      <x:c r="R186" s="55"/>
      <x:c r="S186" s="55"/>
      <x:c r="T186" s="55"/>
      <x:c r="U186" s="56"/>
      <x:c r="V186" s="55"/>
    </x:row>
    <x:row r="187" ht="28" customHeight="1">
      <x:c r="A187" s="55"/>
      <x:c r="B187" s="55"/>
      <x:c r="C187" s="55"/>
      <x:c r="D187" s="55"/>
      <x:c r="E187" s="55"/>
      <x:c r="F187" s="57"/>
      <x:c r="G187" s="56"/>
      <x:c r="H187" s="55"/>
      <x:c r="I187" s="55"/>
      <x:c r="J187" s="56"/>
      <x:c r="K187" s="57"/>
      <x:c r="L187" s="57"/>
      <x:c r="M187" s="57"/>
      <x:c r="N187" s="56"/>
      <x:c r="O187" s="56"/>
      <x:c r="P187" s="55"/>
      <x:c r="Q187" s="55"/>
      <x:c r="R187" s="55"/>
      <x:c r="S187" s="55"/>
      <x:c r="T187" s="55"/>
      <x:c r="U187" s="56"/>
      <x:c r="V187" s="55"/>
    </x:row>
    <x:row r="188" ht="28" customHeight="1">
      <x:c r="A188" s="55"/>
      <x:c r="B188" s="55"/>
      <x:c r="C188" s="55"/>
      <x:c r="D188" s="55"/>
      <x:c r="E188" s="55"/>
      <x:c r="F188" s="57"/>
      <x:c r="G188" s="56"/>
      <x:c r="H188" s="55"/>
      <x:c r="I188" s="55"/>
      <x:c r="J188" s="56"/>
      <x:c r="K188" s="57"/>
      <x:c r="L188" s="57"/>
      <x:c r="M188" s="57"/>
      <x:c r="N188" s="56"/>
      <x:c r="O188" s="56"/>
      <x:c r="P188" s="55"/>
      <x:c r="Q188" s="55"/>
      <x:c r="R188" s="55"/>
      <x:c r="S188" s="55"/>
      <x:c r="T188" s="55"/>
      <x:c r="U188" s="56"/>
      <x:c r="V188" s="55"/>
    </x:row>
    <x:row r="189" ht="28" customHeight="1">
      <x:c r="A189" s="55"/>
      <x:c r="B189" s="55"/>
      <x:c r="C189" s="55"/>
      <x:c r="D189" s="55"/>
      <x:c r="E189" s="55"/>
      <x:c r="F189" s="57"/>
      <x:c r="G189" s="56"/>
      <x:c r="H189" s="55"/>
      <x:c r="I189" s="55"/>
      <x:c r="J189" s="56"/>
      <x:c r="K189" s="57"/>
      <x:c r="L189" s="57"/>
      <x:c r="M189" s="57"/>
      <x:c r="N189" s="56"/>
      <x:c r="O189" s="56"/>
      <x:c r="P189" s="55"/>
      <x:c r="Q189" s="55"/>
      <x:c r="R189" s="55"/>
      <x:c r="S189" s="55"/>
      <x:c r="T189" s="55"/>
      <x:c r="U189" s="56"/>
      <x:c r="V189" s="55"/>
    </x:row>
    <x:row r="190" ht="28" customHeight="1">
      <x:c r="A190" s="55"/>
      <x:c r="B190" s="55"/>
      <x:c r="C190" s="55"/>
      <x:c r="D190" s="55"/>
      <x:c r="E190" s="55"/>
      <x:c r="F190" s="57"/>
      <x:c r="G190" s="56"/>
      <x:c r="H190" s="55"/>
      <x:c r="I190" s="55"/>
      <x:c r="J190" s="56"/>
      <x:c r="K190" s="57"/>
      <x:c r="L190" s="57"/>
      <x:c r="M190" s="57"/>
      <x:c r="N190" s="56"/>
      <x:c r="O190" s="56"/>
      <x:c r="P190" s="55"/>
      <x:c r="Q190" s="55"/>
      <x:c r="R190" s="55"/>
      <x:c r="S190" s="55"/>
      <x:c r="T190" s="55"/>
      <x:c r="U190" s="56"/>
      <x:c r="V190" s="55"/>
    </x:row>
    <x:row r="191" ht="28" customHeight="1">
      <x:c r="A191" s="55"/>
      <x:c r="B191" s="55"/>
      <x:c r="C191" s="55"/>
      <x:c r="D191" s="55"/>
      <x:c r="E191" s="55"/>
      <x:c r="F191" s="57"/>
      <x:c r="G191" s="56"/>
      <x:c r="H191" s="55"/>
      <x:c r="I191" s="55"/>
      <x:c r="J191" s="56"/>
      <x:c r="K191" s="57"/>
      <x:c r="L191" s="57"/>
      <x:c r="M191" s="57"/>
      <x:c r="N191" s="56"/>
      <x:c r="O191" s="56"/>
      <x:c r="P191" s="55"/>
      <x:c r="Q191" s="55"/>
      <x:c r="R191" s="55"/>
      <x:c r="S191" s="55"/>
      <x:c r="T191" s="55"/>
      <x:c r="U191" s="56"/>
      <x:c r="V191" s="55"/>
    </x:row>
    <x:row r="192" ht="28" customHeight="1">
      <x:c r="A192" s="55"/>
      <x:c r="B192" s="55"/>
      <x:c r="C192" s="55"/>
      <x:c r="D192" s="55"/>
      <x:c r="E192" s="55"/>
      <x:c r="F192" s="57"/>
      <x:c r="G192" s="56"/>
      <x:c r="H192" s="55"/>
      <x:c r="I192" s="55"/>
      <x:c r="J192" s="56"/>
      <x:c r="K192" s="57"/>
      <x:c r="L192" s="57"/>
      <x:c r="M192" s="57"/>
      <x:c r="N192" s="56"/>
      <x:c r="O192" s="56"/>
      <x:c r="P192" s="55"/>
      <x:c r="Q192" s="55"/>
      <x:c r="R192" s="55"/>
      <x:c r="S192" s="55"/>
      <x:c r="T192" s="55"/>
      <x:c r="U192" s="56"/>
      <x:c r="V192" s="55"/>
    </x:row>
    <x:row r="193" ht="28" customHeight="1">
      <x:c r="A193" s="55"/>
      <x:c r="B193" s="55"/>
      <x:c r="C193" s="55"/>
      <x:c r="D193" s="55"/>
      <x:c r="E193" s="55"/>
      <x:c r="F193" s="57"/>
      <x:c r="G193" s="56"/>
      <x:c r="H193" s="55"/>
      <x:c r="I193" s="55"/>
      <x:c r="J193" s="56"/>
      <x:c r="K193" s="57"/>
      <x:c r="L193" s="57"/>
      <x:c r="M193" s="57"/>
      <x:c r="N193" s="56"/>
      <x:c r="O193" s="56"/>
      <x:c r="P193" s="55"/>
      <x:c r="Q193" s="55"/>
      <x:c r="R193" s="55"/>
      <x:c r="S193" s="55"/>
      <x:c r="T193" s="55"/>
      <x:c r="U193" s="56"/>
      <x:c r="V193" s="55"/>
    </x:row>
    <x:row r="194" ht="28" customHeight="1">
      <x:c r="A194" s="55"/>
      <x:c r="B194" s="55"/>
      <x:c r="C194" s="55"/>
      <x:c r="D194" s="55"/>
      <x:c r="E194" s="55"/>
      <x:c r="F194" s="57"/>
      <x:c r="G194" s="56"/>
      <x:c r="H194" s="55"/>
      <x:c r="I194" s="55"/>
      <x:c r="J194" s="56"/>
      <x:c r="K194" s="57"/>
      <x:c r="L194" s="57"/>
      <x:c r="M194" s="57"/>
      <x:c r="N194" s="56"/>
      <x:c r="O194" s="56"/>
      <x:c r="P194" s="55"/>
      <x:c r="Q194" s="55"/>
      <x:c r="R194" s="55"/>
      <x:c r="S194" s="55"/>
      <x:c r="T194" s="55"/>
      <x:c r="U194" s="56"/>
      <x:c r="V194" s="55"/>
    </x:row>
    <x:row r="195" ht="28" customHeight="1">
      <x:c r="A195" s="55"/>
      <x:c r="B195" s="55"/>
      <x:c r="C195" s="55"/>
      <x:c r="D195" s="55"/>
      <x:c r="E195" s="55"/>
      <x:c r="F195" s="57"/>
      <x:c r="G195" s="56"/>
      <x:c r="H195" s="55"/>
      <x:c r="I195" s="55"/>
      <x:c r="J195" s="56"/>
      <x:c r="K195" s="57"/>
      <x:c r="L195" s="57"/>
      <x:c r="M195" s="57"/>
      <x:c r="N195" s="56"/>
      <x:c r="O195" s="56"/>
      <x:c r="P195" s="55"/>
      <x:c r="Q195" s="55"/>
      <x:c r="R195" s="55"/>
      <x:c r="S195" s="55"/>
      <x:c r="T195" s="55"/>
      <x:c r="U195" s="56"/>
      <x:c r="V195" s="55"/>
    </x:row>
    <x:row r="196" ht="28" customHeight="1">
      <x:c r="A196" s="55"/>
      <x:c r="B196" s="55"/>
      <x:c r="C196" s="55"/>
      <x:c r="D196" s="55"/>
      <x:c r="E196" s="55"/>
      <x:c r="F196" s="57"/>
      <x:c r="G196" s="56"/>
      <x:c r="H196" s="55"/>
      <x:c r="I196" s="55"/>
      <x:c r="J196" s="56"/>
      <x:c r="K196" s="57"/>
      <x:c r="L196" s="57"/>
      <x:c r="M196" s="57"/>
      <x:c r="N196" s="56"/>
      <x:c r="O196" s="56"/>
      <x:c r="P196" s="55"/>
      <x:c r="Q196" s="55"/>
      <x:c r="R196" s="55"/>
      <x:c r="S196" s="55"/>
      <x:c r="T196" s="55"/>
      <x:c r="U196" s="56"/>
      <x:c r="V196" s="55"/>
    </x:row>
    <x:row r="197" ht="28" customHeight="1">
      <x:c r="A197" s="55"/>
      <x:c r="B197" s="55"/>
      <x:c r="C197" s="55"/>
      <x:c r="D197" s="55"/>
      <x:c r="E197" s="55"/>
      <x:c r="F197" s="57"/>
      <x:c r="G197" s="56"/>
      <x:c r="H197" s="55"/>
      <x:c r="I197" s="55"/>
      <x:c r="J197" s="56"/>
      <x:c r="K197" s="57"/>
      <x:c r="L197" s="57"/>
      <x:c r="M197" s="57"/>
      <x:c r="N197" s="56"/>
      <x:c r="O197" s="56"/>
      <x:c r="P197" s="55"/>
      <x:c r="Q197" s="55"/>
      <x:c r="R197" s="55"/>
      <x:c r="S197" s="55"/>
      <x:c r="T197" s="55"/>
      <x:c r="U197" s="56"/>
      <x:c r="V197" s="55"/>
    </x:row>
    <x:row r="198" ht="28" customHeight="1">
      <x:c r="A198" s="55"/>
      <x:c r="B198" s="55"/>
      <x:c r="C198" s="55"/>
      <x:c r="D198" s="55"/>
      <x:c r="E198" s="55"/>
      <x:c r="F198" s="57"/>
      <x:c r="G198" s="56"/>
      <x:c r="H198" s="55"/>
      <x:c r="I198" s="55"/>
      <x:c r="J198" s="56"/>
      <x:c r="K198" s="57"/>
      <x:c r="L198" s="57"/>
      <x:c r="M198" s="57"/>
      <x:c r="N198" s="56"/>
      <x:c r="O198" s="56"/>
      <x:c r="P198" s="55"/>
      <x:c r="Q198" s="55"/>
      <x:c r="R198" s="55"/>
      <x:c r="S198" s="55"/>
      <x:c r="T198" s="55"/>
      <x:c r="U198" s="56"/>
      <x:c r="V198" s="55"/>
    </x:row>
    <x:row r="199" ht="28" customHeight="1">
      <x:c r="A199" s="55"/>
      <x:c r="B199" s="55"/>
      <x:c r="C199" s="55"/>
      <x:c r="D199" s="55"/>
      <x:c r="E199" s="55"/>
      <x:c r="F199" s="57"/>
      <x:c r="G199" s="56"/>
      <x:c r="H199" s="55"/>
      <x:c r="I199" s="55"/>
      <x:c r="J199" s="56"/>
      <x:c r="K199" s="57"/>
      <x:c r="L199" s="57"/>
      <x:c r="M199" s="57"/>
      <x:c r="N199" s="56"/>
      <x:c r="O199" s="56"/>
      <x:c r="P199" s="55"/>
      <x:c r="Q199" s="55"/>
      <x:c r="R199" s="55"/>
      <x:c r="S199" s="55"/>
      <x:c r="T199" s="55"/>
      <x:c r="U199" s="56"/>
      <x:c r="V199" s="55"/>
    </x:row>
    <x:row r="200" ht="28" customHeight="1">
      <x:c r="A200" s="55"/>
      <x:c r="B200" s="55"/>
      <x:c r="C200" s="55"/>
      <x:c r="D200" s="55"/>
      <x:c r="E200" s="55"/>
      <x:c r="F200" s="57"/>
      <x:c r="G200" s="56"/>
      <x:c r="H200" s="55"/>
      <x:c r="I200" s="55"/>
      <x:c r="J200" s="56"/>
      <x:c r="K200" s="57"/>
      <x:c r="L200" s="57"/>
      <x:c r="M200" s="57"/>
      <x:c r="N200" s="56"/>
      <x:c r="O200" s="56"/>
      <x:c r="P200" s="55"/>
      <x:c r="Q200" s="55"/>
      <x:c r="R200" s="55"/>
      <x:c r="S200" s="55"/>
      <x:c r="T200" s="55"/>
      <x:c r="U200" s="56"/>
      <x:c r="V200" s="55"/>
    </x:row>
    <x:row r="201" ht="28" customHeight="1">
      <x:c r="A201" s="55"/>
      <x:c r="B201" s="55"/>
      <x:c r="C201" s="55"/>
      <x:c r="D201" s="55"/>
      <x:c r="E201" s="55"/>
      <x:c r="F201" s="57"/>
      <x:c r="G201" s="56"/>
      <x:c r="H201" s="55"/>
      <x:c r="I201" s="55"/>
      <x:c r="J201" s="56"/>
      <x:c r="K201" s="57"/>
      <x:c r="L201" s="57"/>
      <x:c r="M201" s="57"/>
      <x:c r="N201" s="56"/>
      <x:c r="O201" s="56"/>
      <x:c r="P201" s="55"/>
      <x:c r="Q201" s="55"/>
      <x:c r="R201" s="55"/>
      <x:c r="S201" s="55"/>
      <x:c r="T201" s="55"/>
      <x:c r="U201" s="56"/>
      <x:c r="V201" s="55"/>
    </x:row>
    <x:row r="202" ht="28" customHeight="1">
      <x:c r="A202" s="55"/>
      <x:c r="B202" s="55"/>
      <x:c r="C202" s="55"/>
      <x:c r="D202" s="55"/>
      <x:c r="E202" s="55"/>
      <x:c r="F202" s="57"/>
      <x:c r="G202" s="56"/>
      <x:c r="H202" s="55"/>
      <x:c r="I202" s="55"/>
      <x:c r="J202" s="56"/>
      <x:c r="K202" s="57"/>
      <x:c r="L202" s="57"/>
      <x:c r="M202" s="57"/>
      <x:c r="N202" s="56"/>
      <x:c r="O202" s="56"/>
      <x:c r="P202" s="55"/>
      <x:c r="Q202" s="55"/>
      <x:c r="R202" s="55"/>
      <x:c r="S202" s="55"/>
      <x:c r="T202" s="55"/>
      <x:c r="U202" s="56"/>
      <x:c r="V202" s="55"/>
    </x:row>
    <x:row r="203" ht="28" customHeight="1">
      <x:c r="A203" s="55"/>
      <x:c r="B203" s="55"/>
      <x:c r="C203" s="55"/>
      <x:c r="D203" s="55"/>
      <x:c r="E203" s="55"/>
      <x:c r="F203" s="57"/>
      <x:c r="G203" s="56"/>
      <x:c r="H203" s="55"/>
      <x:c r="I203" s="55"/>
      <x:c r="J203" s="56"/>
      <x:c r="K203" s="57"/>
      <x:c r="L203" s="57"/>
      <x:c r="M203" s="57"/>
      <x:c r="N203" s="56"/>
      <x:c r="O203" s="56"/>
      <x:c r="P203" s="55"/>
      <x:c r="Q203" s="55"/>
      <x:c r="R203" s="55"/>
      <x:c r="S203" s="55"/>
      <x:c r="T203" s="55"/>
      <x:c r="U203" s="56"/>
      <x:c r="V203" s="55"/>
    </x:row>
    <x:row r="204" ht="28" customHeight="1">
      <x:c r="A204" s="55"/>
      <x:c r="B204" s="55"/>
      <x:c r="C204" s="55"/>
      <x:c r="D204" s="55"/>
      <x:c r="E204" s="55"/>
      <x:c r="F204" s="57"/>
      <x:c r="G204" s="56"/>
      <x:c r="H204" s="55"/>
      <x:c r="I204" s="55"/>
      <x:c r="J204" s="56"/>
      <x:c r="K204" s="57"/>
      <x:c r="L204" s="57"/>
      <x:c r="M204" s="57"/>
      <x:c r="N204" s="56"/>
      <x:c r="O204" s="56"/>
      <x:c r="P204" s="55"/>
      <x:c r="Q204" s="55"/>
      <x:c r="R204" s="55"/>
      <x:c r="S204" s="55"/>
      <x:c r="T204" s="55"/>
      <x:c r="U204" s="56"/>
      <x:c r="V204" s="55"/>
    </x:row>
    <x:row r="205" ht="28" customHeight="1">
      <x:c r="A205" s="55"/>
      <x:c r="B205" s="55"/>
      <x:c r="C205" s="55"/>
      <x:c r="D205" s="55"/>
      <x:c r="E205" s="55"/>
      <x:c r="F205" s="57"/>
      <x:c r="G205" s="56"/>
      <x:c r="H205" s="55"/>
      <x:c r="I205" s="55"/>
      <x:c r="J205" s="56"/>
      <x:c r="K205" s="57"/>
      <x:c r="L205" s="57"/>
      <x:c r="M205" s="57"/>
      <x:c r="N205" s="56"/>
      <x:c r="O205" s="56"/>
      <x:c r="P205" s="55"/>
      <x:c r="Q205" s="55"/>
      <x:c r="R205" s="55"/>
      <x:c r="S205" s="55"/>
      <x:c r="T205" s="55"/>
      <x:c r="U205" s="56"/>
      <x:c r="V205" s="55"/>
    </x:row>
    <x:row r="206" ht="28" customHeight="1">
      <x:c r="A206" s="55"/>
      <x:c r="B206" s="55"/>
      <x:c r="C206" s="55"/>
      <x:c r="D206" s="55"/>
      <x:c r="E206" s="55"/>
      <x:c r="F206" s="57"/>
      <x:c r="G206" s="56"/>
      <x:c r="H206" s="55"/>
      <x:c r="I206" s="55"/>
      <x:c r="J206" s="56"/>
      <x:c r="K206" s="57"/>
      <x:c r="L206" s="57"/>
      <x:c r="M206" s="57"/>
      <x:c r="N206" s="56"/>
      <x:c r="O206" s="56"/>
      <x:c r="P206" s="55"/>
      <x:c r="Q206" s="55"/>
      <x:c r="R206" s="55"/>
      <x:c r="S206" s="55"/>
      <x:c r="T206" s="55"/>
      <x:c r="U206" s="56"/>
      <x:c r="V206" s="55"/>
    </x:row>
    <x:row r="207" ht="28" customHeight="1">
      <x:c r="A207" s="55"/>
      <x:c r="B207" s="55"/>
      <x:c r="C207" s="55"/>
      <x:c r="D207" s="55"/>
      <x:c r="E207" s="55"/>
      <x:c r="F207" s="57"/>
      <x:c r="G207" s="56"/>
      <x:c r="H207" s="55"/>
      <x:c r="I207" s="55"/>
      <x:c r="J207" s="56"/>
      <x:c r="K207" s="57"/>
      <x:c r="L207" s="57"/>
      <x:c r="M207" s="57"/>
      <x:c r="N207" s="56"/>
      <x:c r="O207" s="56"/>
      <x:c r="P207" s="55"/>
      <x:c r="Q207" s="55"/>
      <x:c r="R207" s="55"/>
      <x:c r="S207" s="55"/>
      <x:c r="T207" s="55"/>
      <x:c r="U207" s="56"/>
      <x:c r="V207" s="55"/>
    </x:row>
    <x:row r="208" ht="28" customHeight="1">
      <x:c r="A208" s="55"/>
      <x:c r="B208" s="55"/>
      <x:c r="C208" s="55"/>
      <x:c r="D208" s="55"/>
      <x:c r="E208" s="55"/>
      <x:c r="F208" s="57"/>
      <x:c r="G208" s="56"/>
      <x:c r="H208" s="55"/>
      <x:c r="I208" s="55"/>
      <x:c r="J208" s="56"/>
      <x:c r="K208" s="57"/>
      <x:c r="L208" s="57"/>
      <x:c r="M208" s="57"/>
      <x:c r="N208" s="56"/>
      <x:c r="O208" s="56"/>
      <x:c r="P208" s="55"/>
      <x:c r="Q208" s="55"/>
      <x:c r="R208" s="55"/>
      <x:c r="S208" s="55"/>
      <x:c r="T208" s="55"/>
      <x:c r="U208" s="56"/>
      <x:c r="V208" s="55"/>
    </x:row>
    <x:row r="209" ht="28" customHeight="1">
      <x:c r="A209" s="55"/>
      <x:c r="B209" s="55"/>
      <x:c r="C209" s="55"/>
      <x:c r="D209" s="55"/>
      <x:c r="E209" s="55"/>
      <x:c r="F209" s="57"/>
      <x:c r="G209" s="56"/>
      <x:c r="H209" s="55"/>
      <x:c r="I209" s="55"/>
      <x:c r="J209" s="56"/>
      <x:c r="K209" s="57"/>
      <x:c r="L209" s="57"/>
      <x:c r="M209" s="57"/>
      <x:c r="N209" s="56"/>
      <x:c r="O209" s="56"/>
      <x:c r="P209" s="55"/>
      <x:c r="Q209" s="55"/>
      <x:c r="R209" s="55"/>
      <x:c r="S209" s="55"/>
      <x:c r="T209" s="55"/>
      <x:c r="U209" s="56"/>
      <x:c r="V209" s="55"/>
    </x:row>
    <x:row r="210" ht="28" customHeight="1">
      <x:c r="A210" s="55"/>
      <x:c r="B210" s="55"/>
      <x:c r="C210" s="55"/>
      <x:c r="D210" s="55"/>
      <x:c r="E210" s="55"/>
      <x:c r="F210" s="57"/>
      <x:c r="G210" s="56"/>
      <x:c r="H210" s="55"/>
      <x:c r="I210" s="55"/>
      <x:c r="J210" s="56"/>
      <x:c r="K210" s="57"/>
      <x:c r="L210" s="57"/>
      <x:c r="M210" s="57"/>
      <x:c r="N210" s="56"/>
      <x:c r="O210" s="56"/>
      <x:c r="P210" s="55"/>
      <x:c r="Q210" s="55"/>
      <x:c r="R210" s="55"/>
      <x:c r="S210" s="55"/>
      <x:c r="T210" s="55"/>
      <x:c r="U210" s="56"/>
      <x:c r="V210" s="55"/>
    </x:row>
    <x:row r="211" ht="28" customHeight="1">
      <x:c r="A211" s="55"/>
      <x:c r="B211" s="55"/>
      <x:c r="C211" s="55"/>
      <x:c r="D211" s="55"/>
      <x:c r="E211" s="55"/>
      <x:c r="F211" s="57"/>
      <x:c r="G211" s="56"/>
      <x:c r="H211" s="55"/>
      <x:c r="I211" s="55"/>
      <x:c r="J211" s="56"/>
      <x:c r="K211" s="57"/>
      <x:c r="L211" s="57"/>
      <x:c r="M211" s="57"/>
      <x:c r="N211" s="56"/>
      <x:c r="O211" s="56"/>
      <x:c r="P211" s="55"/>
      <x:c r="Q211" s="55"/>
      <x:c r="R211" s="55"/>
      <x:c r="S211" s="55"/>
      <x:c r="T211" s="55"/>
      <x:c r="U211" s="56"/>
      <x:c r="V211" s="55"/>
    </x:row>
    <x:row r="212" ht="28" customHeight="1">
      <x:c r="A212" s="55"/>
      <x:c r="B212" s="55"/>
      <x:c r="C212" s="55"/>
      <x:c r="D212" s="55"/>
      <x:c r="E212" s="55"/>
      <x:c r="F212" s="57"/>
      <x:c r="G212" s="56"/>
      <x:c r="H212" s="55"/>
      <x:c r="I212" s="55"/>
      <x:c r="J212" s="56"/>
      <x:c r="K212" s="57"/>
      <x:c r="L212" s="57"/>
      <x:c r="M212" s="57"/>
      <x:c r="N212" s="56"/>
      <x:c r="O212" s="56"/>
      <x:c r="P212" s="55"/>
      <x:c r="Q212" s="55"/>
      <x:c r="R212" s="55"/>
      <x:c r="S212" s="55"/>
      <x:c r="T212" s="55"/>
      <x:c r="U212" s="56"/>
      <x:c r="V212" s="55"/>
    </x:row>
    <x:row r="213" ht="28" customHeight="1">
      <x:c r="A213" s="55"/>
      <x:c r="B213" s="55"/>
      <x:c r="C213" s="55"/>
      <x:c r="D213" s="55"/>
      <x:c r="E213" s="55"/>
      <x:c r="F213" s="57"/>
      <x:c r="G213" s="56"/>
      <x:c r="H213" s="55"/>
      <x:c r="I213" s="55"/>
      <x:c r="J213" s="56"/>
      <x:c r="K213" s="57"/>
      <x:c r="L213" s="57"/>
      <x:c r="M213" s="57"/>
      <x:c r="N213" s="56"/>
      <x:c r="O213" s="56"/>
      <x:c r="P213" s="55"/>
      <x:c r="Q213" s="55"/>
      <x:c r="R213" s="55"/>
      <x:c r="S213" s="55"/>
      <x:c r="T213" s="55"/>
      <x:c r="U213" s="56"/>
      <x:c r="V213" s="55"/>
    </x:row>
    <x:row r="214" ht="28" customHeight="1">
      <x:c r="A214" s="55"/>
      <x:c r="B214" s="55"/>
      <x:c r="C214" s="55"/>
      <x:c r="D214" s="55"/>
      <x:c r="E214" s="55"/>
      <x:c r="F214" s="57"/>
      <x:c r="G214" s="56"/>
      <x:c r="H214" s="55"/>
      <x:c r="I214" s="55"/>
      <x:c r="J214" s="56"/>
      <x:c r="K214" s="57"/>
      <x:c r="L214" s="57"/>
      <x:c r="M214" s="57"/>
      <x:c r="N214" s="56"/>
      <x:c r="O214" s="56"/>
      <x:c r="P214" s="55"/>
      <x:c r="Q214" s="55"/>
      <x:c r="R214" s="55"/>
      <x:c r="S214" s="55"/>
      <x:c r="T214" s="55"/>
      <x:c r="U214" s="56"/>
      <x:c r="V214" s="55"/>
    </x:row>
    <x:row r="215" ht="28" customHeight="1">
      <x:c r="A215" s="55"/>
      <x:c r="B215" s="55"/>
      <x:c r="C215" s="55"/>
      <x:c r="D215" s="55"/>
      <x:c r="E215" s="55"/>
      <x:c r="F215" s="57"/>
      <x:c r="G215" s="56"/>
      <x:c r="H215" s="55"/>
      <x:c r="I215" s="55"/>
      <x:c r="J215" s="56"/>
      <x:c r="K215" s="57"/>
      <x:c r="L215" s="57"/>
      <x:c r="M215" s="57"/>
      <x:c r="N215" s="56"/>
      <x:c r="O215" s="56"/>
      <x:c r="P215" s="55"/>
      <x:c r="Q215" s="55"/>
      <x:c r="R215" s="55"/>
      <x:c r="S215" s="55"/>
      <x:c r="T215" s="55"/>
      <x:c r="U215" s="56"/>
      <x:c r="V215" s="55"/>
    </x:row>
    <x:row r="216" ht="28" customHeight="1">
      <x:c r="A216" s="55"/>
      <x:c r="B216" s="55"/>
      <x:c r="C216" s="55"/>
      <x:c r="D216" s="55"/>
      <x:c r="E216" s="55"/>
      <x:c r="F216" s="57"/>
      <x:c r="G216" s="56"/>
      <x:c r="H216" s="55"/>
      <x:c r="I216" s="55"/>
      <x:c r="J216" s="56"/>
      <x:c r="K216" s="57"/>
      <x:c r="L216" s="57"/>
      <x:c r="M216" s="57"/>
      <x:c r="N216" s="56"/>
      <x:c r="O216" s="56"/>
      <x:c r="P216" s="55"/>
      <x:c r="Q216" s="55"/>
      <x:c r="R216" s="55"/>
      <x:c r="S216" s="55"/>
      <x:c r="T216" s="55"/>
      <x:c r="U216" s="56"/>
      <x:c r="V216" s="55"/>
    </x:row>
  </x:sheetData>
  <x:dataValidations count="6">
    <x:dataValidation type="list" sqref="B4">
      <x:formula1>INDIRECT("'Project Status &amp; EVM'!$A$17:$A$216")</x:formula1>
    </x:dataValidation>
    <x:dataValidation type="list" sqref="C17:C216">
      <x:formula1>"Contractor,Vendor"</x:formula1>
    </x:dataValidation>
    <x:dataValidation type="list" sqref="H17:H216">
      <x:formula1>"Bill awaited,Received,Under verification,Certified,Approved for payment,Partly paid,Fully paid,Disputed,On hold"</x:formula1>
    </x:dataValidation>
    <x:dataValidation type="list" sqref="I17:I216">
      <x:formula1>"Bill awaited,Received,Under verification,Certified,Approved for payment,Partly paid,Fully paid,Disputed,On hold"</x:formula1>
    </x:dataValidation>
    <x:dataValidation type="list" sqref="A17:A216">
      <x:formula1>INDIRECT("'Project Status &amp; EVM'!$A$17:$A$216")</x:formula1>
    </x:dataValidation>
    <x:dataValidation type="list" sqref="T17:T216">
      <x:formula1>INDIRECT("'MD Decisions'!$C$17:$C$216")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386b875a74c76"/>
  </x:tableParts>
</x:worksheet>
</file>

<file path=xl/worksheets/sheet6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22" hidden="0" customWidth="1"/>
    <x:col min="5" max="5" width="46" hidden="0" customWidth="1"/>
    <x:col min="6" max="6" width="22" hidden="0" customWidth="1"/>
    <x:col min="7" max="7" width="22" hidden="0" customWidth="1"/>
    <x:col min="8" max="8" width="26" hidden="0" customWidth="1"/>
    <x:col min="9" max="9" width="17" hidden="0" customWidth="1"/>
    <x:col min="10" max="10" width="17" hidden="0" customWidth="1"/>
    <x:col min="11" max="11" width="25" hidden="0" customWidth="1"/>
    <x:col min="12" max="12" width="25" hidden="0" customWidth="1"/>
    <x:col min="13" max="13" width="17" hidden="0" customWidth="1"/>
    <x:col min="14" max="14" width="17" hidden="0" customWidth="1"/>
    <x:col min="15" max="15" width="17" hidden="0" customWidth="1"/>
    <x:col min="16" max="16" width="46" hidden="0" customWidth="1"/>
    <x:col min="17" max="17" width="22" hidden="0" customWidth="1"/>
    <x:col min="18" max="18" width="46" hidden="0" customWidth="1"/>
    <x:col min="19" max="19" width="25" hidden="0" customWidth="1"/>
    <x:col min="20" max="20" width="22" hidden="0" customWidth="1"/>
    <x:col min="21" max="21" width="17" hidden="0" customWidth="1"/>
    <x:col min="22" max="22" width="46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4" t="str">
        <x:v>6. Engineering Status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Engineering plan</x:v>
      </x:c>
      <x:c r="E4" s="32" t="n">
        <x:f>IF($B$4="","",IF(COUNTIFS('Project Status &amp; EVM'!$A$17:$A$216,$B$4)=0,"",IF(COUNTIFS('Project Status &amp; EVM'!$A$17:$A$216,$B$4)&gt;1,"Duplicate project",IF(COUNT(INDEX('Project Status &amp; EVM'!$I$17:$I$216,MATCH($B$4,'Project Status &amp; EVM'!$A$17:$A$216,0)))=0,"",INDEX('Project Status &amp; EVM'!$I$17:$I$216,MATCH($B$4,'Project Status &amp; EVM'!$A$17:$A$216,0))))))</x:f>
        <x:v>0.95</x:v>
      </x:c>
      <x:c r="F4" s="2"/>
      <x:c r="G4" s="3" t="str">
        <x:v>Total drawings</x:v>
      </x:c>
      <x:c r="H4" s="31" t="n">
        <x:f>IF(COUNTIFS($A$17:$A$216,$B$4,$D$17:$D$216,"&lt;&gt;")=0,"",SUMIFS($X$17:$X$216,$A$17:$A$216,$B$4))</x:f>
        <x:v>5</x:v>
      </x:c>
      <x:c r="I4" s="2"/>
      <x:c r="J4" s="3" t="str">
        <x:v>Yet to submit</x:v>
      </x:c>
      <x:c r="K4" s="31" t="n">
        <x:f>IF(COUNTIFS($A$17:$A$216,$B$4,$D$17:$D$216,"&lt;&gt;")=0,"",SUMIFS($AA$17:$AA$216,$A$17:$A$216,$B$4))</x:f>
        <x:v>2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4" customHeight="1">
      <x:c r="A5" s="3" t="str">
        <x:v>Review date</x:v>
      </x:c>
      <x:c r="B5" s="8" t="n">
        <x:v>46285</x:v>
      </x:c>
      <x:c r="C5" s="2"/>
      <x:c r="D5" s="3" t="str">
        <x:v>Engineering actual</x:v>
      </x:c>
      <x:c r="E5" s="32" t="n">
        <x:f>IF($B$4="","",IF(COUNTIFS('Project Status &amp; EVM'!$A$17:$A$216,$B$4)=0,"",IF(COUNTIFS('Project Status &amp; EVM'!$A$17:$A$216,$B$4)&gt;1,"Duplicate project",IF(COUNT(INDEX('Project Status &amp; EVM'!$J$17:$J$216,MATCH($B$4,'Project Status &amp; EVM'!$A$17:$A$216,0)))=0,"",INDEX('Project Status &amp; EVM'!$J$17:$J$216,MATCH($B$4,'Project Status &amp; EVM'!$A$17:$A$216,0))))))</x:f>
        <x:v>0.9</x:v>
      </x:c>
      <x:c r="F5" s="2"/>
      <x:c r="G5" s="3" t="str">
        <x:v>Submitted</x:v>
      </x:c>
      <x:c r="H5" s="31" t="n">
        <x:f>IF(COUNTIFS($A$17:$A$216,$B$4,$D$17:$D$216,"&lt;&gt;")=0,"",SUMIFS($Y$17:$Y$216,$A$17:$A$216,$B$4))</x:f>
        <x:v>3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24" customHeight="1">
      <x:c r="A6" s="2"/>
      <x:c r="B6" s="2"/>
      <x:c r="C6" s="2"/>
      <x:c r="D6" s="3" t="str">
        <x:v>Progress as of</x:v>
      </x:c>
      <x:c r="E6" s="33" t="n">
        <x:f>IF($B$4="","",IF(COUNTIFS('Project Status &amp; EVM'!$A$17:$A$216,$B$4)=0,"",IF(COUNTIFS('Project Status &amp; EVM'!$A$17:$A$216,$B$4)&gt;1,"Duplicate project",IF(COUNT(INDEX('Project Status &amp; EVM'!$E$17:$E$216,MATCH($B$4,'Project Status &amp; EVM'!$A$17:$A$216,0)))=0,"",INDEX('Project Status &amp; EVM'!$E$17:$E$216,MATCH($B$4,'Project Status &amp; EVM'!$A$17:$A$216,0))))))</x:f>
        <x:v>46285</x:v>
      </x:c>
      <x:c r="F6" s="2"/>
      <x:c r="G6" s="3" t="str">
        <x:v>Approved</x:v>
      </x:c>
      <x:c r="H6" s="31" t="n">
        <x:f>IF(COUNTIFS($A$17:$A$216,$B$4,$D$17:$D$216,"&lt;&gt;")=0,"",SUMIFS($Z$17:$Z$216,$A$17:$A$216,$B$4))</x:f>
        <x:v>1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24" customHeight="1">
      <x:c r="A11" s="3" t="str">
        <x:v>Counts cover entered unique references only. Use one current row per reference, updating revisions in that row. Red IDs are duplicates.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24" customHeight="1">
      <x:c r="A12" s="3" t="str">
        <x:v>Submitted includes later stages such as Approved. Each fictional project has 5 drawings: 3 submitted, 1 approved and 2 yet to submit.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54" customHeight="1">
      <x:c r="A16" s="13" t="str">
        <x:v>Project code</x:v>
      </x:c>
      <x:c r="B16" s="13" t="str">
        <x:v>Site / location</x:v>
      </x:c>
      <x:c r="C16" s="13" t="str">
        <x:v>Plan Month</x:v>
      </x:c>
      <x:c r="D16" s="13" t="str">
        <x:v>Drawing / document reference</x:v>
      </x:c>
      <x:c r="E16" s="13" t="str">
        <x:v>Drawing / document description</x:v>
      </x:c>
      <x:c r="F16" s="13" t="str">
        <x:v>Linked front / activity ID</x:v>
      </x:c>
      <x:c r="G16" s="13" t="str">
        <x:v>Responsible designer / consultant</x:v>
      </x:c>
      <x:c r="H16" s="13" t="str">
        <x:v>Required-for-construction date</x:v>
      </x:c>
      <x:c r="I16" s="13" t="str">
        <x:v>Planned submission date</x:v>
      </x:c>
      <x:c r="J16" s="13" t="str">
        <x:v>Actual submission date</x:v>
      </x:c>
      <x:c r="K16" s="13" t="str">
        <x:v>Present Status</x:v>
      </x:c>
      <x:c r="L16" s="13" t="str">
        <x:v>Next Status</x:v>
      </x:c>
      <x:c r="M16" s="13" t="str">
        <x:v>Next Status Target Date</x:v>
      </x:c>
      <x:c r="N16" s="13" t="str">
        <x:v>Expected approval date</x:v>
      </x:c>
      <x:c r="O16" s="13" t="str">
        <x:v>Actual approval date</x:v>
      </x:c>
      <x:c r="P16" s="13" t="str">
        <x:v>Reason pending / blocker</x:v>
      </x:c>
      <x:c r="Q16" s="13" t="str">
        <x:v>Work affected if delayed</x:v>
      </x:c>
      <x:c r="R16" s="13" t="str">
        <x:v>Action / MD support required</x:v>
      </x:c>
      <x:c r="S16" s="13" t="str">
        <x:v>Responsible owner</x:v>
      </x:c>
      <x:c r="T16" s="13" t="str">
        <x:v>Linked Decision ID</x:v>
      </x:c>
      <x:c r="U16" s="13" t="str">
        <x:v>Last updated</x:v>
      </x:c>
      <x:c r="V16" s="13" t="str">
        <x:v>Source / entry notes</x:v>
      </x:c>
      <x:c r="X16" s="50" t="str">
        <x:v>Unique reference (calc)</x:v>
      </x:c>
      <x:c r="Y16" s="50" t="str">
        <x:v>Submitted (calc)</x:v>
      </x:c>
      <x:c r="Z16" s="50" t="str">
        <x:v>Approved (calc)</x:v>
      </x:c>
      <x:c r="AA16" s="50" t="str">
        <x:v>Yet to submit (calc)</x:v>
      </x:c>
    </x:row>
    <x:row r="17" ht="102" customHeight="1">
      <x:c r="A17" s="55" t="str">
        <x:v>S25WRJ01</x:v>
      </x:c>
      <x:c r="B17" s="55" t="str">
        <x:v>P1-SITE-1</x:v>
      </x:c>
      <x:c r="C17" s="60" t="n">
        <x:v>46266</x:v>
      </x:c>
      <x:c r="D17" s="55" t="str">
        <x:v>S25WRJ01-DRG-001</x:v>
      </x:c>
      <x:c r="E17" s="55" t="str">
        <x:v>Clear water reservoir general arrangement</x:v>
      </x:c>
      <x:c r="F17" s="55" t="str">
        <x:v>S25WRJ01-ACT-01</x:v>
      </x:c>
      <x:c r="G17" s="55" t="str">
        <x:v>Demo Design Consultant P1</x:v>
      </x:c>
      <x:c r="H17" s="56" t="n">
        <x:v>46290</x:v>
      </x:c>
      <x:c r="I17" s="56" t="n">
        <x:v>46286</x:v>
      </x:c>
      <x:c r="J17" s="56" t="str">
        <x:v>Not yet occurred</x:v>
      </x:c>
      <x:c r="K17" s="55" t="str">
        <x:v>Not started</x:v>
      </x:c>
      <x:c r="L17" s="55" t="str">
        <x:v>Under preparation</x:v>
      </x:c>
      <x:c r="M17" s="56" t="n">
        <x:v>46286</x:v>
      </x:c>
      <x:c r="N17" s="56" t="n">
        <x:v>46289</x:v>
      </x:c>
      <x:c r="O17" s="56" t="str">
        <x:v>Not yet occurred</x:v>
      </x:c>
      <x:c r="P17" s="55" t="str">
        <x:v>Survey inputs to be issued.</x:v>
      </x:c>
      <x:c r="Q17" s="55" t="str">
        <x:v>Clear water reservoir execution</x:v>
      </x:c>
      <x:c r="R17" s="55" t="str">
        <x:v>Confirm design inputs and expedite reviewer response.</x:v>
      </x:c>
      <x:c r="S17" s="55" t="str">
        <x:v>Demo Engineering Lead P1</x:v>
      </x:c>
      <x:c r="T17" s="55" t="str">
        <x:v>S25WRJ01-DEC-01</x:v>
      </x:c>
      <x:c r="U17" s="56" t="n">
        <x:v>46285</x:v>
      </x:c>
      <x:c r="V17" s="55" t="str">
        <x:v>FICTIONAL TEST DATA. All people, quantities, money, dates and statuses are invented; not project records.</x:v>
      </x:c>
      <x:c r="X17" t="n">
        <x:f>IF(OR(A17="",D17=""),0,IF(COUNTIFS($A$17:A17,A17,$D$17:D17,D17)=1,1,0))</x:f>
        <x:v>1</x:v>
      </x:c>
      <x:c r="Y17" t="n">
        <x:f>IF(X17=0,0,IF(OR(ISNUMBER(J17),K17="Submitted",K17="Under review",K17="Comments received",K17="Resubmitted",K17="Approved"),1,0))</x:f>
        <x:v>0</x:v>
      </x:c>
      <x:c r="Z17" t="n">
        <x:f>IF(X17=0,0,IF(K17="Approved",1,0))</x:f>
        <x:v>0</x:v>
      </x:c>
      <x:c r="AA17" t="n">
        <x:f>IF(X17=0,0,1-Y17)</x:f>
        <x:v>1</x:v>
      </x:c>
    </x:row>
    <x:row r="18" ht="102" customHeight="1">
      <x:c r="A18" s="55" t="str">
        <x:v>S25WRJ01</x:v>
      </x:c>
      <x:c r="B18" s="55" t="str">
        <x:v>P1-SITE-2</x:v>
      </x:c>
      <x:c r="C18" s="60" t="n">
        <x:v>46266</x:v>
      </x:c>
      <x:c r="D18" s="55" t="str">
        <x:v>S25WRJ01-DRG-002</x:v>
      </x:c>
      <x:c r="E18" s="55" t="str">
        <x:v>Pipe corridor reinforcement detail</x:v>
      </x:c>
      <x:c r="F18" s="55" t="str">
        <x:v>S25WRJ01-ACT-02</x:v>
      </x:c>
      <x:c r="G18" s="55" t="str">
        <x:v>Demo Design Consultant P1</x:v>
      </x:c>
      <x:c r="H18" s="56" t="n">
        <x:v>46291</x:v>
      </x:c>
      <x:c r="I18" s="56" t="n">
        <x:v>46287</x:v>
      </x:c>
      <x:c r="J18" s="56" t="str">
        <x:v>Not yet occurred</x:v>
      </x:c>
      <x:c r="K18" s="55" t="str">
        <x:v>Under preparation</x:v>
      </x:c>
      <x:c r="L18" s="55" t="str">
        <x:v>Submitted</x:v>
      </x:c>
      <x:c r="M18" s="56" t="n">
        <x:v>46287</x:v>
      </x:c>
      <x:c r="N18" s="56" t="n">
        <x:v>46290</x:v>
      </x:c>
      <x:c r="O18" s="56" t="str">
        <x:v>Not yet occurred</x:v>
      </x:c>
      <x:c r="P18" s="55" t="str">
        <x:v>Draft detailing in progress.</x:v>
      </x:c>
      <x:c r="Q18" s="55" t="str">
        <x:v>Pipe corridor execution</x:v>
      </x:c>
      <x:c r="R18" s="55" t="str">
        <x:v>Confirm design inputs and expedite reviewer response.</x:v>
      </x:c>
      <x:c r="S18" s="55" t="str">
        <x:v>Demo Engineering Lead P1</x:v>
      </x:c>
      <x:c r="T18" s="55" t="str">
        <x:v>S25WRJ01-DEC-02</x:v>
      </x:c>
      <x:c r="U18" s="56" t="n">
        <x:v>46285</x:v>
      </x:c>
      <x:c r="V18" s="55" t="str">
        <x:v>FICTIONAL TEST DATA. All people, quantities, money, dates and statuses are invented; not project records.</x:v>
      </x:c>
      <x:c r="X18" t="n">
        <x:f>IF(OR(A18="",D18=""),0,IF(COUNTIFS($A$17:A18,A18,$D$17:D18,D18)=1,1,0))</x:f>
        <x:v>1</x:v>
      </x:c>
      <x:c r="Y18" t="n">
        <x:f>IF(X18=0,0,IF(OR(ISNUMBER(J18),K18="Submitted",K18="Under review",K18="Comments received",K18="Resubmitted",K18="Approved"),1,0))</x:f>
        <x:v>0</x:v>
      </x:c>
      <x:c r="Z18" t="n">
        <x:f>IF(X18=0,0,IF(K18="Approved",1,0))</x:f>
        <x:v>0</x:v>
      </x:c>
      <x:c r="AA18" t="n">
        <x:f>IF(X18=0,0,1-Y18)</x:f>
        <x:v>1</x:v>
      </x:c>
    </x:row>
    <x:row r="19" ht="102" customHeight="1">
      <x:c r="A19" s="55" t="str">
        <x:v>S25WRJ01</x:v>
      </x:c>
      <x:c r="B19" s="55" t="str">
        <x:v>P1-SITE-1</x:v>
      </x:c>
      <x:c r="C19" s="60" t="n">
        <x:v>46266</x:v>
      </x:c>
      <x:c r="D19" s="55" t="str">
        <x:v>S25WRJ01-DRG-003</x:v>
      </x:c>
      <x:c r="E19" s="55" t="str">
        <x:v>Pump house foundation section</x:v>
      </x:c>
      <x:c r="F19" s="55" t="str">
        <x:v>S25WRJ01-ACT-03</x:v>
      </x:c>
      <x:c r="G19" s="55" t="str">
        <x:v>Demo Design Consultant P1</x:v>
      </x:c>
      <x:c r="H19" s="56" t="n">
        <x:v>46292</x:v>
      </x:c>
      <x:c r="I19" s="56" t="n">
        <x:v>46277</x:v>
      </x:c>
      <x:c r="J19" s="56" t="n">
        <x:v>46277</x:v>
      </x:c>
      <x:c r="K19" s="55" t="str">
        <x:v>Submitted</x:v>
      </x:c>
      <x:c r="L19" s="55" t="str">
        <x:v>Under review</x:v>
      </x:c>
      <x:c r="M19" s="56" t="n">
        <x:v>46288</x:v>
      </x:c>
      <x:c r="N19" s="56" t="n">
        <x:v>46291</x:v>
      </x:c>
      <x:c r="O19" s="56" t="str">
        <x:v>Not yet occurred</x:v>
      </x:c>
      <x:c r="P19" s="55" t="str">
        <x:v>Review comments and approval pending.</x:v>
      </x:c>
      <x:c r="Q19" s="55" t="str">
        <x:v>Pump house execution</x:v>
      </x:c>
      <x:c r="R19" s="55" t="str">
        <x:v>Confirm design inputs and expedite reviewer response.</x:v>
      </x:c>
      <x:c r="S19" s="55" t="str">
        <x:v>Demo Engineering Lead P1</x:v>
      </x:c>
      <x:c r="T19" s="55" t="str">
        <x:v>S25WRJ01-DEC-03</x:v>
      </x:c>
      <x:c r="U19" s="56" t="n">
        <x:v>46285</x:v>
      </x:c>
      <x:c r="V19" s="55" t="str">
        <x:v>FICTIONAL TEST DATA. All people, quantities, money, dates and statuses are invented; not project records.</x:v>
      </x:c>
      <x:c r="X19" t="n">
        <x:f>IF(OR(A19="",D19=""),0,IF(COUNTIFS($A$17:A19,A19,$D$17:D19,D19)=1,1,0))</x:f>
        <x:v>1</x:v>
      </x:c>
      <x:c r="Y19" t="n">
        <x:f>IF(X19=0,0,IF(OR(ISNUMBER(J19),K19="Submitted",K19="Under review",K19="Comments received",K19="Resubmitted",K19="Approved"),1,0))</x:f>
        <x:v>1</x:v>
      </x:c>
      <x:c r="Z19" t="n">
        <x:f>IF(X19=0,0,IF(K19="Approved",1,0))</x:f>
        <x:v>0</x:v>
      </x:c>
      <x:c r="AA19" t="n">
        <x:f>IF(X19=0,0,1-Y19)</x:f>
        <x:v>0</x:v>
      </x:c>
    </x:row>
    <x:row r="20" ht="102" customHeight="1">
      <x:c r="A20" s="55" t="str">
        <x:v>S25WRJ01</x:v>
      </x:c>
      <x:c r="B20" s="55" t="str">
        <x:v>P1-SITE-2</x:v>
      </x:c>
      <x:c r="C20" s="60" t="n">
        <x:v>46266</x:v>
      </x:c>
      <x:c r="D20" s="55" t="str">
        <x:v>S25WRJ01-DRG-004</x:v>
      </x:c>
      <x:c r="E20" s="55" t="str">
        <x:v>Treatment plant equipment layout</x:v>
      </x:c>
      <x:c r="F20" s="55" t="str">
        <x:v>S25WRJ01-ACT-04</x:v>
      </x:c>
      <x:c r="G20" s="55" t="str">
        <x:v>Demo Design Consultant P1</x:v>
      </x:c>
      <x:c r="H20" s="56" t="n">
        <x:v>46293</x:v>
      </x:c>
      <x:c r="I20" s="56" t="n">
        <x:v>46278</x:v>
      </x:c>
      <x:c r="J20" s="56" t="n">
        <x:v>46279</x:v>
      </x:c>
      <x:c r="K20" s="55" t="str">
        <x:v>Under review</x:v>
      </x:c>
      <x:c r="L20" s="55" t="str">
        <x:v>Approved</x:v>
      </x:c>
      <x:c r="M20" s="56" t="n">
        <x:v>46290</x:v>
      </x:c>
      <x:c r="N20" s="56" t="n">
        <x:v>46290</x:v>
      </x:c>
      <x:c r="O20" s="56" t="str">
        <x:v>Not yet occurred</x:v>
      </x:c>
      <x:c r="P20" s="55" t="str">
        <x:v>Review comments and approval pending.</x:v>
      </x:c>
      <x:c r="Q20" s="55" t="str">
        <x:v>Treatment plant execution</x:v>
      </x:c>
      <x:c r="R20" s="55" t="str">
        <x:v>Confirm design inputs and expedite reviewer response.</x:v>
      </x:c>
      <x:c r="S20" s="55" t="str">
        <x:v>Demo Engineering Lead P1</x:v>
      </x:c>
      <x:c r="T20" s="55" t="str">
        <x:v>S25WRJ01-DEC-04</x:v>
      </x:c>
      <x:c r="U20" s="56" t="n">
        <x:v>46285</x:v>
      </x:c>
      <x:c r="V20" s="55" t="str">
        <x:v>FICTIONAL TEST DATA. All people, quantities, money, dates and statuses are invented; not project records.</x:v>
      </x:c>
      <x:c r="X20" t="n">
        <x:f>IF(OR(A20="",D20=""),0,IF(COUNTIFS($A$17:A20,A20,$D$17:D20,D20)=1,1,0))</x:f>
        <x:v>1</x:v>
      </x:c>
      <x:c r="Y20" t="n">
        <x:f>IF(X20=0,0,IF(OR(ISNUMBER(J20),K20="Submitted",K20="Under review",K20="Comments received",K20="Resubmitted",K20="Approved"),1,0))</x:f>
        <x:v>1</x:v>
      </x:c>
      <x:c r="Z20" t="n">
        <x:f>IF(X20=0,0,IF(K20="Approved",1,0))</x:f>
        <x:v>0</x:v>
      </x:c>
      <x:c r="AA20" t="n">
        <x:f>IF(X20=0,0,1-Y20)</x:f>
        <x:v>0</x:v>
      </x:c>
    </x:row>
    <x:row r="21" ht="102" customHeight="1">
      <x:c r="A21" s="55" t="str">
        <x:v>S25WRJ01</x:v>
      </x:c>
      <x:c r="B21" s="55" t="str">
        <x:v>P1-SITE-1</x:v>
      </x:c>
      <x:c r="C21" s="60" t="n">
        <x:v>46266</x:v>
      </x:c>
      <x:c r="D21" s="55" t="str">
        <x:v>S25WRJ01-DRG-005</x:v>
      </x:c>
      <x:c r="E21" s="55" t="str">
        <x:v>Clear water reservoir construction detail</x:v>
      </x:c>
      <x:c r="F21" s="55" t="str">
        <x:v>S25WRJ01-ACT-01</x:v>
      </x:c>
      <x:c r="G21" s="55" t="str">
        <x:v>Demo Design Consultant P1</x:v>
      </x:c>
      <x:c r="H21" s="56" t="n">
        <x:v>46283</x:v>
      </x:c>
      <x:c r="I21" s="56" t="n">
        <x:v>46270</x:v>
      </x:c>
      <x:c r="J21" s="56" t="n">
        <x:v>46271</x:v>
      </x:c>
      <x:c r="K21" s="55" t="str">
        <x:v>Approved</x:v>
      </x:c>
      <x:c r="L21" s="55" t="str">
        <x:v>Approved</x:v>
      </x:c>
      <x:c r="M21" s="56" t="n">
        <x:v>46281</x:v>
      </x:c>
      <x:c r="N21" s="56" t="n">
        <x:v>46281</x:v>
      </x:c>
      <x:c r="O21" s="56" t="n">
        <x:v>46281</x:v>
      </x:c>
      <x:c r="P21" s="55" t="str">
        <x:v>None; approved drawing released.</x:v>
      </x:c>
      <x:c r="Q21" s="55" t="str">
        <x:v>Clear water reservoir execution</x:v>
      </x:c>
      <x:c r="R21" s="55" t="str">
        <x:v>No further intervention.</x:v>
      </x:c>
      <x:c r="S21" s="55" t="str">
        <x:v>Demo Engineering Lead P1</x:v>
      </x:c>
      <x:c r="T21" s="55" t="str">
        <x:v>S25WRJ01-DEC-01</x:v>
      </x:c>
      <x:c r="U21" s="56" t="n">
        <x:v>46285</x:v>
      </x:c>
      <x:c r="V21" s="55" t="str">
        <x:v>FICTIONAL TEST DATA. All people, quantities, money, dates and statuses are invented; not project records.</x:v>
      </x:c>
      <x:c r="X21" t="n">
        <x:f>IF(OR(A21="",D21=""),0,IF(COUNTIFS($A$17:A21,A21,$D$17:D21,D21)=1,1,0))</x:f>
        <x:v>1</x:v>
      </x:c>
      <x:c r="Y21" t="n">
        <x:f>IF(X21=0,0,IF(OR(ISNUMBER(J21),K21="Submitted",K21="Under review",K21="Comments received",K21="Resubmitted",K21="Approved"),1,0))</x:f>
        <x:v>1</x:v>
      </x:c>
      <x:c r="Z21" t="n">
        <x:f>IF(X21=0,0,IF(K21="Approved",1,0))</x:f>
        <x:v>1</x:v>
      </x:c>
      <x:c r="AA21" t="n">
        <x:f>IF(X21=0,0,1-Y21)</x:f>
        <x:v>0</x:v>
      </x:c>
    </x:row>
    <x:row r="22" ht="102" customHeight="1">
      <x:c r="A22" s="55" t="str">
        <x:v>S25WJH01</x:v>
      </x:c>
      <x:c r="B22" s="55" t="str">
        <x:v>P2-SITE-1</x:v>
      </x:c>
      <x:c r="C22" s="60" t="n">
        <x:v>46266</x:v>
      </x:c>
      <x:c r="D22" s="55" t="str">
        <x:v>S25WJH01-DRG-001</x:v>
      </x:c>
      <x:c r="E22" s="55" t="str">
        <x:v>Canal headworks general arrangement</x:v>
      </x:c>
      <x:c r="F22" s="55" t="str">
        <x:v>S25WJH01-ACT-01</x:v>
      </x:c>
      <x:c r="G22" s="55" t="str">
        <x:v>Demo Design Consultant P2</x:v>
      </x:c>
      <x:c r="H22" s="56" t="n">
        <x:v>46290</x:v>
      </x:c>
      <x:c r="I22" s="56" t="n">
        <x:v>46286</x:v>
      </x:c>
      <x:c r="J22" s="56" t="str">
        <x:v>Not yet occurred</x:v>
      </x:c>
      <x:c r="K22" s="55" t="str">
        <x:v>Not started</x:v>
      </x:c>
      <x:c r="L22" s="55" t="str">
        <x:v>Under preparation</x:v>
      </x:c>
      <x:c r="M22" s="56" t="n">
        <x:v>46286</x:v>
      </x:c>
      <x:c r="N22" s="56" t="n">
        <x:v>46289</x:v>
      </x:c>
      <x:c r="O22" s="56" t="str">
        <x:v>Not yet occurred</x:v>
      </x:c>
      <x:c r="P22" s="55" t="str">
        <x:v>Survey inputs to be issued.</x:v>
      </x:c>
      <x:c r="Q22" s="55" t="str">
        <x:v>Canal headworks execution</x:v>
      </x:c>
      <x:c r="R22" s="55" t="str">
        <x:v>Confirm design inputs and expedite reviewer response.</x:v>
      </x:c>
      <x:c r="S22" s="55" t="str">
        <x:v>Demo Engineering Lead P2</x:v>
      </x:c>
      <x:c r="T22" s="55" t="str">
        <x:v>S25WJH01-DEC-01</x:v>
      </x:c>
      <x:c r="U22" s="56" t="n">
        <x:v>46285</x:v>
      </x:c>
      <x:c r="V22" s="55" t="str">
        <x:v>FICTIONAL TEST DATA. All people, quantities, money, dates and statuses are invented; not project records.</x:v>
      </x:c>
      <x:c r="X22" t="n">
        <x:f>IF(OR(A22="",D22=""),0,IF(COUNTIFS($A$17:A22,A22,$D$17:D22,D22)=1,1,0))</x:f>
        <x:v>1</x:v>
      </x:c>
      <x:c r="Y22" t="n">
        <x:f>IF(X22=0,0,IF(OR(ISNUMBER(J22),K22="Submitted",K22="Under review",K22="Comments received",K22="Resubmitted",K22="Approved"),1,0))</x:f>
        <x:v>0</x:v>
      </x:c>
      <x:c r="Z22" t="n">
        <x:f>IF(X22=0,0,IF(K22="Approved",1,0))</x:f>
        <x:v>0</x:v>
      </x:c>
      <x:c r="AA22" t="n">
        <x:f>IF(X22=0,0,1-Y22)</x:f>
        <x:v>1</x:v>
      </x:c>
    </x:row>
    <x:row r="23" ht="102" customHeight="1">
      <x:c r="A23" s="55" t="str">
        <x:v>S25WJH01</x:v>
      </x:c>
      <x:c r="B23" s="55" t="str">
        <x:v>P2-SITE-2</x:v>
      </x:c>
      <x:c r="C23" s="60" t="n">
        <x:v>46266</x:v>
      </x:c>
      <x:c r="D23" s="55" t="str">
        <x:v>S25WJH01-DRG-002</x:v>
      </x:c>
      <x:c r="E23" s="55" t="str">
        <x:v>Canal reach reinforcement detail</x:v>
      </x:c>
      <x:c r="F23" s="55" t="str">
        <x:v>S25WJH01-ACT-02</x:v>
      </x:c>
      <x:c r="G23" s="55" t="str">
        <x:v>Demo Design Consultant P2</x:v>
      </x:c>
      <x:c r="H23" s="56" t="n">
        <x:v>46291</x:v>
      </x:c>
      <x:c r="I23" s="56" t="n">
        <x:v>46287</x:v>
      </x:c>
      <x:c r="J23" s="56" t="str">
        <x:v>Not yet occurred</x:v>
      </x:c>
      <x:c r="K23" s="55" t="str">
        <x:v>Under preparation</x:v>
      </x:c>
      <x:c r="L23" s="55" t="str">
        <x:v>Submitted</x:v>
      </x:c>
      <x:c r="M23" s="56" t="n">
        <x:v>46287</x:v>
      </x:c>
      <x:c r="N23" s="56" t="n">
        <x:v>46290</x:v>
      </x:c>
      <x:c r="O23" s="56" t="str">
        <x:v>Not yet occurred</x:v>
      </x:c>
      <x:c r="P23" s="55" t="str">
        <x:v>Draft detailing in progress.</x:v>
      </x:c>
      <x:c r="Q23" s="55" t="str">
        <x:v>Canal reach execution</x:v>
      </x:c>
      <x:c r="R23" s="55" t="str">
        <x:v>Confirm design inputs and expedite reviewer response.</x:v>
      </x:c>
      <x:c r="S23" s="55" t="str">
        <x:v>Demo Engineering Lead P2</x:v>
      </x:c>
      <x:c r="T23" s="55" t="str">
        <x:v>S25WJH01-DEC-02</x:v>
      </x:c>
      <x:c r="U23" s="56" t="n">
        <x:v>46285</x:v>
      </x:c>
      <x:c r="V23" s="55" t="str">
        <x:v>FICTIONAL TEST DATA. All people, quantities, money, dates and statuses are invented; not project records.</x:v>
      </x:c>
      <x:c r="X23" t="n">
        <x:f>IF(OR(A23="",D23=""),0,IF(COUNTIFS($A$17:A23,A23,$D$17:D23,D23)=1,1,0))</x:f>
        <x:v>1</x:v>
      </x:c>
      <x:c r="Y23" t="n">
        <x:f>IF(X23=0,0,IF(OR(ISNUMBER(J23),K23="Submitted",K23="Under review",K23="Comments received",K23="Resubmitted",K23="Approved"),1,0))</x:f>
        <x:v>0</x:v>
      </x:c>
      <x:c r="Z23" t="n">
        <x:f>IF(X23=0,0,IF(K23="Approved",1,0))</x:f>
        <x:v>0</x:v>
      </x:c>
      <x:c r="AA23" t="n">
        <x:f>IF(X23=0,0,1-Y23)</x:f>
        <x:v>1</x:v>
      </x:c>
    </x:row>
    <x:row r="24" ht="102" customHeight="1">
      <x:c r="A24" s="55" t="str">
        <x:v>S25WJH01</x:v>
      </x:c>
      <x:c r="B24" s="55" t="str">
        <x:v>P2-SITE-1</x:v>
      </x:c>
      <x:c r="C24" s="60" t="n">
        <x:v>46266</x:v>
      </x:c>
      <x:c r="D24" s="55" t="str">
        <x:v>S25WJH01-DRG-003</x:v>
      </x:c>
      <x:c r="E24" s="55" t="str">
        <x:v>Cross regulator foundation section</x:v>
      </x:c>
      <x:c r="F24" s="55" t="str">
        <x:v>S25WJH01-ACT-03</x:v>
      </x:c>
      <x:c r="G24" s="55" t="str">
        <x:v>Demo Design Consultant P2</x:v>
      </x:c>
      <x:c r="H24" s="56" t="n">
        <x:v>46292</x:v>
      </x:c>
      <x:c r="I24" s="56" t="n">
        <x:v>46277</x:v>
      </x:c>
      <x:c r="J24" s="56" t="n">
        <x:v>46277</x:v>
      </x:c>
      <x:c r="K24" s="55" t="str">
        <x:v>Submitted</x:v>
      </x:c>
      <x:c r="L24" s="55" t="str">
        <x:v>Under review</x:v>
      </x:c>
      <x:c r="M24" s="56" t="n">
        <x:v>46288</x:v>
      </x:c>
      <x:c r="N24" s="56" t="n">
        <x:v>46291</x:v>
      </x:c>
      <x:c r="O24" s="56" t="str">
        <x:v>Not yet occurred</x:v>
      </x:c>
      <x:c r="P24" s="55" t="str">
        <x:v>Review comments and approval pending.</x:v>
      </x:c>
      <x:c r="Q24" s="55" t="str">
        <x:v>Cross regulator execution</x:v>
      </x:c>
      <x:c r="R24" s="55" t="str">
        <x:v>Confirm design inputs and expedite reviewer response.</x:v>
      </x:c>
      <x:c r="S24" s="55" t="str">
        <x:v>Demo Engineering Lead P2</x:v>
      </x:c>
      <x:c r="T24" s="55" t="str">
        <x:v>S25WJH01-DEC-03</x:v>
      </x:c>
      <x:c r="U24" s="56" t="n">
        <x:v>46285</x:v>
      </x:c>
      <x:c r="V24" s="55" t="str">
        <x:v>FICTIONAL TEST DATA. All people, quantities, money, dates and statuses are invented; not project records.</x:v>
      </x:c>
      <x:c r="X24" t="n">
        <x:f>IF(OR(A24="",D24=""),0,IF(COUNTIFS($A$17:A24,A24,$D$17:D24,D24)=1,1,0))</x:f>
        <x:v>1</x:v>
      </x:c>
      <x:c r="Y24" t="n">
        <x:f>IF(X24=0,0,IF(OR(ISNUMBER(J24),K24="Submitted",K24="Under review",K24="Comments received",K24="Resubmitted",K24="Approved"),1,0))</x:f>
        <x:v>1</x:v>
      </x:c>
      <x:c r="Z24" t="n">
        <x:f>IF(X24=0,0,IF(K24="Approved",1,0))</x:f>
        <x:v>0</x:v>
      </x:c>
      <x:c r="AA24" t="n">
        <x:f>IF(X24=0,0,1-Y24)</x:f>
        <x:v>0</x:v>
      </x:c>
    </x:row>
    <x:row r="25" ht="102" customHeight="1">
      <x:c r="A25" s="55" t="str">
        <x:v>S25WJH01</x:v>
      </x:c>
      <x:c r="B25" s="55" t="str">
        <x:v>P2-SITE-2</x:v>
      </x:c>
      <x:c r="C25" s="60" t="n">
        <x:v>46266</x:v>
      </x:c>
      <x:c r="D25" s="55" t="str">
        <x:v>S25WJH01-DRG-004</x:v>
      </x:c>
      <x:c r="E25" s="55" t="str">
        <x:v>Pump station equipment layout</x:v>
      </x:c>
      <x:c r="F25" s="55" t="str">
        <x:v>S25WJH01-ACT-04</x:v>
      </x:c>
      <x:c r="G25" s="55" t="str">
        <x:v>Demo Design Consultant P2</x:v>
      </x:c>
      <x:c r="H25" s="56" t="n">
        <x:v>46293</x:v>
      </x:c>
      <x:c r="I25" s="56" t="n">
        <x:v>46278</x:v>
      </x:c>
      <x:c r="J25" s="56" t="n">
        <x:v>46279</x:v>
      </x:c>
      <x:c r="K25" s="55" t="str">
        <x:v>Under review</x:v>
      </x:c>
      <x:c r="L25" s="55" t="str">
        <x:v>Approved</x:v>
      </x:c>
      <x:c r="M25" s="56" t="n">
        <x:v>46290</x:v>
      </x:c>
      <x:c r="N25" s="56" t="n">
        <x:v>46290</x:v>
      </x:c>
      <x:c r="O25" s="56" t="str">
        <x:v>Not yet occurred</x:v>
      </x:c>
      <x:c r="P25" s="55" t="str">
        <x:v>Review comments and approval pending.</x:v>
      </x:c>
      <x:c r="Q25" s="55" t="str">
        <x:v>Pump station execution</x:v>
      </x:c>
      <x:c r="R25" s="55" t="str">
        <x:v>Confirm design inputs and expedite reviewer response.</x:v>
      </x:c>
      <x:c r="S25" s="55" t="str">
        <x:v>Demo Engineering Lead P2</x:v>
      </x:c>
      <x:c r="T25" s="55" t="str">
        <x:v>S25WJH01-DEC-04</x:v>
      </x:c>
      <x:c r="U25" s="56" t="n">
        <x:v>46285</x:v>
      </x:c>
      <x:c r="V25" s="55" t="str">
        <x:v>FICTIONAL TEST DATA. All people, quantities, money, dates and statuses are invented; not project records.</x:v>
      </x:c>
      <x:c r="X25" t="n">
        <x:f>IF(OR(A25="",D25=""),0,IF(COUNTIFS($A$17:A25,A25,$D$17:D25,D25)=1,1,0))</x:f>
        <x:v>1</x:v>
      </x:c>
      <x:c r="Y25" t="n">
        <x:f>IF(X25=0,0,IF(OR(ISNUMBER(J25),K25="Submitted",K25="Under review",K25="Comments received",K25="Resubmitted",K25="Approved"),1,0))</x:f>
        <x:v>1</x:v>
      </x:c>
      <x:c r="Z25" t="n">
        <x:f>IF(X25=0,0,IF(K25="Approved",1,0))</x:f>
        <x:v>0</x:v>
      </x:c>
      <x:c r="AA25" t="n">
        <x:f>IF(X25=0,0,1-Y25)</x:f>
        <x:v>0</x:v>
      </x:c>
    </x:row>
    <x:row r="26" ht="102" customHeight="1">
      <x:c r="A26" s="55" t="str">
        <x:v>S25WJH01</x:v>
      </x:c>
      <x:c r="B26" s="55" t="str">
        <x:v>P2-SITE-1</x:v>
      </x:c>
      <x:c r="C26" s="60" t="n">
        <x:v>46266</x:v>
      </x:c>
      <x:c r="D26" s="55" t="str">
        <x:v>S25WJH01-DRG-005</x:v>
      </x:c>
      <x:c r="E26" s="55" t="str">
        <x:v>Canal headworks construction detail</x:v>
      </x:c>
      <x:c r="F26" s="55" t="str">
        <x:v>S25WJH01-ACT-01</x:v>
      </x:c>
      <x:c r="G26" s="55" t="str">
        <x:v>Demo Design Consultant P2</x:v>
      </x:c>
      <x:c r="H26" s="56" t="n">
        <x:v>46283</x:v>
      </x:c>
      <x:c r="I26" s="56" t="n">
        <x:v>46270</x:v>
      </x:c>
      <x:c r="J26" s="56" t="n">
        <x:v>46271</x:v>
      </x:c>
      <x:c r="K26" s="55" t="str">
        <x:v>Approved</x:v>
      </x:c>
      <x:c r="L26" s="55" t="str">
        <x:v>Approved</x:v>
      </x:c>
      <x:c r="M26" s="56" t="n">
        <x:v>46281</x:v>
      </x:c>
      <x:c r="N26" s="56" t="n">
        <x:v>46281</x:v>
      </x:c>
      <x:c r="O26" s="56" t="n">
        <x:v>46281</x:v>
      </x:c>
      <x:c r="P26" s="55" t="str">
        <x:v>None; approved drawing released.</x:v>
      </x:c>
      <x:c r="Q26" s="55" t="str">
        <x:v>Canal headworks execution</x:v>
      </x:c>
      <x:c r="R26" s="55" t="str">
        <x:v>No further intervention.</x:v>
      </x:c>
      <x:c r="S26" s="55" t="str">
        <x:v>Demo Engineering Lead P2</x:v>
      </x:c>
      <x:c r="T26" s="55" t="str">
        <x:v>S25WJH01-DEC-01</x:v>
      </x:c>
      <x:c r="U26" s="56" t="n">
        <x:v>46285</x:v>
      </x:c>
      <x:c r="V26" s="55" t="str">
        <x:v>FICTIONAL TEST DATA. All people, quantities, money, dates and statuses are invented; not project records.</x:v>
      </x:c>
      <x:c r="X26" t="n">
        <x:f>IF(OR(A26="",D26=""),0,IF(COUNTIFS($A$17:A26,A26,$D$17:D26,D26)=1,1,0))</x:f>
        <x:v>1</x:v>
      </x:c>
      <x:c r="Y26" t="n">
        <x:f>IF(X26=0,0,IF(OR(ISNUMBER(J26),K26="Submitted",K26="Under review",K26="Comments received",K26="Resubmitted",K26="Approved"),1,0))</x:f>
        <x:v>1</x:v>
      </x:c>
      <x:c r="Z26" t="n">
        <x:f>IF(X26=0,0,IF(K26="Approved",1,0))</x:f>
        <x:v>1</x:v>
      </x:c>
      <x:c r="AA26" t="n">
        <x:f>IF(X26=0,0,1-Y26)</x:f>
        <x:v>0</x:v>
      </x:c>
    </x:row>
    <x:row r="27" ht="102" customHeight="1">
      <x:c r="A27" s="55" t="str">
        <x:v>S25WMP01</x:v>
      </x:c>
      <x:c r="B27" s="55" t="str">
        <x:v>P3-SITE-1</x:v>
      </x:c>
      <x:c r="C27" s="60" t="n">
        <x:v>46266</x:v>
      </x:c>
      <x:c r="D27" s="55" t="str">
        <x:v>S25WMP01-DRG-001</x:v>
      </x:c>
      <x:c r="E27" s="55" t="str">
        <x:v>Service reservoir general arrangement</x:v>
      </x:c>
      <x:c r="F27" s="55" t="str">
        <x:v>S25WMP01-ACT-01</x:v>
      </x:c>
      <x:c r="G27" s="55" t="str">
        <x:v>Demo Design Consultant P3</x:v>
      </x:c>
      <x:c r="H27" s="56" t="n">
        <x:v>46290</x:v>
      </x:c>
      <x:c r="I27" s="56" t="n">
        <x:v>46286</x:v>
      </x:c>
      <x:c r="J27" s="56" t="str">
        <x:v>Not yet occurred</x:v>
      </x:c>
      <x:c r="K27" s="55" t="str">
        <x:v>Not started</x:v>
      </x:c>
      <x:c r="L27" s="55" t="str">
        <x:v>Under preparation</x:v>
      </x:c>
      <x:c r="M27" s="56" t="n">
        <x:v>46286</x:v>
      </x:c>
      <x:c r="N27" s="56" t="n">
        <x:v>46289</x:v>
      </x:c>
      <x:c r="O27" s="56" t="str">
        <x:v>Not yet occurred</x:v>
      </x:c>
      <x:c r="P27" s="55" t="str">
        <x:v>Survey inputs to be issued.</x:v>
      </x:c>
      <x:c r="Q27" s="55" t="str">
        <x:v>Service reservoir execution</x:v>
      </x:c>
      <x:c r="R27" s="55" t="str">
        <x:v>Confirm design inputs and expedite reviewer response.</x:v>
      </x:c>
      <x:c r="S27" s="55" t="str">
        <x:v>Demo Engineering Lead P3</x:v>
      </x:c>
      <x:c r="T27" s="55" t="str">
        <x:v>S25WMP01-DEC-01</x:v>
      </x:c>
      <x:c r="U27" s="56" t="n">
        <x:v>46285</x:v>
      </x:c>
      <x:c r="V27" s="55" t="str">
        <x:v>FICTIONAL TEST DATA. All people, quantities, money, dates and statuses are invented; not project records.</x:v>
      </x:c>
      <x:c r="X27" t="n">
        <x:f>IF(OR(A27="",D27=""),0,IF(COUNTIFS($A$17:A27,A27,$D$17:D27,D27)=1,1,0))</x:f>
        <x:v>1</x:v>
      </x:c>
      <x:c r="Y27" t="n">
        <x:f>IF(X27=0,0,IF(OR(ISNUMBER(J27),K27="Submitted",K27="Under review",K27="Comments received",K27="Resubmitted",K27="Approved"),1,0))</x:f>
        <x:v>0</x:v>
      </x:c>
      <x:c r="Z27" t="n">
        <x:f>IF(X27=0,0,IF(K27="Approved",1,0))</x:f>
        <x:v>0</x:v>
      </x:c>
      <x:c r="AA27" t="n">
        <x:f>IF(X27=0,0,1-Y27)</x:f>
        <x:v>1</x:v>
      </x:c>
    </x:row>
    <x:row r="28" ht="102" customHeight="1">
      <x:c r="A28" s="55" t="str">
        <x:v>S25WMP01</x:v>
      </x:c>
      <x:c r="B28" s="55" t="str">
        <x:v>P3-SITE-2</x:v>
      </x:c>
      <x:c r="C28" s="60" t="n">
        <x:v>46266</x:v>
      </x:c>
      <x:c r="D28" s="55" t="str">
        <x:v>S25WMP01-DRG-002</x:v>
      </x:c>
      <x:c r="E28" s="55" t="str">
        <x:v>Distribution zone reinforcement detail</x:v>
      </x:c>
      <x:c r="F28" s="55" t="str">
        <x:v>S25WMP01-ACT-02</x:v>
      </x:c>
      <x:c r="G28" s="55" t="str">
        <x:v>Demo Design Consultant P3</x:v>
      </x:c>
      <x:c r="H28" s="56" t="n">
        <x:v>46291</x:v>
      </x:c>
      <x:c r="I28" s="56" t="n">
        <x:v>46287</x:v>
      </x:c>
      <x:c r="J28" s="56" t="str">
        <x:v>Not yet occurred</x:v>
      </x:c>
      <x:c r="K28" s="55" t="str">
        <x:v>Under preparation</x:v>
      </x:c>
      <x:c r="L28" s="55" t="str">
        <x:v>Submitted</x:v>
      </x:c>
      <x:c r="M28" s="56" t="n">
        <x:v>46287</x:v>
      </x:c>
      <x:c r="N28" s="56" t="n">
        <x:v>46290</x:v>
      </x:c>
      <x:c r="O28" s="56" t="str">
        <x:v>Not yet occurred</x:v>
      </x:c>
      <x:c r="P28" s="55" t="str">
        <x:v>Draft detailing in progress.</x:v>
      </x:c>
      <x:c r="Q28" s="55" t="str">
        <x:v>Distribution zone execution</x:v>
      </x:c>
      <x:c r="R28" s="55" t="str">
        <x:v>Confirm design inputs and expedite reviewer response.</x:v>
      </x:c>
      <x:c r="S28" s="55" t="str">
        <x:v>Demo Engineering Lead P3</x:v>
      </x:c>
      <x:c r="T28" s="55" t="str">
        <x:v>S25WMP01-DEC-02</x:v>
      </x:c>
      <x:c r="U28" s="56" t="n">
        <x:v>46285</x:v>
      </x:c>
      <x:c r="V28" s="55" t="str">
        <x:v>FICTIONAL TEST DATA. All people, quantities, money, dates and statuses are invented; not project records.</x:v>
      </x:c>
      <x:c r="X28" t="n">
        <x:f>IF(OR(A28="",D28=""),0,IF(COUNTIFS($A$17:A28,A28,$D$17:D28,D28)=1,1,0))</x:f>
        <x:v>1</x:v>
      </x:c>
      <x:c r="Y28" t="n">
        <x:f>IF(X28=0,0,IF(OR(ISNUMBER(J28),K28="Submitted",K28="Under review",K28="Comments received",K28="Resubmitted",K28="Approved"),1,0))</x:f>
        <x:v>0</x:v>
      </x:c>
      <x:c r="Z28" t="n">
        <x:f>IF(X28=0,0,IF(K28="Approved",1,0))</x:f>
        <x:v>0</x:v>
      </x:c>
      <x:c r="AA28" t="n">
        <x:f>IF(X28=0,0,1-Y28)</x:f>
        <x:v>1</x:v>
      </x:c>
    </x:row>
    <x:row r="29" ht="102" customHeight="1">
      <x:c r="A29" s="55" t="str">
        <x:v>S25WMP01</x:v>
      </x:c>
      <x:c r="B29" s="55" t="str">
        <x:v>P3-SITE-1</x:v>
      </x:c>
      <x:c r="C29" s="60" t="n">
        <x:v>46266</x:v>
      </x:c>
      <x:c r="D29" s="55" t="str">
        <x:v>S25WMP01-DRG-003</x:v>
      </x:c>
      <x:c r="E29" s="55" t="str">
        <x:v>Pump house foundation section</x:v>
      </x:c>
      <x:c r="F29" s="55" t="str">
        <x:v>S25WMP01-ACT-03</x:v>
      </x:c>
      <x:c r="G29" s="55" t="str">
        <x:v>Demo Design Consultant P3</x:v>
      </x:c>
      <x:c r="H29" s="56" t="n">
        <x:v>46292</x:v>
      </x:c>
      <x:c r="I29" s="56" t="n">
        <x:v>46277</x:v>
      </x:c>
      <x:c r="J29" s="56" t="n">
        <x:v>46277</x:v>
      </x:c>
      <x:c r="K29" s="55" t="str">
        <x:v>Submitted</x:v>
      </x:c>
      <x:c r="L29" s="55" t="str">
        <x:v>Under review</x:v>
      </x:c>
      <x:c r="M29" s="56" t="n">
        <x:v>46288</x:v>
      </x:c>
      <x:c r="N29" s="56" t="n">
        <x:v>46291</x:v>
      </x:c>
      <x:c r="O29" s="56" t="str">
        <x:v>Not yet occurred</x:v>
      </x:c>
      <x:c r="P29" s="55" t="str">
        <x:v>Review comments and approval pending.</x:v>
      </x:c>
      <x:c r="Q29" s="55" t="str">
        <x:v>Pump house execution</x:v>
      </x:c>
      <x:c r="R29" s="55" t="str">
        <x:v>Confirm design inputs and expedite reviewer response.</x:v>
      </x:c>
      <x:c r="S29" s="55" t="str">
        <x:v>Demo Engineering Lead P3</x:v>
      </x:c>
      <x:c r="T29" s="55" t="str">
        <x:v>S25WMP01-DEC-03</x:v>
      </x:c>
      <x:c r="U29" s="56" t="n">
        <x:v>46285</x:v>
      </x:c>
      <x:c r="V29" s="55" t="str">
        <x:v>FICTIONAL TEST DATA. All people, quantities, money, dates and statuses are invented; not project records.</x:v>
      </x:c>
      <x:c r="X29" t="n">
        <x:f>IF(OR(A29="",D29=""),0,IF(COUNTIFS($A$17:A29,A29,$D$17:D29,D29)=1,1,0))</x:f>
        <x:v>1</x:v>
      </x:c>
      <x:c r="Y29" t="n">
        <x:f>IF(X29=0,0,IF(OR(ISNUMBER(J29),K29="Submitted",K29="Under review",K29="Comments received",K29="Resubmitted",K29="Approved"),1,0))</x:f>
        <x:v>1</x:v>
      </x:c>
      <x:c r="Z29" t="n">
        <x:f>IF(X29=0,0,IF(K29="Approved",1,0))</x:f>
        <x:v>0</x:v>
      </x:c>
      <x:c r="AA29" t="n">
        <x:f>IF(X29=0,0,1-Y29)</x:f>
        <x:v>0</x:v>
      </x:c>
    </x:row>
    <x:row r="30" ht="102" customHeight="1">
      <x:c r="A30" s="55" t="str">
        <x:v>S25WMP01</x:v>
      </x:c>
      <x:c r="B30" s="55" t="str">
        <x:v>P3-SITE-2</x:v>
      </x:c>
      <x:c r="C30" s="60" t="n">
        <x:v>46266</x:v>
      </x:c>
      <x:c r="D30" s="55" t="str">
        <x:v>S25WMP01-DRG-004</x:v>
      </x:c>
      <x:c r="E30" s="55" t="str">
        <x:v>Water treatment plant equipment layout</x:v>
      </x:c>
      <x:c r="F30" s="55" t="str">
        <x:v>S25WMP01-ACT-04</x:v>
      </x:c>
      <x:c r="G30" s="55" t="str">
        <x:v>Demo Design Consultant P3</x:v>
      </x:c>
      <x:c r="H30" s="56" t="n">
        <x:v>46293</x:v>
      </x:c>
      <x:c r="I30" s="56" t="n">
        <x:v>46278</x:v>
      </x:c>
      <x:c r="J30" s="56" t="n">
        <x:v>46279</x:v>
      </x:c>
      <x:c r="K30" s="55" t="str">
        <x:v>Under review</x:v>
      </x:c>
      <x:c r="L30" s="55" t="str">
        <x:v>Approved</x:v>
      </x:c>
      <x:c r="M30" s="56" t="n">
        <x:v>46290</x:v>
      </x:c>
      <x:c r="N30" s="56" t="n">
        <x:v>46290</x:v>
      </x:c>
      <x:c r="O30" s="56" t="str">
        <x:v>Not yet occurred</x:v>
      </x:c>
      <x:c r="P30" s="55" t="str">
        <x:v>Review comments and approval pending.</x:v>
      </x:c>
      <x:c r="Q30" s="55" t="str">
        <x:v>Water treatment plant execution</x:v>
      </x:c>
      <x:c r="R30" s="55" t="str">
        <x:v>Confirm design inputs and expedite reviewer response.</x:v>
      </x:c>
      <x:c r="S30" s="55" t="str">
        <x:v>Demo Engineering Lead P3</x:v>
      </x:c>
      <x:c r="T30" s="55" t="str">
        <x:v>S25WMP01-DEC-04</x:v>
      </x:c>
      <x:c r="U30" s="56" t="n">
        <x:v>46285</x:v>
      </x:c>
      <x:c r="V30" s="55" t="str">
        <x:v>FICTIONAL TEST DATA. All people, quantities, money, dates and statuses are invented; not project records.</x:v>
      </x:c>
      <x:c r="X30" t="n">
        <x:f>IF(OR(A30="",D30=""),0,IF(COUNTIFS($A$17:A30,A30,$D$17:D30,D30)=1,1,0))</x:f>
        <x:v>1</x:v>
      </x:c>
      <x:c r="Y30" t="n">
        <x:f>IF(X30=0,0,IF(OR(ISNUMBER(J30),K30="Submitted",K30="Under review",K30="Comments received",K30="Resubmitted",K30="Approved"),1,0))</x:f>
        <x:v>1</x:v>
      </x:c>
      <x:c r="Z30" t="n">
        <x:f>IF(X30=0,0,IF(K30="Approved",1,0))</x:f>
        <x:v>0</x:v>
      </x:c>
      <x:c r="AA30" t="n">
        <x:f>IF(X30=0,0,1-Y30)</x:f>
        <x:v>0</x:v>
      </x:c>
    </x:row>
    <x:row r="31" ht="102" customHeight="1">
      <x:c r="A31" s="55" t="str">
        <x:v>S25WMP01</x:v>
      </x:c>
      <x:c r="B31" s="55" t="str">
        <x:v>P3-SITE-1</x:v>
      </x:c>
      <x:c r="C31" s="60" t="n">
        <x:v>46266</x:v>
      </x:c>
      <x:c r="D31" s="55" t="str">
        <x:v>S25WMP01-DRG-005</x:v>
      </x:c>
      <x:c r="E31" s="55" t="str">
        <x:v>Service reservoir construction detail</x:v>
      </x:c>
      <x:c r="F31" s="55" t="str">
        <x:v>S25WMP01-ACT-01</x:v>
      </x:c>
      <x:c r="G31" s="55" t="str">
        <x:v>Demo Design Consultant P3</x:v>
      </x:c>
      <x:c r="H31" s="56" t="n">
        <x:v>46283</x:v>
      </x:c>
      <x:c r="I31" s="56" t="n">
        <x:v>46270</x:v>
      </x:c>
      <x:c r="J31" s="56" t="n">
        <x:v>46271</x:v>
      </x:c>
      <x:c r="K31" s="55" t="str">
        <x:v>Approved</x:v>
      </x:c>
      <x:c r="L31" s="55" t="str">
        <x:v>Approved</x:v>
      </x:c>
      <x:c r="M31" s="56" t="n">
        <x:v>46281</x:v>
      </x:c>
      <x:c r="N31" s="56" t="n">
        <x:v>46281</x:v>
      </x:c>
      <x:c r="O31" s="56" t="n">
        <x:v>46281</x:v>
      </x:c>
      <x:c r="P31" s="55" t="str">
        <x:v>None; approved drawing released.</x:v>
      </x:c>
      <x:c r="Q31" s="55" t="str">
        <x:v>Service reservoir execution</x:v>
      </x:c>
      <x:c r="R31" s="55" t="str">
        <x:v>No further intervention.</x:v>
      </x:c>
      <x:c r="S31" s="55" t="str">
        <x:v>Demo Engineering Lead P3</x:v>
      </x:c>
      <x:c r="T31" s="55" t="str">
        <x:v>S25WMP01-DEC-01</x:v>
      </x:c>
      <x:c r="U31" s="56" t="n">
        <x:v>46285</x:v>
      </x:c>
      <x:c r="V31" s="55" t="str">
        <x:v>FICTIONAL TEST DATA. All people, quantities, money, dates and statuses are invented; not project records.</x:v>
      </x:c>
      <x:c r="X31" t="n">
        <x:f>IF(OR(A31="",D31=""),0,IF(COUNTIFS($A$17:A31,A31,$D$17:D31,D31)=1,1,0))</x:f>
        <x:v>1</x:v>
      </x:c>
      <x:c r="Y31" t="n">
        <x:f>IF(X31=0,0,IF(OR(ISNUMBER(J31),K31="Submitted",K31="Under review",K31="Comments received",K31="Resubmitted",K31="Approved"),1,0))</x:f>
        <x:v>1</x:v>
      </x:c>
      <x:c r="Z31" t="n">
        <x:f>IF(X31=0,0,IF(K31="Approved",1,0))</x:f>
        <x:v>1</x:v>
      </x:c>
      <x:c r="AA31" t="n">
        <x:f>IF(X31=0,0,1-Y31)</x:f>
        <x:v>0</x:v>
      </x:c>
    </x:row>
    <x:row r="32" ht="102" customHeight="1">
      <x:c r="A32" s="55" t="str">
        <x:v>S26BBI01</x:v>
      </x:c>
      <x:c r="B32" s="55" t="str">
        <x:v>P4-SITE-1</x:v>
      </x:c>
      <x:c r="C32" s="60" t="n">
        <x:v>46266</x:v>
      </x:c>
      <x:c r="D32" s="55" t="str">
        <x:v>S26BBI01-DRG-001</x:v>
      </x:c>
      <x:c r="E32" s="55" t="str">
        <x:v>Cooling water structure general arrangement</x:v>
      </x:c>
      <x:c r="F32" s="55" t="str">
        <x:v>S26BBI01-ACT-01</x:v>
      </x:c>
      <x:c r="G32" s="55" t="str">
        <x:v>Demo Design Consultant P4</x:v>
      </x:c>
      <x:c r="H32" s="56" t="n">
        <x:v>46290</x:v>
      </x:c>
      <x:c r="I32" s="56" t="n">
        <x:v>46286</x:v>
      </x:c>
      <x:c r="J32" s="56" t="str">
        <x:v>Not yet occurred</x:v>
      </x:c>
      <x:c r="K32" s="55" t="str">
        <x:v>Not started</x:v>
      </x:c>
      <x:c r="L32" s="55" t="str">
        <x:v>Under preparation</x:v>
      </x:c>
      <x:c r="M32" s="56" t="n">
        <x:v>46286</x:v>
      </x:c>
      <x:c r="N32" s="56" t="n">
        <x:v>46289</x:v>
      </x:c>
      <x:c r="O32" s="56" t="str">
        <x:v>Not yet occurred</x:v>
      </x:c>
      <x:c r="P32" s="55" t="str">
        <x:v>Survey inputs to be issued.</x:v>
      </x:c>
      <x:c r="Q32" s="55" t="str">
        <x:v>Cooling water structure execution</x:v>
      </x:c>
      <x:c r="R32" s="55" t="str">
        <x:v>Confirm design inputs and expedite reviewer response.</x:v>
      </x:c>
      <x:c r="S32" s="55" t="str">
        <x:v>Demo Engineering Lead P4</x:v>
      </x:c>
      <x:c r="T32" s="55" t="str">
        <x:v>S26BBI01-DEC-01</x:v>
      </x:c>
      <x:c r="U32" s="56" t="n">
        <x:v>46285</x:v>
      </x:c>
      <x:c r="V32" s="55" t="str">
        <x:v>FICTIONAL TEST DATA. All people, quantities, money, dates and statuses are invented; not project records.</x:v>
      </x:c>
      <x:c r="X32" t="n">
        <x:f>IF(OR(A32="",D32=""),0,IF(COUNTIFS($A$17:A32,A32,$D$17:D32,D32)=1,1,0))</x:f>
        <x:v>1</x:v>
      </x:c>
      <x:c r="Y32" t="n">
        <x:f>IF(X32=0,0,IF(OR(ISNUMBER(J32),K32="Submitted",K32="Under review",K32="Comments received",K32="Resubmitted",K32="Approved"),1,0))</x:f>
        <x:v>0</x:v>
      </x:c>
      <x:c r="Z32" t="n">
        <x:f>IF(X32=0,0,IF(K32="Approved",1,0))</x:f>
        <x:v>0</x:v>
      </x:c>
      <x:c r="AA32" t="n">
        <x:f>IF(X32=0,0,1-Y32)</x:f>
        <x:v>1</x:v>
      </x:c>
    </x:row>
    <x:row r="33" ht="102" customHeight="1">
      <x:c r="A33" s="55" t="str">
        <x:v>S26BBI01</x:v>
      </x:c>
      <x:c r="B33" s="55" t="str">
        <x:v>P4-SITE-2</x:v>
      </x:c>
      <x:c r="C33" s="60" t="n">
        <x:v>46266</x:v>
      </x:c>
      <x:c r="D33" s="55" t="str">
        <x:v>S26BBI01-DRG-002</x:v>
      </x:c>
      <x:c r="E33" s="55" t="str">
        <x:v>Utility corridor reinforcement detail</x:v>
      </x:c>
      <x:c r="F33" s="55" t="str">
        <x:v>S26BBI01-ACT-02</x:v>
      </x:c>
      <x:c r="G33" s="55" t="str">
        <x:v>Demo Design Consultant P4</x:v>
      </x:c>
      <x:c r="H33" s="56" t="n">
        <x:v>46291</x:v>
      </x:c>
      <x:c r="I33" s="56" t="n">
        <x:v>46287</x:v>
      </x:c>
      <x:c r="J33" s="56" t="str">
        <x:v>Not yet occurred</x:v>
      </x:c>
      <x:c r="K33" s="55" t="str">
        <x:v>Under preparation</x:v>
      </x:c>
      <x:c r="L33" s="55" t="str">
        <x:v>Submitted</x:v>
      </x:c>
      <x:c r="M33" s="56" t="n">
        <x:v>46287</x:v>
      </x:c>
      <x:c r="N33" s="56" t="n">
        <x:v>46290</x:v>
      </x:c>
      <x:c r="O33" s="56" t="str">
        <x:v>Not yet occurred</x:v>
      </x:c>
      <x:c r="P33" s="55" t="str">
        <x:v>Draft detailing in progress.</x:v>
      </x:c>
      <x:c r="Q33" s="55" t="str">
        <x:v>Utility corridor execution</x:v>
      </x:c>
      <x:c r="R33" s="55" t="str">
        <x:v>Confirm design inputs and expedite reviewer response.</x:v>
      </x:c>
      <x:c r="S33" s="55" t="str">
        <x:v>Demo Engineering Lead P4</x:v>
      </x:c>
      <x:c r="T33" s="55" t="str">
        <x:v>S26BBI01-DEC-02</x:v>
      </x:c>
      <x:c r="U33" s="56" t="n">
        <x:v>46285</x:v>
      </x:c>
      <x:c r="V33" s="55" t="str">
        <x:v>FICTIONAL TEST DATA. All people, quantities, money, dates and statuses are invented; not project records.</x:v>
      </x:c>
      <x:c r="X33" t="n">
        <x:f>IF(OR(A33="",D33=""),0,IF(COUNTIFS($A$17:A33,A33,$D$17:D33,D33)=1,1,0))</x:f>
        <x:v>1</x:v>
      </x:c>
      <x:c r="Y33" t="n">
        <x:f>IF(X33=0,0,IF(OR(ISNUMBER(J33),K33="Submitted",K33="Under review",K33="Comments received",K33="Resubmitted",K33="Approved"),1,0))</x:f>
        <x:v>0</x:v>
      </x:c>
      <x:c r="Z33" t="n">
        <x:f>IF(X33=0,0,IF(K33="Approved",1,0))</x:f>
        <x:v>0</x:v>
      </x:c>
      <x:c r="AA33" t="n">
        <x:f>IF(X33=0,0,1-Y33)</x:f>
        <x:v>1</x:v>
      </x:c>
    </x:row>
    <x:row r="34" ht="102" customHeight="1">
      <x:c r="A34" s="55" t="str">
        <x:v>S26BBI01</x:v>
      </x:c>
      <x:c r="B34" s="55" t="str">
        <x:v>P4-SITE-1</x:v>
      </x:c>
      <x:c r="C34" s="60" t="n">
        <x:v>46266</x:v>
      </x:c>
      <x:c r="D34" s="55" t="str">
        <x:v>S26BBI01-DRG-003</x:v>
      </x:c>
      <x:c r="E34" s="55" t="str">
        <x:v>Pump foundation foundation section</x:v>
      </x:c>
      <x:c r="F34" s="55" t="str">
        <x:v>S26BBI01-ACT-03</x:v>
      </x:c>
      <x:c r="G34" s="55" t="str">
        <x:v>Demo Design Consultant P4</x:v>
      </x:c>
      <x:c r="H34" s="56" t="n">
        <x:v>46292</x:v>
      </x:c>
      <x:c r="I34" s="56" t="n">
        <x:v>46277</x:v>
      </x:c>
      <x:c r="J34" s="56" t="n">
        <x:v>46277</x:v>
      </x:c>
      <x:c r="K34" s="55" t="str">
        <x:v>Submitted</x:v>
      </x:c>
      <x:c r="L34" s="55" t="str">
        <x:v>Under review</x:v>
      </x:c>
      <x:c r="M34" s="56" t="n">
        <x:v>46288</x:v>
      </x:c>
      <x:c r="N34" s="56" t="n">
        <x:v>46291</x:v>
      </x:c>
      <x:c r="O34" s="56" t="str">
        <x:v>Not yet occurred</x:v>
      </x:c>
      <x:c r="P34" s="55" t="str">
        <x:v>Review comments and approval pending.</x:v>
      </x:c>
      <x:c r="Q34" s="55" t="str">
        <x:v>Pump foundation execution</x:v>
      </x:c>
      <x:c r="R34" s="55" t="str">
        <x:v>Confirm design inputs and expedite reviewer response.</x:v>
      </x:c>
      <x:c r="S34" s="55" t="str">
        <x:v>Demo Engineering Lead P4</x:v>
      </x:c>
      <x:c r="T34" s="55" t="str">
        <x:v>S26BBI01-DEC-03</x:v>
      </x:c>
      <x:c r="U34" s="56" t="n">
        <x:v>46285</x:v>
      </x:c>
      <x:c r="V34" s="55" t="str">
        <x:v>FICTIONAL TEST DATA. All people, quantities, money, dates and statuses are invented; not project records.</x:v>
      </x:c>
      <x:c r="X34" t="n">
        <x:f>IF(OR(A34="",D34=""),0,IF(COUNTIFS($A$17:A34,A34,$D$17:D34,D34)=1,1,0))</x:f>
        <x:v>1</x:v>
      </x:c>
      <x:c r="Y34" t="n">
        <x:f>IF(X34=0,0,IF(OR(ISNUMBER(J34),K34="Submitted",K34="Under review",K34="Comments received",K34="Resubmitted",K34="Approved"),1,0))</x:f>
        <x:v>1</x:v>
      </x:c>
      <x:c r="Z34" t="n">
        <x:f>IF(X34=0,0,IF(K34="Approved",1,0))</x:f>
        <x:v>0</x:v>
      </x:c>
      <x:c r="AA34" t="n">
        <x:f>IF(X34=0,0,1-Y34)</x:f>
        <x:v>0</x:v>
      </x:c>
    </x:row>
    <x:row r="35" ht="102" customHeight="1">
      <x:c r="A35" s="55" t="str">
        <x:v>S26BBI01</x:v>
      </x:c>
      <x:c r="B35" s="55" t="str">
        <x:v>P4-SITE-2</x:v>
      </x:c>
      <x:c r="C35" s="60" t="n">
        <x:v>46266</x:v>
      </x:c>
      <x:c r="D35" s="55" t="str">
        <x:v>S26BBI01-DRG-004</x:v>
      </x:c>
      <x:c r="E35" s="55" t="str">
        <x:v>Service building equipment layout</x:v>
      </x:c>
      <x:c r="F35" s="55" t="str">
        <x:v>S26BBI01-ACT-04</x:v>
      </x:c>
      <x:c r="G35" s="55" t="str">
        <x:v>Demo Design Consultant P4</x:v>
      </x:c>
      <x:c r="H35" s="56" t="n">
        <x:v>46293</x:v>
      </x:c>
      <x:c r="I35" s="56" t="n">
        <x:v>46278</x:v>
      </x:c>
      <x:c r="J35" s="56" t="n">
        <x:v>46279</x:v>
      </x:c>
      <x:c r="K35" s="55" t="str">
        <x:v>Under review</x:v>
      </x:c>
      <x:c r="L35" s="55" t="str">
        <x:v>Approved</x:v>
      </x:c>
      <x:c r="M35" s="56" t="n">
        <x:v>46290</x:v>
      </x:c>
      <x:c r="N35" s="56" t="n">
        <x:v>46290</x:v>
      </x:c>
      <x:c r="O35" s="56" t="str">
        <x:v>Not yet occurred</x:v>
      </x:c>
      <x:c r="P35" s="55" t="str">
        <x:v>Review comments and approval pending.</x:v>
      </x:c>
      <x:c r="Q35" s="55" t="str">
        <x:v>Service building execution</x:v>
      </x:c>
      <x:c r="R35" s="55" t="str">
        <x:v>Confirm design inputs and expedite reviewer response.</x:v>
      </x:c>
      <x:c r="S35" s="55" t="str">
        <x:v>Demo Engineering Lead P4</x:v>
      </x:c>
      <x:c r="T35" s="55" t="str">
        <x:v>S26BBI01-DEC-04</x:v>
      </x:c>
      <x:c r="U35" s="56" t="n">
        <x:v>46285</x:v>
      </x:c>
      <x:c r="V35" s="55" t="str">
        <x:v>FICTIONAL TEST DATA. All people, quantities, money, dates and statuses are invented; not project records.</x:v>
      </x:c>
      <x:c r="X35" t="n">
        <x:f>IF(OR(A35="",D35=""),0,IF(COUNTIFS($A$17:A35,A35,$D$17:D35,D35)=1,1,0))</x:f>
        <x:v>1</x:v>
      </x:c>
      <x:c r="Y35" t="n">
        <x:f>IF(X35=0,0,IF(OR(ISNUMBER(J35),K35="Submitted",K35="Under review",K35="Comments received",K35="Resubmitted",K35="Approved"),1,0))</x:f>
        <x:v>1</x:v>
      </x:c>
      <x:c r="Z35" t="n">
        <x:f>IF(X35=0,0,IF(K35="Approved",1,0))</x:f>
        <x:v>0</x:v>
      </x:c>
      <x:c r="AA35" t="n">
        <x:f>IF(X35=0,0,1-Y35)</x:f>
        <x:v>0</x:v>
      </x:c>
    </x:row>
    <x:row r="36" ht="102" customHeight="1">
      <x:c r="A36" s="55" t="str">
        <x:v>S26BBI01</x:v>
      </x:c>
      <x:c r="B36" s="55" t="str">
        <x:v>P4-SITE-1</x:v>
      </x:c>
      <x:c r="C36" s="60" t="n">
        <x:v>46266</x:v>
      </x:c>
      <x:c r="D36" s="55" t="str">
        <x:v>S26BBI01-DRG-005</x:v>
      </x:c>
      <x:c r="E36" s="55" t="str">
        <x:v>Cooling water structure construction detail</x:v>
      </x:c>
      <x:c r="F36" s="55" t="str">
        <x:v>S26BBI01-ACT-01</x:v>
      </x:c>
      <x:c r="G36" s="55" t="str">
        <x:v>Demo Design Consultant P4</x:v>
      </x:c>
      <x:c r="H36" s="56" t="n">
        <x:v>46283</x:v>
      </x:c>
      <x:c r="I36" s="56" t="n">
        <x:v>46270</x:v>
      </x:c>
      <x:c r="J36" s="56" t="n">
        <x:v>46271</x:v>
      </x:c>
      <x:c r="K36" s="55" t="str">
        <x:v>Approved</x:v>
      </x:c>
      <x:c r="L36" s="55" t="str">
        <x:v>Approved</x:v>
      </x:c>
      <x:c r="M36" s="56" t="n">
        <x:v>46281</x:v>
      </x:c>
      <x:c r="N36" s="56" t="n">
        <x:v>46281</x:v>
      </x:c>
      <x:c r="O36" s="56" t="n">
        <x:v>46281</x:v>
      </x:c>
      <x:c r="P36" s="55" t="str">
        <x:v>None; approved drawing released.</x:v>
      </x:c>
      <x:c r="Q36" s="55" t="str">
        <x:v>Cooling water structure execution</x:v>
      </x:c>
      <x:c r="R36" s="55" t="str">
        <x:v>No further intervention.</x:v>
      </x:c>
      <x:c r="S36" s="55" t="str">
        <x:v>Demo Engineering Lead P4</x:v>
      </x:c>
      <x:c r="T36" s="55" t="str">
        <x:v>S26BBI01-DEC-01</x:v>
      </x:c>
      <x:c r="U36" s="56" t="n">
        <x:v>46285</x:v>
      </x:c>
      <x:c r="V36" s="55" t="str">
        <x:v>FICTIONAL TEST DATA. All people, quantities, money, dates and statuses are invented; not project records.</x:v>
      </x:c>
      <x:c r="X36" t="n">
        <x:f>IF(OR(A36="",D36=""),0,IF(COUNTIFS($A$17:A36,A36,$D$17:D36,D36)=1,1,0))</x:f>
        <x:v>1</x:v>
      </x:c>
      <x:c r="Y36" t="n">
        <x:f>IF(X36=0,0,IF(OR(ISNUMBER(J36),K36="Submitted",K36="Under review",K36="Comments received",K36="Resubmitted",K36="Approved"),1,0))</x:f>
        <x:v>1</x:v>
      </x:c>
      <x:c r="Z36" t="n">
        <x:f>IF(X36=0,0,IF(K36="Approved",1,0))</x:f>
        <x:v>1</x:v>
      </x:c>
      <x:c r="AA36" t="n">
        <x:f>IF(X36=0,0,1-Y36)</x:f>
        <x:v>0</x:v>
      </x:c>
    </x:row>
    <x:row r="37" ht="102" customHeight="1">
      <x:c r="A37" s="55" t="str">
        <x:v>S26PRJ01</x:v>
      </x:c>
      <x:c r="B37" s="55" t="str">
        <x:v>P5-SITE-1</x:v>
      </x:c>
      <x:c r="C37" s="60" t="n">
        <x:v>46266</x:v>
      </x:c>
      <x:c r="D37" s="55" t="str">
        <x:v>S26PRJ01-DRG-001</x:v>
      </x:c>
      <x:c r="E37" s="55" t="str">
        <x:v>Transformer foundation general arrangement</x:v>
      </x:c>
      <x:c r="F37" s="55" t="str">
        <x:v>S26PRJ01-ACT-01</x:v>
      </x:c>
      <x:c r="G37" s="55" t="str">
        <x:v>Demo Design Consultant P5</x:v>
      </x:c>
      <x:c r="H37" s="56" t="n">
        <x:v>46290</x:v>
      </x:c>
      <x:c r="I37" s="56" t="n">
        <x:v>46286</x:v>
      </x:c>
      <x:c r="J37" s="56" t="str">
        <x:v>Not yet occurred</x:v>
      </x:c>
      <x:c r="K37" s="55" t="str">
        <x:v>Not started</x:v>
      </x:c>
      <x:c r="L37" s="55" t="str">
        <x:v>Under preparation</x:v>
      </x:c>
      <x:c r="M37" s="56" t="n">
        <x:v>46286</x:v>
      </x:c>
      <x:c r="N37" s="56" t="n">
        <x:v>46289</x:v>
      </x:c>
      <x:c r="O37" s="56" t="str">
        <x:v>Not yet occurred</x:v>
      </x:c>
      <x:c r="P37" s="55" t="str">
        <x:v>Survey inputs to be issued.</x:v>
      </x:c>
      <x:c r="Q37" s="55" t="str">
        <x:v>Transformer foundation execution</x:v>
      </x:c>
      <x:c r="R37" s="55" t="str">
        <x:v>Confirm design inputs and expedite reviewer response.</x:v>
      </x:c>
      <x:c r="S37" s="55" t="str">
        <x:v>Demo Engineering Lead P5</x:v>
      </x:c>
      <x:c r="T37" s="55" t="str">
        <x:v>S26PRJ01-DEC-01</x:v>
      </x:c>
      <x:c r="U37" s="56" t="n">
        <x:v>46285</x:v>
      </x:c>
      <x:c r="V37" s="55" t="str">
        <x:v>FICTIONAL TEST DATA. All people, quantities, money, dates and statuses are invented; not project records.</x:v>
      </x:c>
      <x:c r="X37" t="n">
        <x:f>IF(OR(A37="",D37=""),0,IF(COUNTIFS($A$17:A37,A37,$D$17:D37,D37)=1,1,0))</x:f>
        <x:v>1</x:v>
      </x:c>
      <x:c r="Y37" t="n">
        <x:f>IF(X37=0,0,IF(OR(ISNUMBER(J37),K37="Submitted",K37="Under review",K37="Comments received",K37="Resubmitted",K37="Approved"),1,0))</x:f>
        <x:v>0</x:v>
      </x:c>
      <x:c r="Z37" t="n">
        <x:f>IF(X37=0,0,IF(K37="Approved",1,0))</x:f>
        <x:v>0</x:v>
      </x:c>
      <x:c r="AA37" t="n">
        <x:f>IF(X37=0,0,1-Y37)</x:f>
        <x:v>1</x:v>
      </x:c>
    </x:row>
    <x:row r="38" ht="102" customHeight="1">
      <x:c r="A38" s="55" t="str">
        <x:v>S26PRJ01</x:v>
      </x:c>
      <x:c r="B38" s="55" t="str">
        <x:v>P5-SITE-2</x:v>
      </x:c>
      <x:c r="C38" s="60" t="n">
        <x:v>46266</x:v>
      </x:c>
      <x:c r="D38" s="55" t="str">
        <x:v>S26PRJ01-DRG-002</x:v>
      </x:c>
      <x:c r="E38" s="55" t="str">
        <x:v>Cable trench reinforcement detail</x:v>
      </x:c>
      <x:c r="F38" s="55" t="str">
        <x:v>S26PRJ01-ACT-02</x:v>
      </x:c>
      <x:c r="G38" s="55" t="str">
        <x:v>Demo Design Consultant P5</x:v>
      </x:c>
      <x:c r="H38" s="56" t="n">
        <x:v>46291</x:v>
      </x:c>
      <x:c r="I38" s="56" t="n">
        <x:v>46287</x:v>
      </x:c>
      <x:c r="J38" s="56" t="str">
        <x:v>Not yet occurred</x:v>
      </x:c>
      <x:c r="K38" s="55" t="str">
        <x:v>Under preparation</x:v>
      </x:c>
      <x:c r="L38" s="55" t="str">
        <x:v>Submitted</x:v>
      </x:c>
      <x:c r="M38" s="56" t="n">
        <x:v>46287</x:v>
      </x:c>
      <x:c r="N38" s="56" t="n">
        <x:v>46290</x:v>
      </x:c>
      <x:c r="O38" s="56" t="str">
        <x:v>Not yet occurred</x:v>
      </x:c>
      <x:c r="P38" s="55" t="str">
        <x:v>Draft detailing in progress.</x:v>
      </x:c>
      <x:c r="Q38" s="55" t="str">
        <x:v>Cable trench execution</x:v>
      </x:c>
      <x:c r="R38" s="55" t="str">
        <x:v>Confirm design inputs and expedite reviewer response.</x:v>
      </x:c>
      <x:c r="S38" s="55" t="str">
        <x:v>Demo Engineering Lead P5</x:v>
      </x:c>
      <x:c r="T38" s="55" t="str">
        <x:v>S26PRJ01-DEC-02</x:v>
      </x:c>
      <x:c r="U38" s="56" t="n">
        <x:v>46285</x:v>
      </x:c>
      <x:c r="V38" s="55" t="str">
        <x:v>FICTIONAL TEST DATA. All people, quantities, money, dates and statuses are invented; not project records.</x:v>
      </x:c>
      <x:c r="X38" t="n">
        <x:f>IF(OR(A38="",D38=""),0,IF(COUNTIFS($A$17:A38,A38,$D$17:D38,D38)=1,1,0))</x:f>
        <x:v>1</x:v>
      </x:c>
      <x:c r="Y38" t="n">
        <x:f>IF(X38=0,0,IF(OR(ISNUMBER(J38),K38="Submitted",K38="Under review",K38="Comments received",K38="Resubmitted",K38="Approved"),1,0))</x:f>
        <x:v>0</x:v>
      </x:c>
      <x:c r="Z38" t="n">
        <x:f>IF(X38=0,0,IF(K38="Approved",1,0))</x:f>
        <x:v>0</x:v>
      </x:c>
      <x:c r="AA38" t="n">
        <x:f>IF(X38=0,0,1-Y38)</x:f>
        <x:v>1</x:v>
      </x:c>
    </x:row>
    <x:row r="39" ht="102" customHeight="1">
      <x:c r="A39" s="55" t="str">
        <x:v>S26PRJ01</x:v>
      </x:c>
      <x:c r="B39" s="55" t="str">
        <x:v>P5-SITE-1</x:v>
      </x:c>
      <x:c r="C39" s="60" t="n">
        <x:v>46266</x:v>
      </x:c>
      <x:c r="D39" s="55" t="str">
        <x:v>S26PRJ01-DRG-003</x:v>
      </x:c>
      <x:c r="E39" s="55" t="str">
        <x:v>Control room foundation section</x:v>
      </x:c>
      <x:c r="F39" s="55" t="str">
        <x:v>S26PRJ01-ACT-03</x:v>
      </x:c>
      <x:c r="G39" s="55" t="str">
        <x:v>Demo Design Consultant P5</x:v>
      </x:c>
      <x:c r="H39" s="56" t="n">
        <x:v>46292</x:v>
      </x:c>
      <x:c r="I39" s="56" t="n">
        <x:v>46277</x:v>
      </x:c>
      <x:c r="J39" s="56" t="n">
        <x:v>46277</x:v>
      </x:c>
      <x:c r="K39" s="55" t="str">
        <x:v>Submitted</x:v>
      </x:c>
      <x:c r="L39" s="55" t="str">
        <x:v>Under review</x:v>
      </x:c>
      <x:c r="M39" s="56" t="n">
        <x:v>46288</x:v>
      </x:c>
      <x:c r="N39" s="56" t="n">
        <x:v>46291</x:v>
      </x:c>
      <x:c r="O39" s="56" t="str">
        <x:v>Not yet occurred</x:v>
      </x:c>
      <x:c r="P39" s="55" t="str">
        <x:v>Review comments and approval pending.</x:v>
      </x:c>
      <x:c r="Q39" s="55" t="str">
        <x:v>Control room execution</x:v>
      </x:c>
      <x:c r="R39" s="55" t="str">
        <x:v>Confirm design inputs and expedite reviewer response.</x:v>
      </x:c>
      <x:c r="S39" s="55" t="str">
        <x:v>Demo Engineering Lead P5</x:v>
      </x:c>
      <x:c r="T39" s="55" t="str">
        <x:v>S26PRJ01-DEC-03</x:v>
      </x:c>
      <x:c r="U39" s="56" t="n">
        <x:v>46285</x:v>
      </x:c>
      <x:c r="V39" s="55" t="str">
        <x:v>FICTIONAL TEST DATA. All people, quantities, money, dates and statuses are invented; not project records.</x:v>
      </x:c>
      <x:c r="X39" t="n">
        <x:f>IF(OR(A39="",D39=""),0,IF(COUNTIFS($A$17:A39,A39,$D$17:D39,D39)=1,1,0))</x:f>
        <x:v>1</x:v>
      </x:c>
      <x:c r="Y39" t="n">
        <x:f>IF(X39=0,0,IF(OR(ISNUMBER(J39),K39="Submitted",K39="Under review",K39="Comments received",K39="Resubmitted",K39="Approved"),1,0))</x:f>
        <x:v>1</x:v>
      </x:c>
      <x:c r="Z39" t="n">
        <x:f>IF(X39=0,0,IF(K39="Approved",1,0))</x:f>
        <x:v>0</x:v>
      </x:c>
      <x:c r="AA39" t="n">
        <x:f>IF(X39=0,0,1-Y39)</x:f>
        <x:v>0</x:v>
      </x:c>
    </x:row>
    <x:row r="40" ht="102" customHeight="1">
      <x:c r="A40" s="55" t="str">
        <x:v>S26PRJ01</x:v>
      </x:c>
      <x:c r="B40" s="55" t="str">
        <x:v>P5-SITE-2</x:v>
      </x:c>
      <x:c r="C40" s="60" t="n">
        <x:v>46266</x:v>
      </x:c>
      <x:c r="D40" s="55" t="str">
        <x:v>S26PRJ01-DRG-004</x:v>
      </x:c>
      <x:c r="E40" s="55" t="str">
        <x:v>Switchyard road equipment layout</x:v>
      </x:c>
      <x:c r="F40" s="55" t="str">
        <x:v>S26PRJ01-ACT-04</x:v>
      </x:c>
      <x:c r="G40" s="55" t="str">
        <x:v>Demo Design Consultant P5</x:v>
      </x:c>
      <x:c r="H40" s="56" t="n">
        <x:v>46293</x:v>
      </x:c>
      <x:c r="I40" s="56" t="n">
        <x:v>46278</x:v>
      </x:c>
      <x:c r="J40" s="56" t="n">
        <x:v>46279</x:v>
      </x:c>
      <x:c r="K40" s="55" t="str">
        <x:v>Under review</x:v>
      </x:c>
      <x:c r="L40" s="55" t="str">
        <x:v>Approved</x:v>
      </x:c>
      <x:c r="M40" s="56" t="n">
        <x:v>46290</x:v>
      </x:c>
      <x:c r="N40" s="56" t="n">
        <x:v>46290</x:v>
      </x:c>
      <x:c r="O40" s="56" t="str">
        <x:v>Not yet occurred</x:v>
      </x:c>
      <x:c r="P40" s="55" t="str">
        <x:v>Review comments and approval pending.</x:v>
      </x:c>
      <x:c r="Q40" s="55" t="str">
        <x:v>Switchyard road execution</x:v>
      </x:c>
      <x:c r="R40" s="55" t="str">
        <x:v>Confirm design inputs and expedite reviewer response.</x:v>
      </x:c>
      <x:c r="S40" s="55" t="str">
        <x:v>Demo Engineering Lead P5</x:v>
      </x:c>
      <x:c r="T40" s="55" t="str">
        <x:v>S26PRJ01-DEC-04</x:v>
      </x:c>
      <x:c r="U40" s="56" t="n">
        <x:v>46285</x:v>
      </x:c>
      <x:c r="V40" s="55" t="str">
        <x:v>FICTIONAL TEST DATA. All people, quantities, money, dates and statuses are invented; not project records.</x:v>
      </x:c>
      <x:c r="X40" t="n">
        <x:f>IF(OR(A40="",D40=""),0,IF(COUNTIFS($A$17:A40,A40,$D$17:D40,D40)=1,1,0))</x:f>
        <x:v>1</x:v>
      </x:c>
      <x:c r="Y40" t="n">
        <x:f>IF(X40=0,0,IF(OR(ISNUMBER(J40),K40="Submitted",K40="Under review",K40="Comments received",K40="Resubmitted",K40="Approved"),1,0))</x:f>
        <x:v>1</x:v>
      </x:c>
      <x:c r="Z40" t="n">
        <x:f>IF(X40=0,0,IF(K40="Approved",1,0))</x:f>
        <x:v>0</x:v>
      </x:c>
      <x:c r="AA40" t="n">
        <x:f>IF(X40=0,0,1-Y40)</x:f>
        <x:v>0</x:v>
      </x:c>
    </x:row>
    <x:row r="41" ht="102" customHeight="1">
      <x:c r="A41" s="55" t="str">
        <x:v>S26PRJ01</x:v>
      </x:c>
      <x:c r="B41" s="55" t="str">
        <x:v>P5-SITE-1</x:v>
      </x:c>
      <x:c r="C41" s="60" t="n">
        <x:v>46266</x:v>
      </x:c>
      <x:c r="D41" s="55" t="str">
        <x:v>S26PRJ01-DRG-005</x:v>
      </x:c>
      <x:c r="E41" s="55" t="str">
        <x:v>Transformer foundation construction detail</x:v>
      </x:c>
      <x:c r="F41" s="55" t="str">
        <x:v>S26PRJ01-ACT-01</x:v>
      </x:c>
      <x:c r="G41" s="55" t="str">
        <x:v>Demo Design Consultant P5</x:v>
      </x:c>
      <x:c r="H41" s="56" t="n">
        <x:v>46283</x:v>
      </x:c>
      <x:c r="I41" s="56" t="n">
        <x:v>46270</x:v>
      </x:c>
      <x:c r="J41" s="56" t="n">
        <x:v>46271</x:v>
      </x:c>
      <x:c r="K41" s="55" t="str">
        <x:v>Approved</x:v>
      </x:c>
      <x:c r="L41" s="55" t="str">
        <x:v>Approved</x:v>
      </x:c>
      <x:c r="M41" s="56" t="n">
        <x:v>46281</x:v>
      </x:c>
      <x:c r="N41" s="56" t="n">
        <x:v>46281</x:v>
      </x:c>
      <x:c r="O41" s="56" t="n">
        <x:v>46281</x:v>
      </x:c>
      <x:c r="P41" s="55" t="str">
        <x:v>None; approved drawing released.</x:v>
      </x:c>
      <x:c r="Q41" s="55" t="str">
        <x:v>Transformer foundation execution</x:v>
      </x:c>
      <x:c r="R41" s="55" t="str">
        <x:v>No further intervention.</x:v>
      </x:c>
      <x:c r="S41" s="55" t="str">
        <x:v>Demo Engineering Lead P5</x:v>
      </x:c>
      <x:c r="T41" s="55" t="str">
        <x:v>S26PRJ01-DEC-01</x:v>
      </x:c>
      <x:c r="U41" s="56" t="n">
        <x:v>46285</x:v>
      </x:c>
      <x:c r="V41" s="55" t="str">
        <x:v>FICTIONAL TEST DATA. All people, quantities, money, dates and statuses are invented; not project records.</x:v>
      </x:c>
      <x:c r="X41" t="n">
        <x:f>IF(OR(A41="",D41=""),0,IF(COUNTIFS($A$17:A41,A41,$D$17:D41,D41)=1,1,0))</x:f>
        <x:v>1</x:v>
      </x:c>
      <x:c r="Y41" t="n">
        <x:f>IF(X41=0,0,IF(OR(ISNUMBER(J41),K41="Submitted",K41="Under review",K41="Comments received",K41="Resubmitted",K41="Approved"),1,0))</x:f>
        <x:v>1</x:v>
      </x:c>
      <x:c r="Z41" t="n">
        <x:f>IF(X41=0,0,IF(K41="Approved",1,0))</x:f>
        <x:v>1</x:v>
      </x:c>
      <x:c r="AA41" t="n">
        <x:f>IF(X41=0,0,1-Y41)</x:f>
        <x:v>0</x:v>
      </x:c>
    </x:row>
    <x:row r="42" ht="28" customHeight="1">
      <x:c r="A42" s="55"/>
      <x:c r="B42" s="55"/>
      <x:c r="C42" s="60"/>
      <x:c r="D42" s="55"/>
      <x:c r="E42" s="55"/>
      <x:c r="F42" s="55"/>
      <x:c r="G42" s="55"/>
      <x:c r="H42" s="56"/>
      <x:c r="I42" s="56"/>
      <x:c r="J42" s="56"/>
      <x:c r="K42" s="55"/>
      <x:c r="L42" s="55"/>
      <x:c r="M42" s="56"/>
      <x:c r="N42" s="56"/>
      <x:c r="O42" s="56"/>
      <x:c r="P42" s="55"/>
      <x:c r="Q42" s="55"/>
      <x:c r="R42" s="55"/>
      <x:c r="S42" s="55"/>
      <x:c r="T42" s="55"/>
      <x:c r="U42" s="56"/>
      <x:c r="V42" s="55"/>
      <x:c r="X42" t="n">
        <x:f>IF(OR(A42="",D42=""),0,IF(COUNTIFS($A$17:A42,A42,$D$17:D42,D42)=1,1,0))</x:f>
        <x:v>0</x:v>
      </x:c>
      <x:c r="Y42" t="n">
        <x:f>IF(X42=0,0,IF(OR(ISNUMBER(J42),K42="Submitted",K42="Under review",K42="Comments received",K42="Resubmitted",K42="Approved"),1,0))</x:f>
        <x:v>0</x:v>
      </x:c>
      <x:c r="Z42" t="n">
        <x:f>IF(X42=0,0,IF(K42="Approved",1,0))</x:f>
        <x:v>0</x:v>
      </x:c>
      <x:c r="AA42" t="n">
        <x:f>IF(X42=0,0,1-Y42)</x:f>
        <x:v>0</x:v>
      </x:c>
    </x:row>
    <x:row r="43" ht="28" customHeight="1">
      <x:c r="A43" s="55"/>
      <x:c r="B43" s="55"/>
      <x:c r="C43" s="60"/>
      <x:c r="D43" s="55"/>
      <x:c r="E43" s="55"/>
      <x:c r="F43" s="55"/>
      <x:c r="G43" s="55"/>
      <x:c r="H43" s="56"/>
      <x:c r="I43" s="56"/>
      <x:c r="J43" s="56"/>
      <x:c r="K43" s="55"/>
      <x:c r="L43" s="55"/>
      <x:c r="M43" s="56"/>
      <x:c r="N43" s="56"/>
      <x:c r="O43" s="56"/>
      <x:c r="P43" s="55"/>
      <x:c r="Q43" s="55"/>
      <x:c r="R43" s="55"/>
      <x:c r="S43" s="55"/>
      <x:c r="T43" s="55"/>
      <x:c r="U43" s="56"/>
      <x:c r="V43" s="55"/>
      <x:c r="X43" t="n">
        <x:f>IF(OR(A43="",D43=""),0,IF(COUNTIFS($A$17:A43,A43,$D$17:D43,D43)=1,1,0))</x:f>
        <x:v>0</x:v>
      </x:c>
      <x:c r="Y43" t="n">
        <x:f>IF(X43=0,0,IF(OR(ISNUMBER(J43),K43="Submitted",K43="Under review",K43="Comments received",K43="Resubmitted",K43="Approved"),1,0))</x:f>
        <x:v>0</x:v>
      </x:c>
      <x:c r="Z43" t="n">
        <x:f>IF(X43=0,0,IF(K43="Approved",1,0))</x:f>
        <x:v>0</x:v>
      </x:c>
      <x:c r="AA43" t="n">
        <x:f>IF(X43=0,0,1-Y43)</x:f>
        <x:v>0</x:v>
      </x:c>
    </x:row>
    <x:row r="44" ht="28" customHeight="1">
      <x:c r="A44" s="55"/>
      <x:c r="B44" s="55"/>
      <x:c r="C44" s="60"/>
      <x:c r="D44" s="55"/>
      <x:c r="E44" s="55"/>
      <x:c r="F44" s="55"/>
      <x:c r="G44" s="55"/>
      <x:c r="H44" s="56"/>
      <x:c r="I44" s="56"/>
      <x:c r="J44" s="56"/>
      <x:c r="K44" s="55"/>
      <x:c r="L44" s="55"/>
      <x:c r="M44" s="56"/>
      <x:c r="N44" s="56"/>
      <x:c r="O44" s="56"/>
      <x:c r="P44" s="55"/>
      <x:c r="Q44" s="55"/>
      <x:c r="R44" s="55"/>
      <x:c r="S44" s="55"/>
      <x:c r="T44" s="55"/>
      <x:c r="U44" s="56"/>
      <x:c r="V44" s="55"/>
      <x:c r="X44" t="n">
        <x:f>IF(OR(A44="",D44=""),0,IF(COUNTIFS($A$17:A44,A44,$D$17:D44,D44)=1,1,0))</x:f>
        <x:v>0</x:v>
      </x:c>
      <x:c r="Y44" t="n">
        <x:f>IF(X44=0,0,IF(OR(ISNUMBER(J44),K44="Submitted",K44="Under review",K44="Comments received",K44="Resubmitted",K44="Approved"),1,0))</x:f>
        <x:v>0</x:v>
      </x:c>
      <x:c r="Z44" t="n">
        <x:f>IF(X44=0,0,IF(K44="Approved",1,0))</x:f>
        <x:v>0</x:v>
      </x:c>
      <x:c r="AA44" t="n">
        <x:f>IF(X44=0,0,1-Y44)</x:f>
        <x:v>0</x:v>
      </x:c>
    </x:row>
    <x:row r="45" ht="28" customHeight="1">
      <x:c r="A45" s="55"/>
      <x:c r="B45" s="55"/>
      <x:c r="C45" s="60"/>
      <x:c r="D45" s="55"/>
      <x:c r="E45" s="55"/>
      <x:c r="F45" s="55"/>
      <x:c r="G45" s="55"/>
      <x:c r="H45" s="56"/>
      <x:c r="I45" s="56"/>
      <x:c r="J45" s="56"/>
      <x:c r="K45" s="55"/>
      <x:c r="L45" s="55"/>
      <x:c r="M45" s="56"/>
      <x:c r="N45" s="56"/>
      <x:c r="O45" s="56"/>
      <x:c r="P45" s="55"/>
      <x:c r="Q45" s="55"/>
      <x:c r="R45" s="55"/>
      <x:c r="S45" s="55"/>
      <x:c r="T45" s="55"/>
      <x:c r="U45" s="56"/>
      <x:c r="V45" s="55"/>
      <x:c r="X45" t="n">
        <x:f>IF(OR(A45="",D45=""),0,IF(COUNTIFS($A$17:A45,A45,$D$17:D45,D45)=1,1,0))</x:f>
        <x:v>0</x:v>
      </x:c>
      <x:c r="Y45" t="n">
        <x:f>IF(X45=0,0,IF(OR(ISNUMBER(J45),K45="Submitted",K45="Under review",K45="Comments received",K45="Resubmitted",K45="Approved"),1,0))</x:f>
        <x:v>0</x:v>
      </x:c>
      <x:c r="Z45" t="n">
        <x:f>IF(X45=0,0,IF(K45="Approved",1,0))</x:f>
        <x:v>0</x:v>
      </x:c>
      <x:c r="AA45" t="n">
        <x:f>IF(X45=0,0,1-Y45)</x:f>
        <x:v>0</x:v>
      </x:c>
    </x:row>
    <x:row r="46" ht="28" customHeight="1">
      <x:c r="A46" s="55"/>
      <x:c r="B46" s="55"/>
      <x:c r="C46" s="60"/>
      <x:c r="D46" s="55"/>
      <x:c r="E46" s="55"/>
      <x:c r="F46" s="55"/>
      <x:c r="G46" s="55"/>
      <x:c r="H46" s="56"/>
      <x:c r="I46" s="56"/>
      <x:c r="J46" s="56"/>
      <x:c r="K46" s="55"/>
      <x:c r="L46" s="55"/>
      <x:c r="M46" s="56"/>
      <x:c r="N46" s="56"/>
      <x:c r="O46" s="56"/>
      <x:c r="P46" s="55"/>
      <x:c r="Q46" s="55"/>
      <x:c r="R46" s="55"/>
      <x:c r="S46" s="55"/>
      <x:c r="T46" s="55"/>
      <x:c r="U46" s="56"/>
      <x:c r="V46" s="55"/>
      <x:c r="X46" t="n">
        <x:f>IF(OR(A46="",D46=""),0,IF(COUNTIFS($A$17:A46,A46,$D$17:D46,D46)=1,1,0))</x:f>
        <x:v>0</x:v>
      </x:c>
      <x:c r="Y46" t="n">
        <x:f>IF(X46=0,0,IF(OR(ISNUMBER(J46),K46="Submitted",K46="Under review",K46="Comments received",K46="Resubmitted",K46="Approved"),1,0))</x:f>
        <x:v>0</x:v>
      </x:c>
      <x:c r="Z46" t="n">
        <x:f>IF(X46=0,0,IF(K46="Approved",1,0))</x:f>
        <x:v>0</x:v>
      </x:c>
      <x:c r="AA46" t="n">
        <x:f>IF(X46=0,0,1-Y46)</x:f>
        <x:v>0</x:v>
      </x:c>
    </x:row>
    <x:row r="47" ht="28" customHeight="1">
      <x:c r="A47" s="55"/>
      <x:c r="B47" s="55"/>
      <x:c r="C47" s="60"/>
      <x:c r="D47" s="55"/>
      <x:c r="E47" s="55"/>
      <x:c r="F47" s="55"/>
      <x:c r="G47" s="55"/>
      <x:c r="H47" s="56"/>
      <x:c r="I47" s="56"/>
      <x:c r="J47" s="56"/>
      <x:c r="K47" s="55"/>
      <x:c r="L47" s="55"/>
      <x:c r="M47" s="56"/>
      <x:c r="N47" s="56"/>
      <x:c r="O47" s="56"/>
      <x:c r="P47" s="55"/>
      <x:c r="Q47" s="55"/>
      <x:c r="R47" s="55"/>
      <x:c r="S47" s="55"/>
      <x:c r="T47" s="55"/>
      <x:c r="U47" s="56"/>
      <x:c r="V47" s="55"/>
      <x:c r="X47" t="n">
        <x:f>IF(OR(A47="",D47=""),0,IF(COUNTIFS($A$17:A47,A47,$D$17:D47,D47)=1,1,0))</x:f>
        <x:v>0</x:v>
      </x:c>
      <x:c r="Y47" t="n">
        <x:f>IF(X47=0,0,IF(OR(ISNUMBER(J47),K47="Submitted",K47="Under review",K47="Comments received",K47="Resubmitted",K47="Approved"),1,0))</x:f>
        <x:v>0</x:v>
      </x:c>
      <x:c r="Z47" t="n">
        <x:f>IF(X47=0,0,IF(K47="Approved",1,0))</x:f>
        <x:v>0</x:v>
      </x:c>
      <x:c r="AA47" t="n">
        <x:f>IF(X47=0,0,1-Y47)</x:f>
        <x:v>0</x:v>
      </x:c>
    </x:row>
    <x:row r="48" ht="28" customHeight="1">
      <x:c r="A48" s="55"/>
      <x:c r="B48" s="55"/>
      <x:c r="C48" s="60"/>
      <x:c r="D48" s="55"/>
      <x:c r="E48" s="55"/>
      <x:c r="F48" s="55"/>
      <x:c r="G48" s="55"/>
      <x:c r="H48" s="56"/>
      <x:c r="I48" s="56"/>
      <x:c r="J48" s="56"/>
      <x:c r="K48" s="55"/>
      <x:c r="L48" s="55"/>
      <x:c r="M48" s="56"/>
      <x:c r="N48" s="56"/>
      <x:c r="O48" s="56"/>
      <x:c r="P48" s="55"/>
      <x:c r="Q48" s="55"/>
      <x:c r="R48" s="55"/>
      <x:c r="S48" s="55"/>
      <x:c r="T48" s="55"/>
      <x:c r="U48" s="56"/>
      <x:c r="V48" s="55"/>
      <x:c r="X48" t="n">
        <x:f>IF(OR(A48="",D48=""),0,IF(COUNTIFS($A$17:A48,A48,$D$17:D48,D48)=1,1,0))</x:f>
        <x:v>0</x:v>
      </x:c>
      <x:c r="Y48" t="n">
        <x:f>IF(X48=0,0,IF(OR(ISNUMBER(J48),K48="Submitted",K48="Under review",K48="Comments received",K48="Resubmitted",K48="Approved"),1,0))</x:f>
        <x:v>0</x:v>
      </x:c>
      <x:c r="Z48" t="n">
        <x:f>IF(X48=0,0,IF(K48="Approved",1,0))</x:f>
        <x:v>0</x:v>
      </x:c>
      <x:c r="AA48" t="n">
        <x:f>IF(X48=0,0,1-Y48)</x:f>
        <x:v>0</x:v>
      </x:c>
    </x:row>
    <x:row r="49" ht="28" customHeight="1">
      <x:c r="A49" s="55"/>
      <x:c r="B49" s="55"/>
      <x:c r="C49" s="60"/>
      <x:c r="D49" s="55"/>
      <x:c r="E49" s="55"/>
      <x:c r="F49" s="55"/>
      <x:c r="G49" s="55"/>
      <x:c r="H49" s="56"/>
      <x:c r="I49" s="56"/>
      <x:c r="J49" s="56"/>
      <x:c r="K49" s="55"/>
      <x:c r="L49" s="55"/>
      <x:c r="M49" s="56"/>
      <x:c r="N49" s="56"/>
      <x:c r="O49" s="56"/>
      <x:c r="P49" s="55"/>
      <x:c r="Q49" s="55"/>
      <x:c r="R49" s="55"/>
      <x:c r="S49" s="55"/>
      <x:c r="T49" s="55"/>
      <x:c r="U49" s="56"/>
      <x:c r="V49" s="55"/>
      <x:c r="X49" t="n">
        <x:f>IF(OR(A49="",D49=""),0,IF(COUNTIFS($A$17:A49,A49,$D$17:D49,D49)=1,1,0))</x:f>
        <x:v>0</x:v>
      </x:c>
      <x:c r="Y49" t="n">
        <x:f>IF(X49=0,0,IF(OR(ISNUMBER(J49),K49="Submitted",K49="Under review",K49="Comments received",K49="Resubmitted",K49="Approved"),1,0))</x:f>
        <x:v>0</x:v>
      </x:c>
      <x:c r="Z49" t="n">
        <x:f>IF(X49=0,0,IF(K49="Approved",1,0))</x:f>
        <x:v>0</x:v>
      </x:c>
      <x:c r="AA49" t="n">
        <x:f>IF(X49=0,0,1-Y49)</x:f>
        <x:v>0</x:v>
      </x:c>
    </x:row>
    <x:row r="50" ht="28" customHeight="1">
      <x:c r="A50" s="55"/>
      <x:c r="B50" s="55"/>
      <x:c r="C50" s="60"/>
      <x:c r="D50" s="55"/>
      <x:c r="E50" s="55"/>
      <x:c r="F50" s="55"/>
      <x:c r="G50" s="55"/>
      <x:c r="H50" s="56"/>
      <x:c r="I50" s="56"/>
      <x:c r="J50" s="56"/>
      <x:c r="K50" s="55"/>
      <x:c r="L50" s="55"/>
      <x:c r="M50" s="56"/>
      <x:c r="N50" s="56"/>
      <x:c r="O50" s="56"/>
      <x:c r="P50" s="55"/>
      <x:c r="Q50" s="55"/>
      <x:c r="R50" s="55"/>
      <x:c r="S50" s="55"/>
      <x:c r="T50" s="55"/>
      <x:c r="U50" s="56"/>
      <x:c r="V50" s="55"/>
      <x:c r="X50" t="n">
        <x:f>IF(OR(A50="",D50=""),0,IF(COUNTIFS($A$17:A50,A50,$D$17:D50,D50)=1,1,0))</x:f>
        <x:v>0</x:v>
      </x:c>
      <x:c r="Y50" t="n">
        <x:f>IF(X50=0,0,IF(OR(ISNUMBER(J50),K50="Submitted",K50="Under review",K50="Comments received",K50="Resubmitted",K50="Approved"),1,0))</x:f>
        <x:v>0</x:v>
      </x:c>
      <x:c r="Z50" t="n">
        <x:f>IF(X50=0,0,IF(K50="Approved",1,0))</x:f>
        <x:v>0</x:v>
      </x:c>
      <x:c r="AA50" t="n">
        <x:f>IF(X50=0,0,1-Y50)</x:f>
        <x:v>0</x:v>
      </x:c>
    </x:row>
    <x:row r="51" ht="28" customHeight="1">
      <x:c r="A51" s="55"/>
      <x:c r="B51" s="55"/>
      <x:c r="C51" s="60"/>
      <x:c r="D51" s="55"/>
      <x:c r="E51" s="55"/>
      <x:c r="F51" s="55"/>
      <x:c r="G51" s="55"/>
      <x:c r="H51" s="56"/>
      <x:c r="I51" s="56"/>
      <x:c r="J51" s="56"/>
      <x:c r="K51" s="55"/>
      <x:c r="L51" s="55"/>
      <x:c r="M51" s="56"/>
      <x:c r="N51" s="56"/>
      <x:c r="O51" s="56"/>
      <x:c r="P51" s="55"/>
      <x:c r="Q51" s="55"/>
      <x:c r="R51" s="55"/>
      <x:c r="S51" s="55"/>
      <x:c r="T51" s="55"/>
      <x:c r="U51" s="56"/>
      <x:c r="V51" s="55"/>
      <x:c r="X51" t="n">
        <x:f>IF(OR(A51="",D51=""),0,IF(COUNTIFS($A$17:A51,A51,$D$17:D51,D51)=1,1,0))</x:f>
        <x:v>0</x:v>
      </x:c>
      <x:c r="Y51" t="n">
        <x:f>IF(X51=0,0,IF(OR(ISNUMBER(J51),K51="Submitted",K51="Under review",K51="Comments received",K51="Resubmitted",K51="Approved"),1,0))</x:f>
        <x:v>0</x:v>
      </x:c>
      <x:c r="Z51" t="n">
        <x:f>IF(X51=0,0,IF(K51="Approved",1,0))</x:f>
        <x:v>0</x:v>
      </x:c>
      <x:c r="AA51" t="n">
        <x:f>IF(X51=0,0,1-Y51)</x:f>
        <x:v>0</x:v>
      </x:c>
    </x:row>
    <x:row r="52" ht="28" customHeight="1">
      <x:c r="A52" s="55"/>
      <x:c r="B52" s="55"/>
      <x:c r="C52" s="60"/>
      <x:c r="D52" s="55"/>
      <x:c r="E52" s="55"/>
      <x:c r="F52" s="55"/>
      <x:c r="G52" s="55"/>
      <x:c r="H52" s="56"/>
      <x:c r="I52" s="56"/>
      <x:c r="J52" s="56"/>
      <x:c r="K52" s="55"/>
      <x:c r="L52" s="55"/>
      <x:c r="M52" s="56"/>
      <x:c r="N52" s="56"/>
      <x:c r="O52" s="56"/>
      <x:c r="P52" s="55"/>
      <x:c r="Q52" s="55"/>
      <x:c r="R52" s="55"/>
      <x:c r="S52" s="55"/>
      <x:c r="T52" s="55"/>
      <x:c r="U52" s="56"/>
      <x:c r="V52" s="55"/>
      <x:c r="X52" t="n">
        <x:f>IF(OR(A52="",D52=""),0,IF(COUNTIFS($A$17:A52,A52,$D$17:D52,D52)=1,1,0))</x:f>
        <x:v>0</x:v>
      </x:c>
      <x:c r="Y52" t="n">
        <x:f>IF(X52=0,0,IF(OR(ISNUMBER(J52),K52="Submitted",K52="Under review",K52="Comments received",K52="Resubmitted",K52="Approved"),1,0))</x:f>
        <x:v>0</x:v>
      </x:c>
      <x:c r="Z52" t="n">
        <x:f>IF(X52=0,0,IF(K52="Approved",1,0))</x:f>
        <x:v>0</x:v>
      </x:c>
      <x:c r="AA52" t="n">
        <x:f>IF(X52=0,0,1-Y52)</x:f>
        <x:v>0</x:v>
      </x:c>
    </x:row>
    <x:row r="53" ht="28" customHeight="1">
      <x:c r="A53" s="55"/>
      <x:c r="B53" s="55"/>
      <x:c r="C53" s="60"/>
      <x:c r="D53" s="55"/>
      <x:c r="E53" s="55"/>
      <x:c r="F53" s="55"/>
      <x:c r="G53" s="55"/>
      <x:c r="H53" s="56"/>
      <x:c r="I53" s="56"/>
      <x:c r="J53" s="56"/>
      <x:c r="K53" s="55"/>
      <x:c r="L53" s="55"/>
      <x:c r="M53" s="56"/>
      <x:c r="N53" s="56"/>
      <x:c r="O53" s="56"/>
      <x:c r="P53" s="55"/>
      <x:c r="Q53" s="55"/>
      <x:c r="R53" s="55"/>
      <x:c r="S53" s="55"/>
      <x:c r="T53" s="55"/>
      <x:c r="U53" s="56"/>
      <x:c r="V53" s="55"/>
      <x:c r="X53" t="n">
        <x:f>IF(OR(A53="",D53=""),0,IF(COUNTIFS($A$17:A53,A53,$D$17:D53,D53)=1,1,0))</x:f>
        <x:v>0</x:v>
      </x:c>
      <x:c r="Y53" t="n">
        <x:f>IF(X53=0,0,IF(OR(ISNUMBER(J53),K53="Submitted",K53="Under review",K53="Comments received",K53="Resubmitted",K53="Approved"),1,0))</x:f>
        <x:v>0</x:v>
      </x:c>
      <x:c r="Z53" t="n">
        <x:f>IF(X53=0,0,IF(K53="Approved",1,0))</x:f>
        <x:v>0</x:v>
      </x:c>
      <x:c r="AA53" t="n">
        <x:f>IF(X53=0,0,1-Y53)</x:f>
        <x:v>0</x:v>
      </x:c>
    </x:row>
    <x:row r="54" ht="28" customHeight="1">
      <x:c r="A54" s="55"/>
      <x:c r="B54" s="55"/>
      <x:c r="C54" s="60"/>
      <x:c r="D54" s="55"/>
      <x:c r="E54" s="55"/>
      <x:c r="F54" s="55"/>
      <x:c r="G54" s="55"/>
      <x:c r="H54" s="56"/>
      <x:c r="I54" s="56"/>
      <x:c r="J54" s="56"/>
      <x:c r="K54" s="55"/>
      <x:c r="L54" s="55"/>
      <x:c r="M54" s="56"/>
      <x:c r="N54" s="56"/>
      <x:c r="O54" s="56"/>
      <x:c r="P54" s="55"/>
      <x:c r="Q54" s="55"/>
      <x:c r="R54" s="55"/>
      <x:c r="S54" s="55"/>
      <x:c r="T54" s="55"/>
      <x:c r="U54" s="56"/>
      <x:c r="V54" s="55"/>
      <x:c r="X54" t="n">
        <x:f>IF(OR(A54="",D54=""),0,IF(COUNTIFS($A$17:A54,A54,$D$17:D54,D54)=1,1,0))</x:f>
        <x:v>0</x:v>
      </x:c>
      <x:c r="Y54" t="n">
        <x:f>IF(X54=0,0,IF(OR(ISNUMBER(J54),K54="Submitted",K54="Under review",K54="Comments received",K54="Resubmitted",K54="Approved"),1,0))</x:f>
        <x:v>0</x:v>
      </x:c>
      <x:c r="Z54" t="n">
        <x:f>IF(X54=0,0,IF(K54="Approved",1,0))</x:f>
        <x:v>0</x:v>
      </x:c>
      <x:c r="AA54" t="n">
        <x:f>IF(X54=0,0,1-Y54)</x:f>
        <x:v>0</x:v>
      </x:c>
    </x:row>
    <x:row r="55" ht="28" customHeight="1">
      <x:c r="A55" s="55"/>
      <x:c r="B55" s="55"/>
      <x:c r="C55" s="60"/>
      <x:c r="D55" s="55"/>
      <x:c r="E55" s="55"/>
      <x:c r="F55" s="55"/>
      <x:c r="G55" s="55"/>
      <x:c r="H55" s="56"/>
      <x:c r="I55" s="56"/>
      <x:c r="J55" s="56"/>
      <x:c r="K55" s="55"/>
      <x:c r="L55" s="55"/>
      <x:c r="M55" s="56"/>
      <x:c r="N55" s="56"/>
      <x:c r="O55" s="56"/>
      <x:c r="P55" s="55"/>
      <x:c r="Q55" s="55"/>
      <x:c r="R55" s="55"/>
      <x:c r="S55" s="55"/>
      <x:c r="T55" s="55"/>
      <x:c r="U55" s="56"/>
      <x:c r="V55" s="55"/>
      <x:c r="X55" t="n">
        <x:f>IF(OR(A55="",D55=""),0,IF(COUNTIFS($A$17:A55,A55,$D$17:D55,D55)=1,1,0))</x:f>
        <x:v>0</x:v>
      </x:c>
      <x:c r="Y55" t="n">
        <x:f>IF(X55=0,0,IF(OR(ISNUMBER(J55),K55="Submitted",K55="Under review",K55="Comments received",K55="Resubmitted",K55="Approved"),1,0))</x:f>
        <x:v>0</x:v>
      </x:c>
      <x:c r="Z55" t="n">
        <x:f>IF(X55=0,0,IF(K55="Approved",1,0))</x:f>
        <x:v>0</x:v>
      </x:c>
      <x:c r="AA55" t="n">
        <x:f>IF(X55=0,0,1-Y55)</x:f>
        <x:v>0</x:v>
      </x:c>
    </x:row>
    <x:row r="56" ht="28" customHeight="1">
      <x:c r="A56" s="55"/>
      <x:c r="B56" s="55"/>
      <x:c r="C56" s="60"/>
      <x:c r="D56" s="55"/>
      <x:c r="E56" s="55"/>
      <x:c r="F56" s="55"/>
      <x:c r="G56" s="55"/>
      <x:c r="H56" s="56"/>
      <x:c r="I56" s="56"/>
      <x:c r="J56" s="56"/>
      <x:c r="K56" s="55"/>
      <x:c r="L56" s="55"/>
      <x:c r="M56" s="56"/>
      <x:c r="N56" s="56"/>
      <x:c r="O56" s="56"/>
      <x:c r="P56" s="55"/>
      <x:c r="Q56" s="55"/>
      <x:c r="R56" s="55"/>
      <x:c r="S56" s="55"/>
      <x:c r="T56" s="55"/>
      <x:c r="U56" s="56"/>
      <x:c r="V56" s="55"/>
      <x:c r="X56" t="n">
        <x:f>IF(OR(A56="",D56=""),0,IF(COUNTIFS($A$17:A56,A56,$D$17:D56,D56)=1,1,0))</x:f>
        <x:v>0</x:v>
      </x:c>
      <x:c r="Y56" t="n">
        <x:f>IF(X56=0,0,IF(OR(ISNUMBER(J56),K56="Submitted",K56="Under review",K56="Comments received",K56="Resubmitted",K56="Approved"),1,0))</x:f>
        <x:v>0</x:v>
      </x:c>
      <x:c r="Z56" t="n">
        <x:f>IF(X56=0,0,IF(K56="Approved",1,0))</x:f>
        <x:v>0</x:v>
      </x:c>
      <x:c r="AA56" t="n">
        <x:f>IF(X56=0,0,1-Y56)</x:f>
        <x:v>0</x:v>
      </x:c>
    </x:row>
    <x:row r="57" ht="28" customHeight="1">
      <x:c r="A57" s="55"/>
      <x:c r="B57" s="55"/>
      <x:c r="C57" s="60"/>
      <x:c r="D57" s="55"/>
      <x:c r="E57" s="55"/>
      <x:c r="F57" s="55"/>
      <x:c r="G57" s="55"/>
      <x:c r="H57" s="56"/>
      <x:c r="I57" s="56"/>
      <x:c r="J57" s="56"/>
      <x:c r="K57" s="55"/>
      <x:c r="L57" s="55"/>
      <x:c r="M57" s="56"/>
      <x:c r="N57" s="56"/>
      <x:c r="O57" s="56"/>
      <x:c r="P57" s="55"/>
      <x:c r="Q57" s="55"/>
      <x:c r="R57" s="55"/>
      <x:c r="S57" s="55"/>
      <x:c r="T57" s="55"/>
      <x:c r="U57" s="56"/>
      <x:c r="V57" s="55"/>
      <x:c r="X57" t="n">
        <x:f>IF(OR(A57="",D57=""),0,IF(COUNTIFS($A$17:A57,A57,$D$17:D57,D57)=1,1,0))</x:f>
        <x:v>0</x:v>
      </x:c>
      <x:c r="Y57" t="n">
        <x:f>IF(X57=0,0,IF(OR(ISNUMBER(J57),K57="Submitted",K57="Under review",K57="Comments received",K57="Resubmitted",K57="Approved"),1,0))</x:f>
        <x:v>0</x:v>
      </x:c>
      <x:c r="Z57" t="n">
        <x:f>IF(X57=0,0,IF(K57="Approved",1,0))</x:f>
        <x:v>0</x:v>
      </x:c>
      <x:c r="AA57" t="n">
        <x:f>IF(X57=0,0,1-Y57)</x:f>
        <x:v>0</x:v>
      </x:c>
    </x:row>
    <x:row r="58" ht="28" customHeight="1">
      <x:c r="A58" s="55"/>
      <x:c r="B58" s="55"/>
      <x:c r="C58" s="60"/>
      <x:c r="D58" s="55"/>
      <x:c r="E58" s="55"/>
      <x:c r="F58" s="55"/>
      <x:c r="G58" s="55"/>
      <x:c r="H58" s="56"/>
      <x:c r="I58" s="56"/>
      <x:c r="J58" s="56"/>
      <x:c r="K58" s="55"/>
      <x:c r="L58" s="55"/>
      <x:c r="M58" s="56"/>
      <x:c r="N58" s="56"/>
      <x:c r="O58" s="56"/>
      <x:c r="P58" s="55"/>
      <x:c r="Q58" s="55"/>
      <x:c r="R58" s="55"/>
      <x:c r="S58" s="55"/>
      <x:c r="T58" s="55"/>
      <x:c r="U58" s="56"/>
      <x:c r="V58" s="55"/>
      <x:c r="X58" t="n">
        <x:f>IF(OR(A58="",D58=""),0,IF(COUNTIFS($A$17:A58,A58,$D$17:D58,D58)=1,1,0))</x:f>
        <x:v>0</x:v>
      </x:c>
      <x:c r="Y58" t="n">
        <x:f>IF(X58=0,0,IF(OR(ISNUMBER(J58),K58="Submitted",K58="Under review",K58="Comments received",K58="Resubmitted",K58="Approved"),1,0))</x:f>
        <x:v>0</x:v>
      </x:c>
      <x:c r="Z58" t="n">
        <x:f>IF(X58=0,0,IF(K58="Approved",1,0))</x:f>
        <x:v>0</x:v>
      </x:c>
      <x:c r="AA58" t="n">
        <x:f>IF(X58=0,0,1-Y58)</x:f>
        <x:v>0</x:v>
      </x:c>
    </x:row>
    <x:row r="59" ht="28" customHeight="1">
      <x:c r="A59" s="55"/>
      <x:c r="B59" s="55"/>
      <x:c r="C59" s="60"/>
      <x:c r="D59" s="55"/>
      <x:c r="E59" s="55"/>
      <x:c r="F59" s="55"/>
      <x:c r="G59" s="55"/>
      <x:c r="H59" s="56"/>
      <x:c r="I59" s="56"/>
      <x:c r="J59" s="56"/>
      <x:c r="K59" s="55"/>
      <x:c r="L59" s="55"/>
      <x:c r="M59" s="56"/>
      <x:c r="N59" s="56"/>
      <x:c r="O59" s="56"/>
      <x:c r="P59" s="55"/>
      <x:c r="Q59" s="55"/>
      <x:c r="R59" s="55"/>
      <x:c r="S59" s="55"/>
      <x:c r="T59" s="55"/>
      <x:c r="U59" s="56"/>
      <x:c r="V59" s="55"/>
      <x:c r="X59" t="n">
        <x:f>IF(OR(A59="",D59=""),0,IF(COUNTIFS($A$17:A59,A59,$D$17:D59,D59)=1,1,0))</x:f>
        <x:v>0</x:v>
      </x:c>
      <x:c r="Y59" t="n">
        <x:f>IF(X59=0,0,IF(OR(ISNUMBER(J59),K59="Submitted",K59="Under review",K59="Comments received",K59="Resubmitted",K59="Approved"),1,0))</x:f>
        <x:v>0</x:v>
      </x:c>
      <x:c r="Z59" t="n">
        <x:f>IF(X59=0,0,IF(K59="Approved",1,0))</x:f>
        <x:v>0</x:v>
      </x:c>
      <x:c r="AA59" t="n">
        <x:f>IF(X59=0,0,1-Y59)</x:f>
        <x:v>0</x:v>
      </x:c>
    </x:row>
    <x:row r="60" ht="28" customHeight="1">
      <x:c r="A60" s="55"/>
      <x:c r="B60" s="55"/>
      <x:c r="C60" s="60"/>
      <x:c r="D60" s="55"/>
      <x:c r="E60" s="55"/>
      <x:c r="F60" s="55"/>
      <x:c r="G60" s="55"/>
      <x:c r="H60" s="56"/>
      <x:c r="I60" s="56"/>
      <x:c r="J60" s="56"/>
      <x:c r="K60" s="55"/>
      <x:c r="L60" s="55"/>
      <x:c r="M60" s="56"/>
      <x:c r="N60" s="56"/>
      <x:c r="O60" s="56"/>
      <x:c r="P60" s="55"/>
      <x:c r="Q60" s="55"/>
      <x:c r="R60" s="55"/>
      <x:c r="S60" s="55"/>
      <x:c r="T60" s="55"/>
      <x:c r="U60" s="56"/>
      <x:c r="V60" s="55"/>
      <x:c r="X60" t="n">
        <x:f>IF(OR(A60="",D60=""),0,IF(COUNTIFS($A$17:A60,A60,$D$17:D60,D60)=1,1,0))</x:f>
        <x:v>0</x:v>
      </x:c>
      <x:c r="Y60" t="n">
        <x:f>IF(X60=0,0,IF(OR(ISNUMBER(J60),K60="Submitted",K60="Under review",K60="Comments received",K60="Resubmitted",K60="Approved"),1,0))</x:f>
        <x:v>0</x:v>
      </x:c>
      <x:c r="Z60" t="n">
        <x:f>IF(X60=0,0,IF(K60="Approved",1,0))</x:f>
        <x:v>0</x:v>
      </x:c>
      <x:c r="AA60" t="n">
        <x:f>IF(X60=0,0,1-Y60)</x:f>
        <x:v>0</x:v>
      </x:c>
    </x:row>
    <x:row r="61" ht="28" customHeight="1">
      <x:c r="A61" s="55"/>
      <x:c r="B61" s="55"/>
      <x:c r="C61" s="60"/>
      <x:c r="D61" s="55"/>
      <x:c r="E61" s="55"/>
      <x:c r="F61" s="55"/>
      <x:c r="G61" s="55"/>
      <x:c r="H61" s="56"/>
      <x:c r="I61" s="56"/>
      <x:c r="J61" s="56"/>
      <x:c r="K61" s="55"/>
      <x:c r="L61" s="55"/>
      <x:c r="M61" s="56"/>
      <x:c r="N61" s="56"/>
      <x:c r="O61" s="56"/>
      <x:c r="P61" s="55"/>
      <x:c r="Q61" s="55"/>
      <x:c r="R61" s="55"/>
      <x:c r="S61" s="55"/>
      <x:c r="T61" s="55"/>
      <x:c r="U61" s="56"/>
      <x:c r="V61" s="55"/>
      <x:c r="X61" t="n">
        <x:f>IF(OR(A61="",D61=""),0,IF(COUNTIFS($A$17:A61,A61,$D$17:D61,D61)=1,1,0))</x:f>
        <x:v>0</x:v>
      </x:c>
      <x:c r="Y61" t="n">
        <x:f>IF(X61=0,0,IF(OR(ISNUMBER(J61),K61="Submitted",K61="Under review",K61="Comments received",K61="Resubmitted",K61="Approved"),1,0))</x:f>
        <x:v>0</x:v>
      </x:c>
      <x:c r="Z61" t="n">
        <x:f>IF(X61=0,0,IF(K61="Approved",1,0))</x:f>
        <x:v>0</x:v>
      </x:c>
      <x:c r="AA61" t="n">
        <x:f>IF(X61=0,0,1-Y61)</x:f>
        <x:v>0</x:v>
      </x:c>
    </x:row>
    <x:row r="62" ht="28" customHeight="1">
      <x:c r="A62" s="55"/>
      <x:c r="B62" s="55"/>
      <x:c r="C62" s="60"/>
      <x:c r="D62" s="55"/>
      <x:c r="E62" s="55"/>
      <x:c r="F62" s="55"/>
      <x:c r="G62" s="55"/>
      <x:c r="H62" s="56"/>
      <x:c r="I62" s="56"/>
      <x:c r="J62" s="56"/>
      <x:c r="K62" s="55"/>
      <x:c r="L62" s="55"/>
      <x:c r="M62" s="56"/>
      <x:c r="N62" s="56"/>
      <x:c r="O62" s="56"/>
      <x:c r="P62" s="55"/>
      <x:c r="Q62" s="55"/>
      <x:c r="R62" s="55"/>
      <x:c r="S62" s="55"/>
      <x:c r="T62" s="55"/>
      <x:c r="U62" s="56"/>
      <x:c r="V62" s="55"/>
      <x:c r="X62" t="n">
        <x:f>IF(OR(A62="",D62=""),0,IF(COUNTIFS($A$17:A62,A62,$D$17:D62,D62)=1,1,0))</x:f>
        <x:v>0</x:v>
      </x:c>
      <x:c r="Y62" t="n">
        <x:f>IF(X62=0,0,IF(OR(ISNUMBER(J62),K62="Submitted",K62="Under review",K62="Comments received",K62="Resubmitted",K62="Approved"),1,0))</x:f>
        <x:v>0</x:v>
      </x:c>
      <x:c r="Z62" t="n">
        <x:f>IF(X62=0,0,IF(K62="Approved",1,0))</x:f>
        <x:v>0</x:v>
      </x:c>
      <x:c r="AA62" t="n">
        <x:f>IF(X62=0,0,1-Y62)</x:f>
        <x:v>0</x:v>
      </x:c>
    </x:row>
    <x:row r="63" ht="28" customHeight="1">
      <x:c r="A63" s="55"/>
      <x:c r="B63" s="55"/>
      <x:c r="C63" s="60"/>
      <x:c r="D63" s="55"/>
      <x:c r="E63" s="55"/>
      <x:c r="F63" s="55"/>
      <x:c r="G63" s="55"/>
      <x:c r="H63" s="56"/>
      <x:c r="I63" s="56"/>
      <x:c r="J63" s="56"/>
      <x:c r="K63" s="55"/>
      <x:c r="L63" s="55"/>
      <x:c r="M63" s="56"/>
      <x:c r="N63" s="56"/>
      <x:c r="O63" s="56"/>
      <x:c r="P63" s="55"/>
      <x:c r="Q63" s="55"/>
      <x:c r="R63" s="55"/>
      <x:c r="S63" s="55"/>
      <x:c r="T63" s="55"/>
      <x:c r="U63" s="56"/>
      <x:c r="V63" s="55"/>
      <x:c r="X63" t="n">
        <x:f>IF(OR(A63="",D63=""),0,IF(COUNTIFS($A$17:A63,A63,$D$17:D63,D63)=1,1,0))</x:f>
        <x:v>0</x:v>
      </x:c>
      <x:c r="Y63" t="n">
        <x:f>IF(X63=0,0,IF(OR(ISNUMBER(J63),K63="Submitted",K63="Under review",K63="Comments received",K63="Resubmitted",K63="Approved"),1,0))</x:f>
        <x:v>0</x:v>
      </x:c>
      <x:c r="Z63" t="n">
        <x:f>IF(X63=0,0,IF(K63="Approved",1,0))</x:f>
        <x:v>0</x:v>
      </x:c>
      <x:c r="AA63" t="n">
        <x:f>IF(X63=0,0,1-Y63)</x:f>
        <x:v>0</x:v>
      </x:c>
    </x:row>
    <x:row r="64" ht="28" customHeight="1">
      <x:c r="A64" s="55"/>
      <x:c r="B64" s="55"/>
      <x:c r="C64" s="60"/>
      <x:c r="D64" s="55"/>
      <x:c r="E64" s="55"/>
      <x:c r="F64" s="55"/>
      <x:c r="G64" s="55"/>
      <x:c r="H64" s="56"/>
      <x:c r="I64" s="56"/>
      <x:c r="J64" s="56"/>
      <x:c r="K64" s="55"/>
      <x:c r="L64" s="55"/>
      <x:c r="M64" s="56"/>
      <x:c r="N64" s="56"/>
      <x:c r="O64" s="56"/>
      <x:c r="P64" s="55"/>
      <x:c r="Q64" s="55"/>
      <x:c r="R64" s="55"/>
      <x:c r="S64" s="55"/>
      <x:c r="T64" s="55"/>
      <x:c r="U64" s="56"/>
      <x:c r="V64" s="55"/>
      <x:c r="X64" t="n">
        <x:f>IF(OR(A64="",D64=""),0,IF(COUNTIFS($A$17:A64,A64,$D$17:D64,D64)=1,1,0))</x:f>
        <x:v>0</x:v>
      </x:c>
      <x:c r="Y64" t="n">
        <x:f>IF(X64=0,0,IF(OR(ISNUMBER(J64),K64="Submitted",K64="Under review",K64="Comments received",K64="Resubmitted",K64="Approved"),1,0))</x:f>
        <x:v>0</x:v>
      </x:c>
      <x:c r="Z64" t="n">
        <x:f>IF(X64=0,0,IF(K64="Approved",1,0))</x:f>
        <x:v>0</x:v>
      </x:c>
      <x:c r="AA64" t="n">
        <x:f>IF(X64=0,0,1-Y64)</x:f>
        <x:v>0</x:v>
      </x:c>
    </x:row>
    <x:row r="65" ht="28" customHeight="1">
      <x:c r="A65" s="55"/>
      <x:c r="B65" s="55"/>
      <x:c r="C65" s="60"/>
      <x:c r="D65" s="55"/>
      <x:c r="E65" s="55"/>
      <x:c r="F65" s="55"/>
      <x:c r="G65" s="55"/>
      <x:c r="H65" s="56"/>
      <x:c r="I65" s="56"/>
      <x:c r="J65" s="56"/>
      <x:c r="K65" s="55"/>
      <x:c r="L65" s="55"/>
      <x:c r="M65" s="56"/>
      <x:c r="N65" s="56"/>
      <x:c r="O65" s="56"/>
      <x:c r="P65" s="55"/>
      <x:c r="Q65" s="55"/>
      <x:c r="R65" s="55"/>
      <x:c r="S65" s="55"/>
      <x:c r="T65" s="55"/>
      <x:c r="U65" s="56"/>
      <x:c r="V65" s="55"/>
      <x:c r="X65" t="n">
        <x:f>IF(OR(A65="",D65=""),0,IF(COUNTIFS($A$17:A65,A65,$D$17:D65,D65)=1,1,0))</x:f>
        <x:v>0</x:v>
      </x:c>
      <x:c r="Y65" t="n">
        <x:f>IF(X65=0,0,IF(OR(ISNUMBER(J65),K65="Submitted",K65="Under review",K65="Comments received",K65="Resubmitted",K65="Approved"),1,0))</x:f>
        <x:v>0</x:v>
      </x:c>
      <x:c r="Z65" t="n">
        <x:f>IF(X65=0,0,IF(K65="Approved",1,0))</x:f>
        <x:v>0</x:v>
      </x:c>
      <x:c r="AA65" t="n">
        <x:f>IF(X65=0,0,1-Y65)</x:f>
        <x:v>0</x:v>
      </x:c>
    </x:row>
    <x:row r="66" ht="28" customHeight="1">
      <x:c r="A66" s="55"/>
      <x:c r="B66" s="55"/>
      <x:c r="C66" s="60"/>
      <x:c r="D66" s="55"/>
      <x:c r="E66" s="55"/>
      <x:c r="F66" s="55"/>
      <x:c r="G66" s="55"/>
      <x:c r="H66" s="56"/>
      <x:c r="I66" s="56"/>
      <x:c r="J66" s="56"/>
      <x:c r="K66" s="55"/>
      <x:c r="L66" s="55"/>
      <x:c r="M66" s="56"/>
      <x:c r="N66" s="56"/>
      <x:c r="O66" s="56"/>
      <x:c r="P66" s="55"/>
      <x:c r="Q66" s="55"/>
      <x:c r="R66" s="55"/>
      <x:c r="S66" s="55"/>
      <x:c r="T66" s="55"/>
      <x:c r="U66" s="56"/>
      <x:c r="V66" s="55"/>
      <x:c r="X66" t="n">
        <x:f>IF(OR(A66="",D66=""),0,IF(COUNTIFS($A$17:A66,A66,$D$17:D66,D66)=1,1,0))</x:f>
        <x:v>0</x:v>
      </x:c>
      <x:c r="Y66" t="n">
        <x:f>IF(X66=0,0,IF(OR(ISNUMBER(J66),K66="Submitted",K66="Under review",K66="Comments received",K66="Resubmitted",K66="Approved"),1,0))</x:f>
        <x:v>0</x:v>
      </x:c>
      <x:c r="Z66" t="n">
        <x:f>IF(X66=0,0,IF(K66="Approved",1,0))</x:f>
        <x:v>0</x:v>
      </x:c>
      <x:c r="AA66" t="n">
        <x:f>IF(X66=0,0,1-Y66)</x:f>
        <x:v>0</x:v>
      </x:c>
    </x:row>
    <x:row r="67" ht="28" customHeight="1">
      <x:c r="A67" s="55"/>
      <x:c r="B67" s="55"/>
      <x:c r="C67" s="60"/>
      <x:c r="D67" s="55"/>
      <x:c r="E67" s="55"/>
      <x:c r="F67" s="55"/>
      <x:c r="G67" s="55"/>
      <x:c r="H67" s="56"/>
      <x:c r="I67" s="56"/>
      <x:c r="J67" s="56"/>
      <x:c r="K67" s="55"/>
      <x:c r="L67" s="55"/>
      <x:c r="M67" s="56"/>
      <x:c r="N67" s="56"/>
      <x:c r="O67" s="56"/>
      <x:c r="P67" s="55"/>
      <x:c r="Q67" s="55"/>
      <x:c r="R67" s="55"/>
      <x:c r="S67" s="55"/>
      <x:c r="T67" s="55"/>
      <x:c r="U67" s="56"/>
      <x:c r="V67" s="55"/>
      <x:c r="X67" t="n">
        <x:f>IF(OR(A67="",D67=""),0,IF(COUNTIFS($A$17:A67,A67,$D$17:D67,D67)=1,1,0))</x:f>
        <x:v>0</x:v>
      </x:c>
      <x:c r="Y67" t="n">
        <x:f>IF(X67=0,0,IF(OR(ISNUMBER(J67),K67="Submitted",K67="Under review",K67="Comments received",K67="Resubmitted",K67="Approved"),1,0))</x:f>
        <x:v>0</x:v>
      </x:c>
      <x:c r="Z67" t="n">
        <x:f>IF(X67=0,0,IF(K67="Approved",1,0))</x:f>
        <x:v>0</x:v>
      </x:c>
      <x:c r="AA67" t="n">
        <x:f>IF(X67=0,0,1-Y67)</x:f>
        <x:v>0</x:v>
      </x:c>
    </x:row>
    <x:row r="68" ht="28" customHeight="1">
      <x:c r="A68" s="55"/>
      <x:c r="B68" s="55"/>
      <x:c r="C68" s="60"/>
      <x:c r="D68" s="55"/>
      <x:c r="E68" s="55"/>
      <x:c r="F68" s="55"/>
      <x:c r="G68" s="55"/>
      <x:c r="H68" s="56"/>
      <x:c r="I68" s="56"/>
      <x:c r="J68" s="56"/>
      <x:c r="K68" s="55"/>
      <x:c r="L68" s="55"/>
      <x:c r="M68" s="56"/>
      <x:c r="N68" s="56"/>
      <x:c r="O68" s="56"/>
      <x:c r="P68" s="55"/>
      <x:c r="Q68" s="55"/>
      <x:c r="R68" s="55"/>
      <x:c r="S68" s="55"/>
      <x:c r="T68" s="55"/>
      <x:c r="U68" s="56"/>
      <x:c r="V68" s="55"/>
      <x:c r="X68" t="n">
        <x:f>IF(OR(A68="",D68=""),0,IF(COUNTIFS($A$17:A68,A68,$D$17:D68,D68)=1,1,0))</x:f>
        <x:v>0</x:v>
      </x:c>
      <x:c r="Y68" t="n">
        <x:f>IF(X68=0,0,IF(OR(ISNUMBER(J68),K68="Submitted",K68="Under review",K68="Comments received",K68="Resubmitted",K68="Approved"),1,0))</x:f>
        <x:v>0</x:v>
      </x:c>
      <x:c r="Z68" t="n">
        <x:f>IF(X68=0,0,IF(K68="Approved",1,0))</x:f>
        <x:v>0</x:v>
      </x:c>
      <x:c r="AA68" t="n">
        <x:f>IF(X68=0,0,1-Y68)</x:f>
        <x:v>0</x:v>
      </x:c>
    </x:row>
    <x:row r="69" ht="28" customHeight="1">
      <x:c r="A69" s="55"/>
      <x:c r="B69" s="55"/>
      <x:c r="C69" s="60"/>
      <x:c r="D69" s="55"/>
      <x:c r="E69" s="55"/>
      <x:c r="F69" s="55"/>
      <x:c r="G69" s="55"/>
      <x:c r="H69" s="56"/>
      <x:c r="I69" s="56"/>
      <x:c r="J69" s="56"/>
      <x:c r="K69" s="55"/>
      <x:c r="L69" s="55"/>
      <x:c r="M69" s="56"/>
      <x:c r="N69" s="56"/>
      <x:c r="O69" s="56"/>
      <x:c r="P69" s="55"/>
      <x:c r="Q69" s="55"/>
      <x:c r="R69" s="55"/>
      <x:c r="S69" s="55"/>
      <x:c r="T69" s="55"/>
      <x:c r="U69" s="56"/>
      <x:c r="V69" s="55"/>
      <x:c r="X69" t="n">
        <x:f>IF(OR(A69="",D69=""),0,IF(COUNTIFS($A$17:A69,A69,$D$17:D69,D69)=1,1,0))</x:f>
        <x:v>0</x:v>
      </x:c>
      <x:c r="Y69" t="n">
        <x:f>IF(X69=0,0,IF(OR(ISNUMBER(J69),K69="Submitted",K69="Under review",K69="Comments received",K69="Resubmitted",K69="Approved"),1,0))</x:f>
        <x:v>0</x:v>
      </x:c>
      <x:c r="Z69" t="n">
        <x:f>IF(X69=0,0,IF(K69="Approved",1,0))</x:f>
        <x:v>0</x:v>
      </x:c>
      <x:c r="AA69" t="n">
        <x:f>IF(X69=0,0,1-Y69)</x:f>
        <x:v>0</x:v>
      </x:c>
    </x:row>
    <x:row r="70" ht="28" customHeight="1">
      <x:c r="A70" s="55"/>
      <x:c r="B70" s="55"/>
      <x:c r="C70" s="60"/>
      <x:c r="D70" s="55"/>
      <x:c r="E70" s="55"/>
      <x:c r="F70" s="55"/>
      <x:c r="G70" s="55"/>
      <x:c r="H70" s="56"/>
      <x:c r="I70" s="56"/>
      <x:c r="J70" s="56"/>
      <x:c r="K70" s="55"/>
      <x:c r="L70" s="55"/>
      <x:c r="M70" s="56"/>
      <x:c r="N70" s="56"/>
      <x:c r="O70" s="56"/>
      <x:c r="P70" s="55"/>
      <x:c r="Q70" s="55"/>
      <x:c r="R70" s="55"/>
      <x:c r="S70" s="55"/>
      <x:c r="T70" s="55"/>
      <x:c r="U70" s="56"/>
      <x:c r="V70" s="55"/>
      <x:c r="X70" t="n">
        <x:f>IF(OR(A70="",D70=""),0,IF(COUNTIFS($A$17:A70,A70,$D$17:D70,D70)=1,1,0))</x:f>
        <x:v>0</x:v>
      </x:c>
      <x:c r="Y70" t="n">
        <x:f>IF(X70=0,0,IF(OR(ISNUMBER(J70),K70="Submitted",K70="Under review",K70="Comments received",K70="Resubmitted",K70="Approved"),1,0))</x:f>
        <x:v>0</x:v>
      </x:c>
      <x:c r="Z70" t="n">
        <x:f>IF(X70=0,0,IF(K70="Approved",1,0))</x:f>
        <x:v>0</x:v>
      </x:c>
      <x:c r="AA70" t="n">
        <x:f>IF(X70=0,0,1-Y70)</x:f>
        <x:v>0</x:v>
      </x:c>
    </x:row>
    <x:row r="71" ht="28" customHeight="1">
      <x:c r="A71" s="55"/>
      <x:c r="B71" s="55"/>
      <x:c r="C71" s="60"/>
      <x:c r="D71" s="55"/>
      <x:c r="E71" s="55"/>
      <x:c r="F71" s="55"/>
      <x:c r="G71" s="55"/>
      <x:c r="H71" s="56"/>
      <x:c r="I71" s="56"/>
      <x:c r="J71" s="56"/>
      <x:c r="K71" s="55"/>
      <x:c r="L71" s="55"/>
      <x:c r="M71" s="56"/>
      <x:c r="N71" s="56"/>
      <x:c r="O71" s="56"/>
      <x:c r="P71" s="55"/>
      <x:c r="Q71" s="55"/>
      <x:c r="R71" s="55"/>
      <x:c r="S71" s="55"/>
      <x:c r="T71" s="55"/>
      <x:c r="U71" s="56"/>
      <x:c r="V71" s="55"/>
      <x:c r="X71" t="n">
        <x:f>IF(OR(A71="",D71=""),0,IF(COUNTIFS($A$17:A71,A71,$D$17:D71,D71)=1,1,0))</x:f>
        <x:v>0</x:v>
      </x:c>
      <x:c r="Y71" t="n">
        <x:f>IF(X71=0,0,IF(OR(ISNUMBER(J71),K71="Submitted",K71="Under review",K71="Comments received",K71="Resubmitted",K71="Approved"),1,0))</x:f>
        <x:v>0</x:v>
      </x:c>
      <x:c r="Z71" t="n">
        <x:f>IF(X71=0,0,IF(K71="Approved",1,0))</x:f>
        <x:v>0</x:v>
      </x:c>
      <x:c r="AA71" t="n">
        <x:f>IF(X71=0,0,1-Y71)</x:f>
        <x:v>0</x:v>
      </x:c>
    </x:row>
    <x:row r="72" ht="28" customHeight="1">
      <x:c r="A72" s="55"/>
      <x:c r="B72" s="55"/>
      <x:c r="C72" s="60"/>
      <x:c r="D72" s="55"/>
      <x:c r="E72" s="55"/>
      <x:c r="F72" s="55"/>
      <x:c r="G72" s="55"/>
      <x:c r="H72" s="56"/>
      <x:c r="I72" s="56"/>
      <x:c r="J72" s="56"/>
      <x:c r="K72" s="55"/>
      <x:c r="L72" s="55"/>
      <x:c r="M72" s="56"/>
      <x:c r="N72" s="56"/>
      <x:c r="O72" s="56"/>
      <x:c r="P72" s="55"/>
      <x:c r="Q72" s="55"/>
      <x:c r="R72" s="55"/>
      <x:c r="S72" s="55"/>
      <x:c r="T72" s="55"/>
      <x:c r="U72" s="56"/>
      <x:c r="V72" s="55"/>
      <x:c r="X72" t="n">
        <x:f>IF(OR(A72="",D72=""),0,IF(COUNTIFS($A$17:A72,A72,$D$17:D72,D72)=1,1,0))</x:f>
        <x:v>0</x:v>
      </x:c>
      <x:c r="Y72" t="n">
        <x:f>IF(X72=0,0,IF(OR(ISNUMBER(J72),K72="Submitted",K72="Under review",K72="Comments received",K72="Resubmitted",K72="Approved"),1,0))</x:f>
        <x:v>0</x:v>
      </x:c>
      <x:c r="Z72" t="n">
        <x:f>IF(X72=0,0,IF(K72="Approved",1,0))</x:f>
        <x:v>0</x:v>
      </x:c>
      <x:c r="AA72" t="n">
        <x:f>IF(X72=0,0,1-Y72)</x:f>
        <x:v>0</x:v>
      </x:c>
    </x:row>
    <x:row r="73" ht="28" customHeight="1">
      <x:c r="A73" s="55"/>
      <x:c r="B73" s="55"/>
      <x:c r="C73" s="60"/>
      <x:c r="D73" s="55"/>
      <x:c r="E73" s="55"/>
      <x:c r="F73" s="55"/>
      <x:c r="G73" s="55"/>
      <x:c r="H73" s="56"/>
      <x:c r="I73" s="56"/>
      <x:c r="J73" s="56"/>
      <x:c r="K73" s="55"/>
      <x:c r="L73" s="55"/>
      <x:c r="M73" s="56"/>
      <x:c r="N73" s="56"/>
      <x:c r="O73" s="56"/>
      <x:c r="P73" s="55"/>
      <x:c r="Q73" s="55"/>
      <x:c r="R73" s="55"/>
      <x:c r="S73" s="55"/>
      <x:c r="T73" s="55"/>
      <x:c r="U73" s="56"/>
      <x:c r="V73" s="55"/>
      <x:c r="X73" t="n">
        <x:f>IF(OR(A73="",D73=""),0,IF(COUNTIFS($A$17:A73,A73,$D$17:D73,D73)=1,1,0))</x:f>
        <x:v>0</x:v>
      </x:c>
      <x:c r="Y73" t="n">
        <x:f>IF(X73=0,0,IF(OR(ISNUMBER(J73),K73="Submitted",K73="Under review",K73="Comments received",K73="Resubmitted",K73="Approved"),1,0))</x:f>
        <x:v>0</x:v>
      </x:c>
      <x:c r="Z73" t="n">
        <x:f>IF(X73=0,0,IF(K73="Approved",1,0))</x:f>
        <x:v>0</x:v>
      </x:c>
      <x:c r="AA73" t="n">
        <x:f>IF(X73=0,0,1-Y73)</x:f>
        <x:v>0</x:v>
      </x:c>
    </x:row>
    <x:row r="74" ht="28" customHeight="1">
      <x:c r="A74" s="55"/>
      <x:c r="B74" s="55"/>
      <x:c r="C74" s="60"/>
      <x:c r="D74" s="55"/>
      <x:c r="E74" s="55"/>
      <x:c r="F74" s="55"/>
      <x:c r="G74" s="55"/>
      <x:c r="H74" s="56"/>
      <x:c r="I74" s="56"/>
      <x:c r="J74" s="56"/>
      <x:c r="K74" s="55"/>
      <x:c r="L74" s="55"/>
      <x:c r="M74" s="56"/>
      <x:c r="N74" s="56"/>
      <x:c r="O74" s="56"/>
      <x:c r="P74" s="55"/>
      <x:c r="Q74" s="55"/>
      <x:c r="R74" s="55"/>
      <x:c r="S74" s="55"/>
      <x:c r="T74" s="55"/>
      <x:c r="U74" s="56"/>
      <x:c r="V74" s="55"/>
      <x:c r="X74" t="n">
        <x:f>IF(OR(A74="",D74=""),0,IF(COUNTIFS($A$17:A74,A74,$D$17:D74,D74)=1,1,0))</x:f>
        <x:v>0</x:v>
      </x:c>
      <x:c r="Y74" t="n">
        <x:f>IF(X74=0,0,IF(OR(ISNUMBER(J74),K74="Submitted",K74="Under review",K74="Comments received",K74="Resubmitted",K74="Approved"),1,0))</x:f>
        <x:v>0</x:v>
      </x:c>
      <x:c r="Z74" t="n">
        <x:f>IF(X74=0,0,IF(K74="Approved",1,0))</x:f>
        <x:v>0</x:v>
      </x:c>
      <x:c r="AA74" t="n">
        <x:f>IF(X74=0,0,1-Y74)</x:f>
        <x:v>0</x:v>
      </x:c>
    </x:row>
    <x:row r="75" ht="28" customHeight="1">
      <x:c r="A75" s="55"/>
      <x:c r="B75" s="55"/>
      <x:c r="C75" s="60"/>
      <x:c r="D75" s="55"/>
      <x:c r="E75" s="55"/>
      <x:c r="F75" s="55"/>
      <x:c r="G75" s="55"/>
      <x:c r="H75" s="56"/>
      <x:c r="I75" s="56"/>
      <x:c r="J75" s="56"/>
      <x:c r="K75" s="55"/>
      <x:c r="L75" s="55"/>
      <x:c r="M75" s="56"/>
      <x:c r="N75" s="56"/>
      <x:c r="O75" s="56"/>
      <x:c r="P75" s="55"/>
      <x:c r="Q75" s="55"/>
      <x:c r="R75" s="55"/>
      <x:c r="S75" s="55"/>
      <x:c r="T75" s="55"/>
      <x:c r="U75" s="56"/>
      <x:c r="V75" s="55"/>
      <x:c r="X75" t="n">
        <x:f>IF(OR(A75="",D75=""),0,IF(COUNTIFS($A$17:A75,A75,$D$17:D75,D75)=1,1,0))</x:f>
        <x:v>0</x:v>
      </x:c>
      <x:c r="Y75" t="n">
        <x:f>IF(X75=0,0,IF(OR(ISNUMBER(J75),K75="Submitted",K75="Under review",K75="Comments received",K75="Resubmitted",K75="Approved"),1,0))</x:f>
        <x:v>0</x:v>
      </x:c>
      <x:c r="Z75" t="n">
        <x:f>IF(X75=0,0,IF(K75="Approved",1,0))</x:f>
        <x:v>0</x:v>
      </x:c>
      <x:c r="AA75" t="n">
        <x:f>IF(X75=0,0,1-Y75)</x:f>
        <x:v>0</x:v>
      </x:c>
    </x:row>
    <x:row r="76" ht="28" customHeight="1">
      <x:c r="A76" s="55"/>
      <x:c r="B76" s="55"/>
      <x:c r="C76" s="60"/>
      <x:c r="D76" s="55"/>
      <x:c r="E76" s="55"/>
      <x:c r="F76" s="55"/>
      <x:c r="G76" s="55"/>
      <x:c r="H76" s="56"/>
      <x:c r="I76" s="56"/>
      <x:c r="J76" s="56"/>
      <x:c r="K76" s="55"/>
      <x:c r="L76" s="55"/>
      <x:c r="M76" s="56"/>
      <x:c r="N76" s="56"/>
      <x:c r="O76" s="56"/>
      <x:c r="P76" s="55"/>
      <x:c r="Q76" s="55"/>
      <x:c r="R76" s="55"/>
      <x:c r="S76" s="55"/>
      <x:c r="T76" s="55"/>
      <x:c r="U76" s="56"/>
      <x:c r="V76" s="55"/>
      <x:c r="X76" t="n">
        <x:f>IF(OR(A76="",D76=""),0,IF(COUNTIFS($A$17:A76,A76,$D$17:D76,D76)=1,1,0))</x:f>
        <x:v>0</x:v>
      </x:c>
      <x:c r="Y76" t="n">
        <x:f>IF(X76=0,0,IF(OR(ISNUMBER(J76),K76="Submitted",K76="Under review",K76="Comments received",K76="Resubmitted",K76="Approved"),1,0))</x:f>
        <x:v>0</x:v>
      </x:c>
      <x:c r="Z76" t="n">
        <x:f>IF(X76=0,0,IF(K76="Approved",1,0))</x:f>
        <x:v>0</x:v>
      </x:c>
      <x:c r="AA76" t="n">
        <x:f>IF(X76=0,0,1-Y76)</x:f>
        <x:v>0</x:v>
      </x:c>
    </x:row>
    <x:row r="77" ht="28" customHeight="1">
      <x:c r="A77" s="55"/>
      <x:c r="B77" s="55"/>
      <x:c r="C77" s="60"/>
      <x:c r="D77" s="55"/>
      <x:c r="E77" s="55"/>
      <x:c r="F77" s="55"/>
      <x:c r="G77" s="55"/>
      <x:c r="H77" s="56"/>
      <x:c r="I77" s="56"/>
      <x:c r="J77" s="56"/>
      <x:c r="K77" s="55"/>
      <x:c r="L77" s="55"/>
      <x:c r="M77" s="56"/>
      <x:c r="N77" s="56"/>
      <x:c r="O77" s="56"/>
      <x:c r="P77" s="55"/>
      <x:c r="Q77" s="55"/>
      <x:c r="R77" s="55"/>
      <x:c r="S77" s="55"/>
      <x:c r="T77" s="55"/>
      <x:c r="U77" s="56"/>
      <x:c r="V77" s="55"/>
      <x:c r="X77" t="n">
        <x:f>IF(OR(A77="",D77=""),0,IF(COUNTIFS($A$17:A77,A77,$D$17:D77,D77)=1,1,0))</x:f>
        <x:v>0</x:v>
      </x:c>
      <x:c r="Y77" t="n">
        <x:f>IF(X77=0,0,IF(OR(ISNUMBER(J77),K77="Submitted",K77="Under review",K77="Comments received",K77="Resubmitted",K77="Approved"),1,0))</x:f>
        <x:v>0</x:v>
      </x:c>
      <x:c r="Z77" t="n">
        <x:f>IF(X77=0,0,IF(K77="Approved",1,0))</x:f>
        <x:v>0</x:v>
      </x:c>
      <x:c r="AA77" t="n">
        <x:f>IF(X77=0,0,1-Y77)</x:f>
        <x:v>0</x:v>
      </x:c>
    </x:row>
    <x:row r="78" ht="28" customHeight="1">
      <x:c r="A78" s="55"/>
      <x:c r="B78" s="55"/>
      <x:c r="C78" s="60"/>
      <x:c r="D78" s="55"/>
      <x:c r="E78" s="55"/>
      <x:c r="F78" s="55"/>
      <x:c r="G78" s="55"/>
      <x:c r="H78" s="56"/>
      <x:c r="I78" s="56"/>
      <x:c r="J78" s="56"/>
      <x:c r="K78" s="55"/>
      <x:c r="L78" s="55"/>
      <x:c r="M78" s="56"/>
      <x:c r="N78" s="56"/>
      <x:c r="O78" s="56"/>
      <x:c r="P78" s="55"/>
      <x:c r="Q78" s="55"/>
      <x:c r="R78" s="55"/>
      <x:c r="S78" s="55"/>
      <x:c r="T78" s="55"/>
      <x:c r="U78" s="56"/>
      <x:c r="V78" s="55"/>
      <x:c r="X78" t="n">
        <x:f>IF(OR(A78="",D78=""),0,IF(COUNTIFS($A$17:A78,A78,$D$17:D78,D78)=1,1,0))</x:f>
        <x:v>0</x:v>
      </x:c>
      <x:c r="Y78" t="n">
        <x:f>IF(X78=0,0,IF(OR(ISNUMBER(J78),K78="Submitted",K78="Under review",K78="Comments received",K78="Resubmitted",K78="Approved"),1,0))</x:f>
        <x:v>0</x:v>
      </x:c>
      <x:c r="Z78" t="n">
        <x:f>IF(X78=0,0,IF(K78="Approved",1,0))</x:f>
        <x:v>0</x:v>
      </x:c>
      <x:c r="AA78" t="n">
        <x:f>IF(X78=0,0,1-Y78)</x:f>
        <x:v>0</x:v>
      </x:c>
    </x:row>
    <x:row r="79" ht="28" customHeight="1">
      <x:c r="A79" s="55"/>
      <x:c r="B79" s="55"/>
      <x:c r="C79" s="60"/>
      <x:c r="D79" s="55"/>
      <x:c r="E79" s="55"/>
      <x:c r="F79" s="55"/>
      <x:c r="G79" s="55"/>
      <x:c r="H79" s="56"/>
      <x:c r="I79" s="56"/>
      <x:c r="J79" s="56"/>
      <x:c r="K79" s="55"/>
      <x:c r="L79" s="55"/>
      <x:c r="M79" s="56"/>
      <x:c r="N79" s="56"/>
      <x:c r="O79" s="56"/>
      <x:c r="P79" s="55"/>
      <x:c r="Q79" s="55"/>
      <x:c r="R79" s="55"/>
      <x:c r="S79" s="55"/>
      <x:c r="T79" s="55"/>
      <x:c r="U79" s="56"/>
      <x:c r="V79" s="55"/>
      <x:c r="X79" t="n">
        <x:f>IF(OR(A79="",D79=""),0,IF(COUNTIFS($A$17:A79,A79,$D$17:D79,D79)=1,1,0))</x:f>
        <x:v>0</x:v>
      </x:c>
      <x:c r="Y79" t="n">
        <x:f>IF(X79=0,0,IF(OR(ISNUMBER(J79),K79="Submitted",K79="Under review",K79="Comments received",K79="Resubmitted",K79="Approved"),1,0))</x:f>
        <x:v>0</x:v>
      </x:c>
      <x:c r="Z79" t="n">
        <x:f>IF(X79=0,0,IF(K79="Approved",1,0))</x:f>
        <x:v>0</x:v>
      </x:c>
      <x:c r="AA79" t="n">
        <x:f>IF(X79=0,0,1-Y79)</x:f>
        <x:v>0</x:v>
      </x:c>
    </x:row>
    <x:row r="80" ht="28" customHeight="1">
      <x:c r="A80" s="55"/>
      <x:c r="B80" s="55"/>
      <x:c r="C80" s="60"/>
      <x:c r="D80" s="55"/>
      <x:c r="E80" s="55"/>
      <x:c r="F80" s="55"/>
      <x:c r="G80" s="55"/>
      <x:c r="H80" s="56"/>
      <x:c r="I80" s="56"/>
      <x:c r="J80" s="56"/>
      <x:c r="K80" s="55"/>
      <x:c r="L80" s="55"/>
      <x:c r="M80" s="56"/>
      <x:c r="N80" s="56"/>
      <x:c r="O80" s="56"/>
      <x:c r="P80" s="55"/>
      <x:c r="Q80" s="55"/>
      <x:c r="R80" s="55"/>
      <x:c r="S80" s="55"/>
      <x:c r="T80" s="55"/>
      <x:c r="U80" s="56"/>
      <x:c r="V80" s="55"/>
      <x:c r="X80" t="n">
        <x:f>IF(OR(A80="",D80=""),0,IF(COUNTIFS($A$17:A80,A80,$D$17:D80,D80)=1,1,0))</x:f>
        <x:v>0</x:v>
      </x:c>
      <x:c r="Y80" t="n">
        <x:f>IF(X80=0,0,IF(OR(ISNUMBER(J80),K80="Submitted",K80="Under review",K80="Comments received",K80="Resubmitted",K80="Approved"),1,0))</x:f>
        <x:v>0</x:v>
      </x:c>
      <x:c r="Z80" t="n">
        <x:f>IF(X80=0,0,IF(K80="Approved",1,0))</x:f>
        <x:v>0</x:v>
      </x:c>
      <x:c r="AA80" t="n">
        <x:f>IF(X80=0,0,1-Y80)</x:f>
        <x:v>0</x:v>
      </x:c>
    </x:row>
    <x:row r="81" ht="28" customHeight="1">
      <x:c r="A81" s="55"/>
      <x:c r="B81" s="55"/>
      <x:c r="C81" s="60"/>
      <x:c r="D81" s="55"/>
      <x:c r="E81" s="55"/>
      <x:c r="F81" s="55"/>
      <x:c r="G81" s="55"/>
      <x:c r="H81" s="56"/>
      <x:c r="I81" s="56"/>
      <x:c r="J81" s="56"/>
      <x:c r="K81" s="55"/>
      <x:c r="L81" s="55"/>
      <x:c r="M81" s="56"/>
      <x:c r="N81" s="56"/>
      <x:c r="O81" s="56"/>
      <x:c r="P81" s="55"/>
      <x:c r="Q81" s="55"/>
      <x:c r="R81" s="55"/>
      <x:c r="S81" s="55"/>
      <x:c r="T81" s="55"/>
      <x:c r="U81" s="56"/>
      <x:c r="V81" s="55"/>
      <x:c r="X81" t="n">
        <x:f>IF(OR(A81="",D81=""),0,IF(COUNTIFS($A$17:A81,A81,$D$17:D81,D81)=1,1,0))</x:f>
        <x:v>0</x:v>
      </x:c>
      <x:c r="Y81" t="n">
        <x:f>IF(X81=0,0,IF(OR(ISNUMBER(J81),K81="Submitted",K81="Under review",K81="Comments received",K81="Resubmitted",K81="Approved"),1,0))</x:f>
        <x:v>0</x:v>
      </x:c>
      <x:c r="Z81" t="n">
        <x:f>IF(X81=0,0,IF(K81="Approved",1,0))</x:f>
        <x:v>0</x:v>
      </x:c>
      <x:c r="AA81" t="n">
        <x:f>IF(X81=0,0,1-Y81)</x:f>
        <x:v>0</x:v>
      </x:c>
    </x:row>
    <x:row r="82" ht="28" customHeight="1">
      <x:c r="A82" s="55"/>
      <x:c r="B82" s="55"/>
      <x:c r="C82" s="60"/>
      <x:c r="D82" s="55"/>
      <x:c r="E82" s="55"/>
      <x:c r="F82" s="55"/>
      <x:c r="G82" s="55"/>
      <x:c r="H82" s="56"/>
      <x:c r="I82" s="56"/>
      <x:c r="J82" s="56"/>
      <x:c r="K82" s="55"/>
      <x:c r="L82" s="55"/>
      <x:c r="M82" s="56"/>
      <x:c r="N82" s="56"/>
      <x:c r="O82" s="56"/>
      <x:c r="P82" s="55"/>
      <x:c r="Q82" s="55"/>
      <x:c r="R82" s="55"/>
      <x:c r="S82" s="55"/>
      <x:c r="T82" s="55"/>
      <x:c r="U82" s="56"/>
      <x:c r="V82" s="55"/>
      <x:c r="X82" t="n">
        <x:f>IF(OR(A82="",D82=""),0,IF(COUNTIFS($A$17:A82,A82,$D$17:D82,D82)=1,1,0))</x:f>
        <x:v>0</x:v>
      </x:c>
      <x:c r="Y82" t="n">
        <x:f>IF(X82=0,0,IF(OR(ISNUMBER(J82),K82="Submitted",K82="Under review",K82="Comments received",K82="Resubmitted",K82="Approved"),1,0))</x:f>
        <x:v>0</x:v>
      </x:c>
      <x:c r="Z82" t="n">
        <x:f>IF(X82=0,0,IF(K82="Approved",1,0))</x:f>
        <x:v>0</x:v>
      </x:c>
      <x:c r="AA82" t="n">
        <x:f>IF(X82=0,0,1-Y82)</x:f>
        <x:v>0</x:v>
      </x:c>
    </x:row>
    <x:row r="83" ht="28" customHeight="1">
      <x:c r="A83" s="55"/>
      <x:c r="B83" s="55"/>
      <x:c r="C83" s="60"/>
      <x:c r="D83" s="55"/>
      <x:c r="E83" s="55"/>
      <x:c r="F83" s="55"/>
      <x:c r="G83" s="55"/>
      <x:c r="H83" s="56"/>
      <x:c r="I83" s="56"/>
      <x:c r="J83" s="56"/>
      <x:c r="K83" s="55"/>
      <x:c r="L83" s="55"/>
      <x:c r="M83" s="56"/>
      <x:c r="N83" s="56"/>
      <x:c r="O83" s="56"/>
      <x:c r="P83" s="55"/>
      <x:c r="Q83" s="55"/>
      <x:c r="R83" s="55"/>
      <x:c r="S83" s="55"/>
      <x:c r="T83" s="55"/>
      <x:c r="U83" s="56"/>
      <x:c r="V83" s="55"/>
      <x:c r="X83" t="n">
        <x:f>IF(OR(A83="",D83=""),0,IF(COUNTIFS($A$17:A83,A83,$D$17:D83,D83)=1,1,0))</x:f>
        <x:v>0</x:v>
      </x:c>
      <x:c r="Y83" t="n">
        <x:f>IF(X83=0,0,IF(OR(ISNUMBER(J83),K83="Submitted",K83="Under review",K83="Comments received",K83="Resubmitted",K83="Approved"),1,0))</x:f>
        <x:v>0</x:v>
      </x:c>
      <x:c r="Z83" t="n">
        <x:f>IF(X83=0,0,IF(K83="Approved",1,0))</x:f>
        <x:v>0</x:v>
      </x:c>
      <x:c r="AA83" t="n">
        <x:f>IF(X83=0,0,1-Y83)</x:f>
        <x:v>0</x:v>
      </x:c>
    </x:row>
    <x:row r="84" ht="28" customHeight="1">
      <x:c r="A84" s="55"/>
      <x:c r="B84" s="55"/>
      <x:c r="C84" s="60"/>
      <x:c r="D84" s="55"/>
      <x:c r="E84" s="55"/>
      <x:c r="F84" s="55"/>
      <x:c r="G84" s="55"/>
      <x:c r="H84" s="56"/>
      <x:c r="I84" s="56"/>
      <x:c r="J84" s="56"/>
      <x:c r="K84" s="55"/>
      <x:c r="L84" s="55"/>
      <x:c r="M84" s="56"/>
      <x:c r="N84" s="56"/>
      <x:c r="O84" s="56"/>
      <x:c r="P84" s="55"/>
      <x:c r="Q84" s="55"/>
      <x:c r="R84" s="55"/>
      <x:c r="S84" s="55"/>
      <x:c r="T84" s="55"/>
      <x:c r="U84" s="56"/>
      <x:c r="V84" s="55"/>
      <x:c r="X84" t="n">
        <x:f>IF(OR(A84="",D84=""),0,IF(COUNTIFS($A$17:A84,A84,$D$17:D84,D84)=1,1,0))</x:f>
        <x:v>0</x:v>
      </x:c>
      <x:c r="Y84" t="n">
        <x:f>IF(X84=0,0,IF(OR(ISNUMBER(J84),K84="Submitted",K84="Under review",K84="Comments received",K84="Resubmitted",K84="Approved"),1,0))</x:f>
        <x:v>0</x:v>
      </x:c>
      <x:c r="Z84" t="n">
        <x:f>IF(X84=0,0,IF(K84="Approved",1,0))</x:f>
        <x:v>0</x:v>
      </x:c>
      <x:c r="AA84" t="n">
        <x:f>IF(X84=0,0,1-Y84)</x:f>
        <x:v>0</x:v>
      </x:c>
    </x:row>
    <x:row r="85" ht="28" customHeight="1">
      <x:c r="A85" s="55"/>
      <x:c r="B85" s="55"/>
      <x:c r="C85" s="60"/>
      <x:c r="D85" s="55"/>
      <x:c r="E85" s="55"/>
      <x:c r="F85" s="55"/>
      <x:c r="G85" s="55"/>
      <x:c r="H85" s="56"/>
      <x:c r="I85" s="56"/>
      <x:c r="J85" s="56"/>
      <x:c r="K85" s="55"/>
      <x:c r="L85" s="55"/>
      <x:c r="M85" s="56"/>
      <x:c r="N85" s="56"/>
      <x:c r="O85" s="56"/>
      <x:c r="P85" s="55"/>
      <x:c r="Q85" s="55"/>
      <x:c r="R85" s="55"/>
      <x:c r="S85" s="55"/>
      <x:c r="T85" s="55"/>
      <x:c r="U85" s="56"/>
      <x:c r="V85" s="55"/>
      <x:c r="X85" t="n">
        <x:f>IF(OR(A85="",D85=""),0,IF(COUNTIFS($A$17:A85,A85,$D$17:D85,D85)=1,1,0))</x:f>
        <x:v>0</x:v>
      </x:c>
      <x:c r="Y85" t="n">
        <x:f>IF(X85=0,0,IF(OR(ISNUMBER(J85),K85="Submitted",K85="Under review",K85="Comments received",K85="Resubmitted",K85="Approved"),1,0))</x:f>
        <x:v>0</x:v>
      </x:c>
      <x:c r="Z85" t="n">
        <x:f>IF(X85=0,0,IF(K85="Approved",1,0))</x:f>
        <x:v>0</x:v>
      </x:c>
      <x:c r="AA85" t="n">
        <x:f>IF(X85=0,0,1-Y85)</x:f>
        <x:v>0</x:v>
      </x:c>
    </x:row>
    <x:row r="86" ht="28" customHeight="1">
      <x:c r="A86" s="55"/>
      <x:c r="B86" s="55"/>
      <x:c r="C86" s="60"/>
      <x:c r="D86" s="55"/>
      <x:c r="E86" s="55"/>
      <x:c r="F86" s="55"/>
      <x:c r="G86" s="55"/>
      <x:c r="H86" s="56"/>
      <x:c r="I86" s="56"/>
      <x:c r="J86" s="56"/>
      <x:c r="K86" s="55"/>
      <x:c r="L86" s="55"/>
      <x:c r="M86" s="56"/>
      <x:c r="N86" s="56"/>
      <x:c r="O86" s="56"/>
      <x:c r="P86" s="55"/>
      <x:c r="Q86" s="55"/>
      <x:c r="R86" s="55"/>
      <x:c r="S86" s="55"/>
      <x:c r="T86" s="55"/>
      <x:c r="U86" s="56"/>
      <x:c r="V86" s="55"/>
      <x:c r="X86" t="n">
        <x:f>IF(OR(A86="",D86=""),0,IF(COUNTIFS($A$17:A86,A86,$D$17:D86,D86)=1,1,0))</x:f>
        <x:v>0</x:v>
      </x:c>
      <x:c r="Y86" t="n">
        <x:f>IF(X86=0,0,IF(OR(ISNUMBER(J86),K86="Submitted",K86="Under review",K86="Comments received",K86="Resubmitted",K86="Approved"),1,0))</x:f>
        <x:v>0</x:v>
      </x:c>
      <x:c r="Z86" t="n">
        <x:f>IF(X86=0,0,IF(K86="Approved",1,0))</x:f>
        <x:v>0</x:v>
      </x:c>
      <x:c r="AA86" t="n">
        <x:f>IF(X86=0,0,1-Y86)</x:f>
        <x:v>0</x:v>
      </x:c>
    </x:row>
    <x:row r="87" ht="28" customHeight="1">
      <x:c r="A87" s="55"/>
      <x:c r="B87" s="55"/>
      <x:c r="C87" s="60"/>
      <x:c r="D87" s="55"/>
      <x:c r="E87" s="55"/>
      <x:c r="F87" s="55"/>
      <x:c r="G87" s="55"/>
      <x:c r="H87" s="56"/>
      <x:c r="I87" s="56"/>
      <x:c r="J87" s="56"/>
      <x:c r="K87" s="55"/>
      <x:c r="L87" s="55"/>
      <x:c r="M87" s="56"/>
      <x:c r="N87" s="56"/>
      <x:c r="O87" s="56"/>
      <x:c r="P87" s="55"/>
      <x:c r="Q87" s="55"/>
      <x:c r="R87" s="55"/>
      <x:c r="S87" s="55"/>
      <x:c r="T87" s="55"/>
      <x:c r="U87" s="56"/>
      <x:c r="V87" s="55"/>
      <x:c r="X87" t="n">
        <x:f>IF(OR(A87="",D87=""),0,IF(COUNTIFS($A$17:A87,A87,$D$17:D87,D87)=1,1,0))</x:f>
        <x:v>0</x:v>
      </x:c>
      <x:c r="Y87" t="n">
        <x:f>IF(X87=0,0,IF(OR(ISNUMBER(J87),K87="Submitted",K87="Under review",K87="Comments received",K87="Resubmitted",K87="Approved"),1,0))</x:f>
        <x:v>0</x:v>
      </x:c>
      <x:c r="Z87" t="n">
        <x:f>IF(X87=0,0,IF(K87="Approved",1,0))</x:f>
        <x:v>0</x:v>
      </x:c>
      <x:c r="AA87" t="n">
        <x:f>IF(X87=0,0,1-Y87)</x:f>
        <x:v>0</x:v>
      </x:c>
    </x:row>
    <x:row r="88" ht="28" customHeight="1">
      <x:c r="A88" s="55"/>
      <x:c r="B88" s="55"/>
      <x:c r="C88" s="60"/>
      <x:c r="D88" s="55"/>
      <x:c r="E88" s="55"/>
      <x:c r="F88" s="55"/>
      <x:c r="G88" s="55"/>
      <x:c r="H88" s="56"/>
      <x:c r="I88" s="56"/>
      <x:c r="J88" s="56"/>
      <x:c r="K88" s="55"/>
      <x:c r="L88" s="55"/>
      <x:c r="M88" s="56"/>
      <x:c r="N88" s="56"/>
      <x:c r="O88" s="56"/>
      <x:c r="P88" s="55"/>
      <x:c r="Q88" s="55"/>
      <x:c r="R88" s="55"/>
      <x:c r="S88" s="55"/>
      <x:c r="T88" s="55"/>
      <x:c r="U88" s="56"/>
      <x:c r="V88" s="55"/>
      <x:c r="X88" t="n">
        <x:f>IF(OR(A88="",D88=""),0,IF(COUNTIFS($A$17:A88,A88,$D$17:D88,D88)=1,1,0))</x:f>
        <x:v>0</x:v>
      </x:c>
      <x:c r="Y88" t="n">
        <x:f>IF(X88=0,0,IF(OR(ISNUMBER(J88),K88="Submitted",K88="Under review",K88="Comments received",K88="Resubmitted",K88="Approved"),1,0))</x:f>
        <x:v>0</x:v>
      </x:c>
      <x:c r="Z88" t="n">
        <x:f>IF(X88=0,0,IF(K88="Approved",1,0))</x:f>
        <x:v>0</x:v>
      </x:c>
      <x:c r="AA88" t="n">
        <x:f>IF(X88=0,0,1-Y88)</x:f>
        <x:v>0</x:v>
      </x:c>
    </x:row>
    <x:row r="89" ht="28" customHeight="1">
      <x:c r="A89" s="55"/>
      <x:c r="B89" s="55"/>
      <x:c r="C89" s="60"/>
      <x:c r="D89" s="55"/>
      <x:c r="E89" s="55"/>
      <x:c r="F89" s="55"/>
      <x:c r="G89" s="55"/>
      <x:c r="H89" s="56"/>
      <x:c r="I89" s="56"/>
      <x:c r="J89" s="56"/>
      <x:c r="K89" s="55"/>
      <x:c r="L89" s="55"/>
      <x:c r="M89" s="56"/>
      <x:c r="N89" s="56"/>
      <x:c r="O89" s="56"/>
      <x:c r="P89" s="55"/>
      <x:c r="Q89" s="55"/>
      <x:c r="R89" s="55"/>
      <x:c r="S89" s="55"/>
      <x:c r="T89" s="55"/>
      <x:c r="U89" s="56"/>
      <x:c r="V89" s="55"/>
      <x:c r="X89" t="n">
        <x:f>IF(OR(A89="",D89=""),0,IF(COUNTIFS($A$17:A89,A89,$D$17:D89,D89)=1,1,0))</x:f>
        <x:v>0</x:v>
      </x:c>
      <x:c r="Y89" t="n">
        <x:f>IF(X89=0,0,IF(OR(ISNUMBER(J89),K89="Submitted",K89="Under review",K89="Comments received",K89="Resubmitted",K89="Approved"),1,0))</x:f>
        <x:v>0</x:v>
      </x:c>
      <x:c r="Z89" t="n">
        <x:f>IF(X89=0,0,IF(K89="Approved",1,0))</x:f>
        <x:v>0</x:v>
      </x:c>
      <x:c r="AA89" t="n">
        <x:f>IF(X89=0,0,1-Y89)</x:f>
        <x:v>0</x:v>
      </x:c>
    </x:row>
    <x:row r="90" ht="28" customHeight="1">
      <x:c r="A90" s="55"/>
      <x:c r="B90" s="55"/>
      <x:c r="C90" s="60"/>
      <x:c r="D90" s="55"/>
      <x:c r="E90" s="55"/>
      <x:c r="F90" s="55"/>
      <x:c r="G90" s="55"/>
      <x:c r="H90" s="56"/>
      <x:c r="I90" s="56"/>
      <x:c r="J90" s="56"/>
      <x:c r="K90" s="55"/>
      <x:c r="L90" s="55"/>
      <x:c r="M90" s="56"/>
      <x:c r="N90" s="56"/>
      <x:c r="O90" s="56"/>
      <x:c r="P90" s="55"/>
      <x:c r="Q90" s="55"/>
      <x:c r="R90" s="55"/>
      <x:c r="S90" s="55"/>
      <x:c r="T90" s="55"/>
      <x:c r="U90" s="56"/>
      <x:c r="V90" s="55"/>
      <x:c r="X90" t="n">
        <x:f>IF(OR(A90="",D90=""),0,IF(COUNTIFS($A$17:A90,A90,$D$17:D90,D90)=1,1,0))</x:f>
        <x:v>0</x:v>
      </x:c>
      <x:c r="Y90" t="n">
        <x:f>IF(X90=0,0,IF(OR(ISNUMBER(J90),K90="Submitted",K90="Under review",K90="Comments received",K90="Resubmitted",K90="Approved"),1,0))</x:f>
        <x:v>0</x:v>
      </x:c>
      <x:c r="Z90" t="n">
        <x:f>IF(X90=0,0,IF(K90="Approved",1,0))</x:f>
        <x:v>0</x:v>
      </x:c>
      <x:c r="AA90" t="n">
        <x:f>IF(X90=0,0,1-Y90)</x:f>
        <x:v>0</x:v>
      </x:c>
    </x:row>
    <x:row r="91" ht="28" customHeight="1">
      <x:c r="A91" s="55"/>
      <x:c r="B91" s="55"/>
      <x:c r="C91" s="60"/>
      <x:c r="D91" s="55"/>
      <x:c r="E91" s="55"/>
      <x:c r="F91" s="55"/>
      <x:c r="G91" s="55"/>
      <x:c r="H91" s="56"/>
      <x:c r="I91" s="56"/>
      <x:c r="J91" s="56"/>
      <x:c r="K91" s="55"/>
      <x:c r="L91" s="55"/>
      <x:c r="M91" s="56"/>
      <x:c r="N91" s="56"/>
      <x:c r="O91" s="56"/>
      <x:c r="P91" s="55"/>
      <x:c r="Q91" s="55"/>
      <x:c r="R91" s="55"/>
      <x:c r="S91" s="55"/>
      <x:c r="T91" s="55"/>
      <x:c r="U91" s="56"/>
      <x:c r="V91" s="55"/>
      <x:c r="X91" t="n">
        <x:f>IF(OR(A91="",D91=""),0,IF(COUNTIFS($A$17:A91,A91,$D$17:D91,D91)=1,1,0))</x:f>
        <x:v>0</x:v>
      </x:c>
      <x:c r="Y91" t="n">
        <x:f>IF(X91=0,0,IF(OR(ISNUMBER(J91),K91="Submitted",K91="Under review",K91="Comments received",K91="Resubmitted",K91="Approved"),1,0))</x:f>
        <x:v>0</x:v>
      </x:c>
      <x:c r="Z91" t="n">
        <x:f>IF(X91=0,0,IF(K91="Approved",1,0))</x:f>
        <x:v>0</x:v>
      </x:c>
      <x:c r="AA91" t="n">
        <x:f>IF(X91=0,0,1-Y91)</x:f>
        <x:v>0</x:v>
      </x:c>
    </x:row>
    <x:row r="92" ht="28" customHeight="1">
      <x:c r="A92" s="55"/>
      <x:c r="B92" s="55"/>
      <x:c r="C92" s="60"/>
      <x:c r="D92" s="55"/>
      <x:c r="E92" s="55"/>
      <x:c r="F92" s="55"/>
      <x:c r="G92" s="55"/>
      <x:c r="H92" s="56"/>
      <x:c r="I92" s="56"/>
      <x:c r="J92" s="56"/>
      <x:c r="K92" s="55"/>
      <x:c r="L92" s="55"/>
      <x:c r="M92" s="56"/>
      <x:c r="N92" s="56"/>
      <x:c r="O92" s="56"/>
      <x:c r="P92" s="55"/>
      <x:c r="Q92" s="55"/>
      <x:c r="R92" s="55"/>
      <x:c r="S92" s="55"/>
      <x:c r="T92" s="55"/>
      <x:c r="U92" s="56"/>
      <x:c r="V92" s="55"/>
      <x:c r="X92" t="n">
        <x:f>IF(OR(A92="",D92=""),0,IF(COUNTIFS($A$17:A92,A92,$D$17:D92,D92)=1,1,0))</x:f>
        <x:v>0</x:v>
      </x:c>
      <x:c r="Y92" t="n">
        <x:f>IF(X92=0,0,IF(OR(ISNUMBER(J92),K92="Submitted",K92="Under review",K92="Comments received",K92="Resubmitted",K92="Approved"),1,0))</x:f>
        <x:v>0</x:v>
      </x:c>
      <x:c r="Z92" t="n">
        <x:f>IF(X92=0,0,IF(K92="Approved",1,0))</x:f>
        <x:v>0</x:v>
      </x:c>
      <x:c r="AA92" t="n">
        <x:f>IF(X92=0,0,1-Y92)</x:f>
        <x:v>0</x:v>
      </x:c>
    </x:row>
    <x:row r="93" ht="28" customHeight="1">
      <x:c r="A93" s="55"/>
      <x:c r="B93" s="55"/>
      <x:c r="C93" s="60"/>
      <x:c r="D93" s="55"/>
      <x:c r="E93" s="55"/>
      <x:c r="F93" s="55"/>
      <x:c r="G93" s="55"/>
      <x:c r="H93" s="56"/>
      <x:c r="I93" s="56"/>
      <x:c r="J93" s="56"/>
      <x:c r="K93" s="55"/>
      <x:c r="L93" s="55"/>
      <x:c r="M93" s="56"/>
      <x:c r="N93" s="56"/>
      <x:c r="O93" s="56"/>
      <x:c r="P93" s="55"/>
      <x:c r="Q93" s="55"/>
      <x:c r="R93" s="55"/>
      <x:c r="S93" s="55"/>
      <x:c r="T93" s="55"/>
      <x:c r="U93" s="56"/>
      <x:c r="V93" s="55"/>
      <x:c r="X93" t="n">
        <x:f>IF(OR(A93="",D93=""),0,IF(COUNTIFS($A$17:A93,A93,$D$17:D93,D93)=1,1,0))</x:f>
        <x:v>0</x:v>
      </x:c>
      <x:c r="Y93" t="n">
        <x:f>IF(X93=0,0,IF(OR(ISNUMBER(J93),K93="Submitted",K93="Under review",K93="Comments received",K93="Resubmitted",K93="Approved"),1,0))</x:f>
        <x:v>0</x:v>
      </x:c>
      <x:c r="Z93" t="n">
        <x:f>IF(X93=0,0,IF(K93="Approved",1,0))</x:f>
        <x:v>0</x:v>
      </x:c>
      <x:c r="AA93" t="n">
        <x:f>IF(X93=0,0,1-Y93)</x:f>
        <x:v>0</x:v>
      </x:c>
    </x:row>
    <x:row r="94" ht="28" customHeight="1">
      <x:c r="A94" s="55"/>
      <x:c r="B94" s="55"/>
      <x:c r="C94" s="60"/>
      <x:c r="D94" s="55"/>
      <x:c r="E94" s="55"/>
      <x:c r="F94" s="55"/>
      <x:c r="G94" s="55"/>
      <x:c r="H94" s="56"/>
      <x:c r="I94" s="56"/>
      <x:c r="J94" s="56"/>
      <x:c r="K94" s="55"/>
      <x:c r="L94" s="55"/>
      <x:c r="M94" s="56"/>
      <x:c r="N94" s="56"/>
      <x:c r="O94" s="56"/>
      <x:c r="P94" s="55"/>
      <x:c r="Q94" s="55"/>
      <x:c r="R94" s="55"/>
      <x:c r="S94" s="55"/>
      <x:c r="T94" s="55"/>
      <x:c r="U94" s="56"/>
      <x:c r="V94" s="55"/>
      <x:c r="X94" t="n">
        <x:f>IF(OR(A94="",D94=""),0,IF(COUNTIFS($A$17:A94,A94,$D$17:D94,D94)=1,1,0))</x:f>
        <x:v>0</x:v>
      </x:c>
      <x:c r="Y94" t="n">
        <x:f>IF(X94=0,0,IF(OR(ISNUMBER(J94),K94="Submitted",K94="Under review",K94="Comments received",K94="Resubmitted",K94="Approved"),1,0))</x:f>
        <x:v>0</x:v>
      </x:c>
      <x:c r="Z94" t="n">
        <x:f>IF(X94=0,0,IF(K94="Approved",1,0))</x:f>
        <x:v>0</x:v>
      </x:c>
      <x:c r="AA94" t="n">
        <x:f>IF(X94=0,0,1-Y94)</x:f>
        <x:v>0</x:v>
      </x:c>
    </x:row>
    <x:row r="95" ht="28" customHeight="1">
      <x:c r="A95" s="55"/>
      <x:c r="B95" s="55"/>
      <x:c r="C95" s="60"/>
      <x:c r="D95" s="55"/>
      <x:c r="E95" s="55"/>
      <x:c r="F95" s="55"/>
      <x:c r="G95" s="55"/>
      <x:c r="H95" s="56"/>
      <x:c r="I95" s="56"/>
      <x:c r="J95" s="56"/>
      <x:c r="K95" s="55"/>
      <x:c r="L95" s="55"/>
      <x:c r="M95" s="56"/>
      <x:c r="N95" s="56"/>
      <x:c r="O95" s="56"/>
      <x:c r="P95" s="55"/>
      <x:c r="Q95" s="55"/>
      <x:c r="R95" s="55"/>
      <x:c r="S95" s="55"/>
      <x:c r="T95" s="55"/>
      <x:c r="U95" s="56"/>
      <x:c r="V95" s="55"/>
      <x:c r="X95" t="n">
        <x:f>IF(OR(A95="",D95=""),0,IF(COUNTIFS($A$17:A95,A95,$D$17:D95,D95)=1,1,0))</x:f>
        <x:v>0</x:v>
      </x:c>
      <x:c r="Y95" t="n">
        <x:f>IF(X95=0,0,IF(OR(ISNUMBER(J95),K95="Submitted",K95="Under review",K95="Comments received",K95="Resubmitted",K95="Approved"),1,0))</x:f>
        <x:v>0</x:v>
      </x:c>
      <x:c r="Z95" t="n">
        <x:f>IF(X95=0,0,IF(K95="Approved",1,0))</x:f>
        <x:v>0</x:v>
      </x:c>
      <x:c r="AA95" t="n">
        <x:f>IF(X95=0,0,1-Y95)</x:f>
        <x:v>0</x:v>
      </x:c>
    </x:row>
    <x:row r="96" ht="28" customHeight="1">
      <x:c r="A96" s="55"/>
      <x:c r="B96" s="55"/>
      <x:c r="C96" s="60"/>
      <x:c r="D96" s="55"/>
      <x:c r="E96" s="55"/>
      <x:c r="F96" s="55"/>
      <x:c r="G96" s="55"/>
      <x:c r="H96" s="56"/>
      <x:c r="I96" s="56"/>
      <x:c r="J96" s="56"/>
      <x:c r="K96" s="55"/>
      <x:c r="L96" s="55"/>
      <x:c r="M96" s="56"/>
      <x:c r="N96" s="56"/>
      <x:c r="O96" s="56"/>
      <x:c r="P96" s="55"/>
      <x:c r="Q96" s="55"/>
      <x:c r="R96" s="55"/>
      <x:c r="S96" s="55"/>
      <x:c r="T96" s="55"/>
      <x:c r="U96" s="56"/>
      <x:c r="V96" s="55"/>
      <x:c r="X96" t="n">
        <x:f>IF(OR(A96="",D96=""),0,IF(COUNTIFS($A$17:A96,A96,$D$17:D96,D96)=1,1,0))</x:f>
        <x:v>0</x:v>
      </x:c>
      <x:c r="Y96" t="n">
        <x:f>IF(X96=0,0,IF(OR(ISNUMBER(J96),K96="Submitted",K96="Under review",K96="Comments received",K96="Resubmitted",K96="Approved"),1,0))</x:f>
        <x:v>0</x:v>
      </x:c>
      <x:c r="Z96" t="n">
        <x:f>IF(X96=0,0,IF(K96="Approved",1,0))</x:f>
        <x:v>0</x:v>
      </x:c>
      <x:c r="AA96" t="n">
        <x:f>IF(X96=0,0,1-Y96)</x:f>
        <x:v>0</x:v>
      </x:c>
    </x:row>
    <x:row r="97" ht="28" customHeight="1">
      <x:c r="A97" s="55"/>
      <x:c r="B97" s="55"/>
      <x:c r="C97" s="60"/>
      <x:c r="D97" s="55"/>
      <x:c r="E97" s="55"/>
      <x:c r="F97" s="55"/>
      <x:c r="G97" s="55"/>
      <x:c r="H97" s="56"/>
      <x:c r="I97" s="56"/>
      <x:c r="J97" s="56"/>
      <x:c r="K97" s="55"/>
      <x:c r="L97" s="55"/>
      <x:c r="M97" s="56"/>
      <x:c r="N97" s="56"/>
      <x:c r="O97" s="56"/>
      <x:c r="P97" s="55"/>
      <x:c r="Q97" s="55"/>
      <x:c r="R97" s="55"/>
      <x:c r="S97" s="55"/>
      <x:c r="T97" s="55"/>
      <x:c r="U97" s="56"/>
      <x:c r="V97" s="55"/>
      <x:c r="X97" t="n">
        <x:f>IF(OR(A97="",D97=""),0,IF(COUNTIFS($A$17:A97,A97,$D$17:D97,D97)=1,1,0))</x:f>
        <x:v>0</x:v>
      </x:c>
      <x:c r="Y97" t="n">
        <x:f>IF(X97=0,0,IF(OR(ISNUMBER(J97),K97="Submitted",K97="Under review",K97="Comments received",K97="Resubmitted",K97="Approved"),1,0))</x:f>
        <x:v>0</x:v>
      </x:c>
      <x:c r="Z97" t="n">
        <x:f>IF(X97=0,0,IF(K97="Approved",1,0))</x:f>
        <x:v>0</x:v>
      </x:c>
      <x:c r="AA97" t="n">
        <x:f>IF(X97=0,0,1-Y97)</x:f>
        <x:v>0</x:v>
      </x:c>
    </x:row>
    <x:row r="98" ht="28" customHeight="1">
      <x:c r="A98" s="55"/>
      <x:c r="B98" s="55"/>
      <x:c r="C98" s="60"/>
      <x:c r="D98" s="55"/>
      <x:c r="E98" s="55"/>
      <x:c r="F98" s="55"/>
      <x:c r="G98" s="55"/>
      <x:c r="H98" s="56"/>
      <x:c r="I98" s="56"/>
      <x:c r="J98" s="56"/>
      <x:c r="K98" s="55"/>
      <x:c r="L98" s="55"/>
      <x:c r="M98" s="56"/>
      <x:c r="N98" s="56"/>
      <x:c r="O98" s="56"/>
      <x:c r="P98" s="55"/>
      <x:c r="Q98" s="55"/>
      <x:c r="R98" s="55"/>
      <x:c r="S98" s="55"/>
      <x:c r="T98" s="55"/>
      <x:c r="U98" s="56"/>
      <x:c r="V98" s="55"/>
      <x:c r="X98" t="n">
        <x:f>IF(OR(A98="",D98=""),0,IF(COUNTIFS($A$17:A98,A98,$D$17:D98,D98)=1,1,0))</x:f>
        <x:v>0</x:v>
      </x:c>
      <x:c r="Y98" t="n">
        <x:f>IF(X98=0,0,IF(OR(ISNUMBER(J98),K98="Submitted",K98="Under review",K98="Comments received",K98="Resubmitted",K98="Approved"),1,0))</x:f>
        <x:v>0</x:v>
      </x:c>
      <x:c r="Z98" t="n">
        <x:f>IF(X98=0,0,IF(K98="Approved",1,0))</x:f>
        <x:v>0</x:v>
      </x:c>
      <x:c r="AA98" t="n">
        <x:f>IF(X98=0,0,1-Y98)</x:f>
        <x:v>0</x:v>
      </x:c>
    </x:row>
    <x:row r="99" ht="28" customHeight="1">
      <x:c r="A99" s="55"/>
      <x:c r="B99" s="55"/>
      <x:c r="C99" s="60"/>
      <x:c r="D99" s="55"/>
      <x:c r="E99" s="55"/>
      <x:c r="F99" s="55"/>
      <x:c r="G99" s="55"/>
      <x:c r="H99" s="56"/>
      <x:c r="I99" s="56"/>
      <x:c r="J99" s="56"/>
      <x:c r="K99" s="55"/>
      <x:c r="L99" s="55"/>
      <x:c r="M99" s="56"/>
      <x:c r="N99" s="56"/>
      <x:c r="O99" s="56"/>
      <x:c r="P99" s="55"/>
      <x:c r="Q99" s="55"/>
      <x:c r="R99" s="55"/>
      <x:c r="S99" s="55"/>
      <x:c r="T99" s="55"/>
      <x:c r="U99" s="56"/>
      <x:c r="V99" s="55"/>
      <x:c r="X99" t="n">
        <x:f>IF(OR(A99="",D99=""),0,IF(COUNTIFS($A$17:A99,A99,$D$17:D99,D99)=1,1,0))</x:f>
        <x:v>0</x:v>
      </x:c>
      <x:c r="Y99" t="n">
        <x:f>IF(X99=0,0,IF(OR(ISNUMBER(J99),K99="Submitted",K99="Under review",K99="Comments received",K99="Resubmitted",K99="Approved"),1,0))</x:f>
        <x:v>0</x:v>
      </x:c>
      <x:c r="Z99" t="n">
        <x:f>IF(X99=0,0,IF(K99="Approved",1,0))</x:f>
        <x:v>0</x:v>
      </x:c>
      <x:c r="AA99" t="n">
        <x:f>IF(X99=0,0,1-Y99)</x:f>
        <x:v>0</x:v>
      </x:c>
    </x:row>
    <x:row r="100" ht="28" customHeight="1">
      <x:c r="A100" s="55"/>
      <x:c r="B100" s="55"/>
      <x:c r="C100" s="60"/>
      <x:c r="D100" s="55"/>
      <x:c r="E100" s="55"/>
      <x:c r="F100" s="55"/>
      <x:c r="G100" s="55"/>
      <x:c r="H100" s="56"/>
      <x:c r="I100" s="56"/>
      <x:c r="J100" s="56"/>
      <x:c r="K100" s="55"/>
      <x:c r="L100" s="55"/>
      <x:c r="M100" s="56"/>
      <x:c r="N100" s="56"/>
      <x:c r="O100" s="56"/>
      <x:c r="P100" s="55"/>
      <x:c r="Q100" s="55"/>
      <x:c r="R100" s="55"/>
      <x:c r="S100" s="55"/>
      <x:c r="T100" s="55"/>
      <x:c r="U100" s="56"/>
      <x:c r="V100" s="55"/>
      <x:c r="X100" t="n">
        <x:f>IF(OR(A100="",D100=""),0,IF(COUNTIFS($A$17:A100,A100,$D$17:D100,D100)=1,1,0))</x:f>
        <x:v>0</x:v>
      </x:c>
      <x:c r="Y100" t="n">
        <x:f>IF(X100=0,0,IF(OR(ISNUMBER(J100),K100="Submitted",K100="Under review",K100="Comments received",K100="Resubmitted",K100="Approved"),1,0))</x:f>
        <x:v>0</x:v>
      </x:c>
      <x:c r="Z100" t="n">
        <x:f>IF(X100=0,0,IF(K100="Approved",1,0))</x:f>
        <x:v>0</x:v>
      </x:c>
      <x:c r="AA100" t="n">
        <x:f>IF(X100=0,0,1-Y100)</x:f>
        <x:v>0</x:v>
      </x:c>
    </x:row>
    <x:row r="101" ht="28" customHeight="1">
      <x:c r="A101" s="55"/>
      <x:c r="B101" s="55"/>
      <x:c r="C101" s="60"/>
      <x:c r="D101" s="55"/>
      <x:c r="E101" s="55"/>
      <x:c r="F101" s="55"/>
      <x:c r="G101" s="55"/>
      <x:c r="H101" s="56"/>
      <x:c r="I101" s="56"/>
      <x:c r="J101" s="56"/>
      <x:c r="K101" s="55"/>
      <x:c r="L101" s="55"/>
      <x:c r="M101" s="56"/>
      <x:c r="N101" s="56"/>
      <x:c r="O101" s="56"/>
      <x:c r="P101" s="55"/>
      <x:c r="Q101" s="55"/>
      <x:c r="R101" s="55"/>
      <x:c r="S101" s="55"/>
      <x:c r="T101" s="55"/>
      <x:c r="U101" s="56"/>
      <x:c r="V101" s="55"/>
      <x:c r="X101" t="n">
        <x:f>IF(OR(A101="",D101=""),0,IF(COUNTIFS($A$17:A101,A101,$D$17:D101,D101)=1,1,0))</x:f>
        <x:v>0</x:v>
      </x:c>
      <x:c r="Y101" t="n">
        <x:f>IF(X101=0,0,IF(OR(ISNUMBER(J101),K101="Submitted",K101="Under review",K101="Comments received",K101="Resubmitted",K101="Approved"),1,0))</x:f>
        <x:v>0</x:v>
      </x:c>
      <x:c r="Z101" t="n">
        <x:f>IF(X101=0,0,IF(K101="Approved",1,0))</x:f>
        <x:v>0</x:v>
      </x:c>
      <x:c r="AA101" t="n">
        <x:f>IF(X101=0,0,1-Y101)</x:f>
        <x:v>0</x:v>
      </x:c>
    </x:row>
    <x:row r="102" ht="28" customHeight="1">
      <x:c r="A102" s="55"/>
      <x:c r="B102" s="55"/>
      <x:c r="C102" s="60"/>
      <x:c r="D102" s="55"/>
      <x:c r="E102" s="55"/>
      <x:c r="F102" s="55"/>
      <x:c r="G102" s="55"/>
      <x:c r="H102" s="56"/>
      <x:c r="I102" s="56"/>
      <x:c r="J102" s="56"/>
      <x:c r="K102" s="55"/>
      <x:c r="L102" s="55"/>
      <x:c r="M102" s="56"/>
      <x:c r="N102" s="56"/>
      <x:c r="O102" s="56"/>
      <x:c r="P102" s="55"/>
      <x:c r="Q102" s="55"/>
      <x:c r="R102" s="55"/>
      <x:c r="S102" s="55"/>
      <x:c r="T102" s="55"/>
      <x:c r="U102" s="56"/>
      <x:c r="V102" s="55"/>
      <x:c r="X102" t="n">
        <x:f>IF(OR(A102="",D102=""),0,IF(COUNTIFS($A$17:A102,A102,$D$17:D102,D102)=1,1,0))</x:f>
        <x:v>0</x:v>
      </x:c>
      <x:c r="Y102" t="n">
        <x:f>IF(X102=0,0,IF(OR(ISNUMBER(J102),K102="Submitted",K102="Under review",K102="Comments received",K102="Resubmitted",K102="Approved"),1,0))</x:f>
        <x:v>0</x:v>
      </x:c>
      <x:c r="Z102" t="n">
        <x:f>IF(X102=0,0,IF(K102="Approved",1,0))</x:f>
        <x:v>0</x:v>
      </x:c>
      <x:c r="AA102" t="n">
        <x:f>IF(X102=0,0,1-Y102)</x:f>
        <x:v>0</x:v>
      </x:c>
    </x:row>
    <x:row r="103" ht="28" customHeight="1">
      <x:c r="A103" s="55"/>
      <x:c r="B103" s="55"/>
      <x:c r="C103" s="60"/>
      <x:c r="D103" s="55"/>
      <x:c r="E103" s="55"/>
      <x:c r="F103" s="55"/>
      <x:c r="G103" s="55"/>
      <x:c r="H103" s="56"/>
      <x:c r="I103" s="56"/>
      <x:c r="J103" s="56"/>
      <x:c r="K103" s="55"/>
      <x:c r="L103" s="55"/>
      <x:c r="M103" s="56"/>
      <x:c r="N103" s="56"/>
      <x:c r="O103" s="56"/>
      <x:c r="P103" s="55"/>
      <x:c r="Q103" s="55"/>
      <x:c r="R103" s="55"/>
      <x:c r="S103" s="55"/>
      <x:c r="T103" s="55"/>
      <x:c r="U103" s="56"/>
      <x:c r="V103" s="55"/>
      <x:c r="X103" t="n">
        <x:f>IF(OR(A103="",D103=""),0,IF(COUNTIFS($A$17:A103,A103,$D$17:D103,D103)=1,1,0))</x:f>
        <x:v>0</x:v>
      </x:c>
      <x:c r="Y103" t="n">
        <x:f>IF(X103=0,0,IF(OR(ISNUMBER(J103),K103="Submitted",K103="Under review",K103="Comments received",K103="Resubmitted",K103="Approved"),1,0))</x:f>
        <x:v>0</x:v>
      </x:c>
      <x:c r="Z103" t="n">
        <x:f>IF(X103=0,0,IF(K103="Approved",1,0))</x:f>
        <x:v>0</x:v>
      </x:c>
      <x:c r="AA103" t="n">
        <x:f>IF(X103=0,0,1-Y103)</x:f>
        <x:v>0</x:v>
      </x:c>
    </x:row>
    <x:row r="104" ht="28" customHeight="1">
      <x:c r="A104" s="55"/>
      <x:c r="B104" s="55"/>
      <x:c r="C104" s="60"/>
      <x:c r="D104" s="55"/>
      <x:c r="E104" s="55"/>
      <x:c r="F104" s="55"/>
      <x:c r="G104" s="55"/>
      <x:c r="H104" s="56"/>
      <x:c r="I104" s="56"/>
      <x:c r="J104" s="56"/>
      <x:c r="K104" s="55"/>
      <x:c r="L104" s="55"/>
      <x:c r="M104" s="56"/>
      <x:c r="N104" s="56"/>
      <x:c r="O104" s="56"/>
      <x:c r="P104" s="55"/>
      <x:c r="Q104" s="55"/>
      <x:c r="R104" s="55"/>
      <x:c r="S104" s="55"/>
      <x:c r="T104" s="55"/>
      <x:c r="U104" s="56"/>
      <x:c r="V104" s="55"/>
      <x:c r="X104" t="n">
        <x:f>IF(OR(A104="",D104=""),0,IF(COUNTIFS($A$17:A104,A104,$D$17:D104,D104)=1,1,0))</x:f>
        <x:v>0</x:v>
      </x:c>
      <x:c r="Y104" t="n">
        <x:f>IF(X104=0,0,IF(OR(ISNUMBER(J104),K104="Submitted",K104="Under review",K104="Comments received",K104="Resubmitted",K104="Approved"),1,0))</x:f>
        <x:v>0</x:v>
      </x:c>
      <x:c r="Z104" t="n">
        <x:f>IF(X104=0,0,IF(K104="Approved",1,0))</x:f>
        <x:v>0</x:v>
      </x:c>
      <x:c r="AA104" t="n">
        <x:f>IF(X104=0,0,1-Y104)</x:f>
        <x:v>0</x:v>
      </x:c>
    </x:row>
    <x:row r="105" ht="28" customHeight="1">
      <x:c r="A105" s="55"/>
      <x:c r="B105" s="55"/>
      <x:c r="C105" s="60"/>
      <x:c r="D105" s="55"/>
      <x:c r="E105" s="55"/>
      <x:c r="F105" s="55"/>
      <x:c r="G105" s="55"/>
      <x:c r="H105" s="56"/>
      <x:c r="I105" s="56"/>
      <x:c r="J105" s="56"/>
      <x:c r="K105" s="55"/>
      <x:c r="L105" s="55"/>
      <x:c r="M105" s="56"/>
      <x:c r="N105" s="56"/>
      <x:c r="O105" s="56"/>
      <x:c r="P105" s="55"/>
      <x:c r="Q105" s="55"/>
      <x:c r="R105" s="55"/>
      <x:c r="S105" s="55"/>
      <x:c r="T105" s="55"/>
      <x:c r="U105" s="56"/>
      <x:c r="V105" s="55"/>
      <x:c r="X105" t="n">
        <x:f>IF(OR(A105="",D105=""),0,IF(COUNTIFS($A$17:A105,A105,$D$17:D105,D105)=1,1,0))</x:f>
        <x:v>0</x:v>
      </x:c>
      <x:c r="Y105" t="n">
        <x:f>IF(X105=0,0,IF(OR(ISNUMBER(J105),K105="Submitted",K105="Under review",K105="Comments received",K105="Resubmitted",K105="Approved"),1,0))</x:f>
        <x:v>0</x:v>
      </x:c>
      <x:c r="Z105" t="n">
        <x:f>IF(X105=0,0,IF(K105="Approved",1,0))</x:f>
        <x:v>0</x:v>
      </x:c>
      <x:c r="AA105" t="n">
        <x:f>IF(X105=0,0,1-Y105)</x:f>
        <x:v>0</x:v>
      </x:c>
    </x:row>
    <x:row r="106" ht="28" customHeight="1">
      <x:c r="A106" s="55"/>
      <x:c r="B106" s="55"/>
      <x:c r="C106" s="60"/>
      <x:c r="D106" s="55"/>
      <x:c r="E106" s="55"/>
      <x:c r="F106" s="55"/>
      <x:c r="G106" s="55"/>
      <x:c r="H106" s="56"/>
      <x:c r="I106" s="56"/>
      <x:c r="J106" s="56"/>
      <x:c r="K106" s="55"/>
      <x:c r="L106" s="55"/>
      <x:c r="M106" s="56"/>
      <x:c r="N106" s="56"/>
      <x:c r="O106" s="56"/>
      <x:c r="P106" s="55"/>
      <x:c r="Q106" s="55"/>
      <x:c r="R106" s="55"/>
      <x:c r="S106" s="55"/>
      <x:c r="T106" s="55"/>
      <x:c r="U106" s="56"/>
      <x:c r="V106" s="55"/>
      <x:c r="X106" t="n">
        <x:f>IF(OR(A106="",D106=""),0,IF(COUNTIFS($A$17:A106,A106,$D$17:D106,D106)=1,1,0))</x:f>
        <x:v>0</x:v>
      </x:c>
      <x:c r="Y106" t="n">
        <x:f>IF(X106=0,0,IF(OR(ISNUMBER(J106),K106="Submitted",K106="Under review",K106="Comments received",K106="Resubmitted",K106="Approved"),1,0))</x:f>
        <x:v>0</x:v>
      </x:c>
      <x:c r="Z106" t="n">
        <x:f>IF(X106=0,0,IF(K106="Approved",1,0))</x:f>
        <x:v>0</x:v>
      </x:c>
      <x:c r="AA106" t="n">
        <x:f>IF(X106=0,0,1-Y106)</x:f>
        <x:v>0</x:v>
      </x:c>
    </x:row>
    <x:row r="107" ht="28" customHeight="1">
      <x:c r="A107" s="55"/>
      <x:c r="B107" s="55"/>
      <x:c r="C107" s="60"/>
      <x:c r="D107" s="55"/>
      <x:c r="E107" s="55"/>
      <x:c r="F107" s="55"/>
      <x:c r="G107" s="55"/>
      <x:c r="H107" s="56"/>
      <x:c r="I107" s="56"/>
      <x:c r="J107" s="56"/>
      <x:c r="K107" s="55"/>
      <x:c r="L107" s="55"/>
      <x:c r="M107" s="56"/>
      <x:c r="N107" s="56"/>
      <x:c r="O107" s="56"/>
      <x:c r="P107" s="55"/>
      <x:c r="Q107" s="55"/>
      <x:c r="R107" s="55"/>
      <x:c r="S107" s="55"/>
      <x:c r="T107" s="55"/>
      <x:c r="U107" s="56"/>
      <x:c r="V107" s="55"/>
      <x:c r="X107" t="n">
        <x:f>IF(OR(A107="",D107=""),0,IF(COUNTIFS($A$17:A107,A107,$D$17:D107,D107)=1,1,0))</x:f>
        <x:v>0</x:v>
      </x:c>
      <x:c r="Y107" t="n">
        <x:f>IF(X107=0,0,IF(OR(ISNUMBER(J107),K107="Submitted",K107="Under review",K107="Comments received",K107="Resubmitted",K107="Approved"),1,0))</x:f>
        <x:v>0</x:v>
      </x:c>
      <x:c r="Z107" t="n">
        <x:f>IF(X107=0,0,IF(K107="Approved",1,0))</x:f>
        <x:v>0</x:v>
      </x:c>
      <x:c r="AA107" t="n">
        <x:f>IF(X107=0,0,1-Y107)</x:f>
        <x:v>0</x:v>
      </x:c>
    </x:row>
    <x:row r="108" ht="28" customHeight="1">
      <x:c r="A108" s="55"/>
      <x:c r="B108" s="55"/>
      <x:c r="C108" s="60"/>
      <x:c r="D108" s="55"/>
      <x:c r="E108" s="55"/>
      <x:c r="F108" s="55"/>
      <x:c r="G108" s="55"/>
      <x:c r="H108" s="56"/>
      <x:c r="I108" s="56"/>
      <x:c r="J108" s="56"/>
      <x:c r="K108" s="55"/>
      <x:c r="L108" s="55"/>
      <x:c r="M108" s="56"/>
      <x:c r="N108" s="56"/>
      <x:c r="O108" s="56"/>
      <x:c r="P108" s="55"/>
      <x:c r="Q108" s="55"/>
      <x:c r="R108" s="55"/>
      <x:c r="S108" s="55"/>
      <x:c r="T108" s="55"/>
      <x:c r="U108" s="56"/>
      <x:c r="V108" s="55"/>
      <x:c r="X108" t="n">
        <x:f>IF(OR(A108="",D108=""),0,IF(COUNTIFS($A$17:A108,A108,$D$17:D108,D108)=1,1,0))</x:f>
        <x:v>0</x:v>
      </x:c>
      <x:c r="Y108" t="n">
        <x:f>IF(X108=0,0,IF(OR(ISNUMBER(J108),K108="Submitted",K108="Under review",K108="Comments received",K108="Resubmitted",K108="Approved"),1,0))</x:f>
        <x:v>0</x:v>
      </x:c>
      <x:c r="Z108" t="n">
        <x:f>IF(X108=0,0,IF(K108="Approved",1,0))</x:f>
        <x:v>0</x:v>
      </x:c>
      <x:c r="AA108" t="n">
        <x:f>IF(X108=0,0,1-Y108)</x:f>
        <x:v>0</x:v>
      </x:c>
    </x:row>
    <x:row r="109" ht="28" customHeight="1">
      <x:c r="A109" s="55"/>
      <x:c r="B109" s="55"/>
      <x:c r="C109" s="60"/>
      <x:c r="D109" s="55"/>
      <x:c r="E109" s="55"/>
      <x:c r="F109" s="55"/>
      <x:c r="G109" s="55"/>
      <x:c r="H109" s="56"/>
      <x:c r="I109" s="56"/>
      <x:c r="J109" s="56"/>
      <x:c r="K109" s="55"/>
      <x:c r="L109" s="55"/>
      <x:c r="M109" s="56"/>
      <x:c r="N109" s="56"/>
      <x:c r="O109" s="56"/>
      <x:c r="P109" s="55"/>
      <x:c r="Q109" s="55"/>
      <x:c r="R109" s="55"/>
      <x:c r="S109" s="55"/>
      <x:c r="T109" s="55"/>
      <x:c r="U109" s="56"/>
      <x:c r="V109" s="55"/>
      <x:c r="X109" t="n">
        <x:f>IF(OR(A109="",D109=""),0,IF(COUNTIFS($A$17:A109,A109,$D$17:D109,D109)=1,1,0))</x:f>
        <x:v>0</x:v>
      </x:c>
      <x:c r="Y109" t="n">
        <x:f>IF(X109=0,0,IF(OR(ISNUMBER(J109),K109="Submitted",K109="Under review",K109="Comments received",K109="Resubmitted",K109="Approved"),1,0))</x:f>
        <x:v>0</x:v>
      </x:c>
      <x:c r="Z109" t="n">
        <x:f>IF(X109=0,0,IF(K109="Approved",1,0))</x:f>
        <x:v>0</x:v>
      </x:c>
      <x:c r="AA109" t="n">
        <x:f>IF(X109=0,0,1-Y109)</x:f>
        <x:v>0</x:v>
      </x:c>
    </x:row>
    <x:row r="110" ht="28" customHeight="1">
      <x:c r="A110" s="55"/>
      <x:c r="B110" s="55"/>
      <x:c r="C110" s="60"/>
      <x:c r="D110" s="55"/>
      <x:c r="E110" s="55"/>
      <x:c r="F110" s="55"/>
      <x:c r="G110" s="55"/>
      <x:c r="H110" s="56"/>
      <x:c r="I110" s="56"/>
      <x:c r="J110" s="56"/>
      <x:c r="K110" s="55"/>
      <x:c r="L110" s="55"/>
      <x:c r="M110" s="56"/>
      <x:c r="N110" s="56"/>
      <x:c r="O110" s="56"/>
      <x:c r="P110" s="55"/>
      <x:c r="Q110" s="55"/>
      <x:c r="R110" s="55"/>
      <x:c r="S110" s="55"/>
      <x:c r="T110" s="55"/>
      <x:c r="U110" s="56"/>
      <x:c r="V110" s="55"/>
      <x:c r="X110" t="n">
        <x:f>IF(OR(A110="",D110=""),0,IF(COUNTIFS($A$17:A110,A110,$D$17:D110,D110)=1,1,0))</x:f>
        <x:v>0</x:v>
      </x:c>
      <x:c r="Y110" t="n">
        <x:f>IF(X110=0,0,IF(OR(ISNUMBER(J110),K110="Submitted",K110="Under review",K110="Comments received",K110="Resubmitted",K110="Approved"),1,0))</x:f>
        <x:v>0</x:v>
      </x:c>
      <x:c r="Z110" t="n">
        <x:f>IF(X110=0,0,IF(K110="Approved",1,0))</x:f>
        <x:v>0</x:v>
      </x:c>
      <x:c r="AA110" t="n">
        <x:f>IF(X110=0,0,1-Y110)</x:f>
        <x:v>0</x:v>
      </x:c>
    </x:row>
    <x:row r="111" ht="28" customHeight="1">
      <x:c r="A111" s="55"/>
      <x:c r="B111" s="55"/>
      <x:c r="C111" s="60"/>
      <x:c r="D111" s="55"/>
      <x:c r="E111" s="55"/>
      <x:c r="F111" s="55"/>
      <x:c r="G111" s="55"/>
      <x:c r="H111" s="56"/>
      <x:c r="I111" s="56"/>
      <x:c r="J111" s="56"/>
      <x:c r="K111" s="55"/>
      <x:c r="L111" s="55"/>
      <x:c r="M111" s="56"/>
      <x:c r="N111" s="56"/>
      <x:c r="O111" s="56"/>
      <x:c r="P111" s="55"/>
      <x:c r="Q111" s="55"/>
      <x:c r="R111" s="55"/>
      <x:c r="S111" s="55"/>
      <x:c r="T111" s="55"/>
      <x:c r="U111" s="56"/>
      <x:c r="V111" s="55"/>
      <x:c r="X111" t="n">
        <x:f>IF(OR(A111="",D111=""),0,IF(COUNTIFS($A$17:A111,A111,$D$17:D111,D111)=1,1,0))</x:f>
        <x:v>0</x:v>
      </x:c>
      <x:c r="Y111" t="n">
        <x:f>IF(X111=0,0,IF(OR(ISNUMBER(J111),K111="Submitted",K111="Under review",K111="Comments received",K111="Resubmitted",K111="Approved"),1,0))</x:f>
        <x:v>0</x:v>
      </x:c>
      <x:c r="Z111" t="n">
        <x:f>IF(X111=0,0,IF(K111="Approved",1,0))</x:f>
        <x:v>0</x:v>
      </x:c>
      <x:c r="AA111" t="n">
        <x:f>IF(X111=0,0,1-Y111)</x:f>
        <x:v>0</x:v>
      </x:c>
    </x:row>
    <x:row r="112" ht="28" customHeight="1">
      <x:c r="A112" s="55"/>
      <x:c r="B112" s="55"/>
      <x:c r="C112" s="60"/>
      <x:c r="D112" s="55"/>
      <x:c r="E112" s="55"/>
      <x:c r="F112" s="55"/>
      <x:c r="G112" s="55"/>
      <x:c r="H112" s="56"/>
      <x:c r="I112" s="56"/>
      <x:c r="J112" s="56"/>
      <x:c r="K112" s="55"/>
      <x:c r="L112" s="55"/>
      <x:c r="M112" s="56"/>
      <x:c r="N112" s="56"/>
      <x:c r="O112" s="56"/>
      <x:c r="P112" s="55"/>
      <x:c r="Q112" s="55"/>
      <x:c r="R112" s="55"/>
      <x:c r="S112" s="55"/>
      <x:c r="T112" s="55"/>
      <x:c r="U112" s="56"/>
      <x:c r="V112" s="55"/>
      <x:c r="X112" t="n">
        <x:f>IF(OR(A112="",D112=""),0,IF(COUNTIFS($A$17:A112,A112,$D$17:D112,D112)=1,1,0))</x:f>
        <x:v>0</x:v>
      </x:c>
      <x:c r="Y112" t="n">
        <x:f>IF(X112=0,0,IF(OR(ISNUMBER(J112),K112="Submitted",K112="Under review",K112="Comments received",K112="Resubmitted",K112="Approved"),1,0))</x:f>
        <x:v>0</x:v>
      </x:c>
      <x:c r="Z112" t="n">
        <x:f>IF(X112=0,0,IF(K112="Approved",1,0))</x:f>
        <x:v>0</x:v>
      </x:c>
      <x:c r="AA112" t="n">
        <x:f>IF(X112=0,0,1-Y112)</x:f>
        <x:v>0</x:v>
      </x:c>
    </x:row>
    <x:row r="113" ht="28" customHeight="1">
      <x:c r="A113" s="55"/>
      <x:c r="B113" s="55"/>
      <x:c r="C113" s="60"/>
      <x:c r="D113" s="55"/>
      <x:c r="E113" s="55"/>
      <x:c r="F113" s="55"/>
      <x:c r="G113" s="55"/>
      <x:c r="H113" s="56"/>
      <x:c r="I113" s="56"/>
      <x:c r="J113" s="56"/>
      <x:c r="K113" s="55"/>
      <x:c r="L113" s="55"/>
      <x:c r="M113" s="56"/>
      <x:c r="N113" s="56"/>
      <x:c r="O113" s="56"/>
      <x:c r="P113" s="55"/>
      <x:c r="Q113" s="55"/>
      <x:c r="R113" s="55"/>
      <x:c r="S113" s="55"/>
      <x:c r="T113" s="55"/>
      <x:c r="U113" s="56"/>
      <x:c r="V113" s="55"/>
      <x:c r="X113" t="n">
        <x:f>IF(OR(A113="",D113=""),0,IF(COUNTIFS($A$17:A113,A113,$D$17:D113,D113)=1,1,0))</x:f>
        <x:v>0</x:v>
      </x:c>
      <x:c r="Y113" t="n">
        <x:f>IF(X113=0,0,IF(OR(ISNUMBER(J113),K113="Submitted",K113="Under review",K113="Comments received",K113="Resubmitted",K113="Approved"),1,0))</x:f>
        <x:v>0</x:v>
      </x:c>
      <x:c r="Z113" t="n">
        <x:f>IF(X113=0,0,IF(K113="Approved",1,0))</x:f>
        <x:v>0</x:v>
      </x:c>
      <x:c r="AA113" t="n">
        <x:f>IF(X113=0,0,1-Y113)</x:f>
        <x:v>0</x:v>
      </x:c>
    </x:row>
    <x:row r="114" ht="28" customHeight="1">
      <x:c r="A114" s="55"/>
      <x:c r="B114" s="55"/>
      <x:c r="C114" s="60"/>
      <x:c r="D114" s="55"/>
      <x:c r="E114" s="55"/>
      <x:c r="F114" s="55"/>
      <x:c r="G114" s="55"/>
      <x:c r="H114" s="56"/>
      <x:c r="I114" s="56"/>
      <x:c r="J114" s="56"/>
      <x:c r="K114" s="55"/>
      <x:c r="L114" s="55"/>
      <x:c r="M114" s="56"/>
      <x:c r="N114" s="56"/>
      <x:c r="O114" s="56"/>
      <x:c r="P114" s="55"/>
      <x:c r="Q114" s="55"/>
      <x:c r="R114" s="55"/>
      <x:c r="S114" s="55"/>
      <x:c r="T114" s="55"/>
      <x:c r="U114" s="56"/>
      <x:c r="V114" s="55"/>
      <x:c r="X114" t="n">
        <x:f>IF(OR(A114="",D114=""),0,IF(COUNTIFS($A$17:A114,A114,$D$17:D114,D114)=1,1,0))</x:f>
        <x:v>0</x:v>
      </x:c>
      <x:c r="Y114" t="n">
        <x:f>IF(X114=0,0,IF(OR(ISNUMBER(J114),K114="Submitted",K114="Under review",K114="Comments received",K114="Resubmitted",K114="Approved"),1,0))</x:f>
        <x:v>0</x:v>
      </x:c>
      <x:c r="Z114" t="n">
        <x:f>IF(X114=0,0,IF(K114="Approved",1,0))</x:f>
        <x:v>0</x:v>
      </x:c>
      <x:c r="AA114" t="n">
        <x:f>IF(X114=0,0,1-Y114)</x:f>
        <x:v>0</x:v>
      </x:c>
    </x:row>
    <x:row r="115" ht="28" customHeight="1">
      <x:c r="A115" s="55"/>
      <x:c r="B115" s="55"/>
      <x:c r="C115" s="60"/>
      <x:c r="D115" s="55"/>
      <x:c r="E115" s="55"/>
      <x:c r="F115" s="55"/>
      <x:c r="G115" s="55"/>
      <x:c r="H115" s="56"/>
      <x:c r="I115" s="56"/>
      <x:c r="J115" s="56"/>
      <x:c r="K115" s="55"/>
      <x:c r="L115" s="55"/>
      <x:c r="M115" s="56"/>
      <x:c r="N115" s="56"/>
      <x:c r="O115" s="56"/>
      <x:c r="P115" s="55"/>
      <x:c r="Q115" s="55"/>
      <x:c r="R115" s="55"/>
      <x:c r="S115" s="55"/>
      <x:c r="T115" s="55"/>
      <x:c r="U115" s="56"/>
      <x:c r="V115" s="55"/>
      <x:c r="X115" t="n">
        <x:f>IF(OR(A115="",D115=""),0,IF(COUNTIFS($A$17:A115,A115,$D$17:D115,D115)=1,1,0))</x:f>
        <x:v>0</x:v>
      </x:c>
      <x:c r="Y115" t="n">
        <x:f>IF(X115=0,0,IF(OR(ISNUMBER(J115),K115="Submitted",K115="Under review",K115="Comments received",K115="Resubmitted",K115="Approved"),1,0))</x:f>
        <x:v>0</x:v>
      </x:c>
      <x:c r="Z115" t="n">
        <x:f>IF(X115=0,0,IF(K115="Approved",1,0))</x:f>
        <x:v>0</x:v>
      </x:c>
      <x:c r="AA115" t="n">
        <x:f>IF(X115=0,0,1-Y115)</x:f>
        <x:v>0</x:v>
      </x:c>
    </x:row>
    <x:row r="116" ht="28" customHeight="1">
      <x:c r="A116" s="55"/>
      <x:c r="B116" s="55"/>
      <x:c r="C116" s="60"/>
      <x:c r="D116" s="55"/>
      <x:c r="E116" s="55"/>
      <x:c r="F116" s="55"/>
      <x:c r="G116" s="55"/>
      <x:c r="H116" s="56"/>
      <x:c r="I116" s="56"/>
      <x:c r="J116" s="56"/>
      <x:c r="K116" s="55"/>
      <x:c r="L116" s="55"/>
      <x:c r="M116" s="56"/>
      <x:c r="N116" s="56"/>
      <x:c r="O116" s="56"/>
      <x:c r="P116" s="55"/>
      <x:c r="Q116" s="55"/>
      <x:c r="R116" s="55"/>
      <x:c r="S116" s="55"/>
      <x:c r="T116" s="55"/>
      <x:c r="U116" s="56"/>
      <x:c r="V116" s="55"/>
      <x:c r="X116" t="n">
        <x:f>IF(OR(A116="",D116=""),0,IF(COUNTIFS($A$17:A116,A116,$D$17:D116,D116)=1,1,0))</x:f>
        <x:v>0</x:v>
      </x:c>
      <x:c r="Y116" t="n">
        <x:f>IF(X116=0,0,IF(OR(ISNUMBER(J116),K116="Submitted",K116="Under review",K116="Comments received",K116="Resubmitted",K116="Approved"),1,0))</x:f>
        <x:v>0</x:v>
      </x:c>
      <x:c r="Z116" t="n">
        <x:f>IF(X116=0,0,IF(K116="Approved",1,0))</x:f>
        <x:v>0</x:v>
      </x:c>
      <x:c r="AA116" t="n">
        <x:f>IF(X116=0,0,1-Y116)</x:f>
        <x:v>0</x:v>
      </x:c>
    </x:row>
    <x:row r="117" ht="28" customHeight="1">
      <x:c r="A117" s="55"/>
      <x:c r="B117" s="55"/>
      <x:c r="C117" s="60"/>
      <x:c r="D117" s="55"/>
      <x:c r="E117" s="55"/>
      <x:c r="F117" s="55"/>
      <x:c r="G117" s="55"/>
      <x:c r="H117" s="56"/>
      <x:c r="I117" s="56"/>
      <x:c r="J117" s="56"/>
      <x:c r="K117" s="55"/>
      <x:c r="L117" s="55"/>
      <x:c r="M117" s="56"/>
      <x:c r="N117" s="56"/>
      <x:c r="O117" s="56"/>
      <x:c r="P117" s="55"/>
      <x:c r="Q117" s="55"/>
      <x:c r="R117" s="55"/>
      <x:c r="S117" s="55"/>
      <x:c r="T117" s="55"/>
      <x:c r="U117" s="56"/>
      <x:c r="V117" s="55"/>
      <x:c r="X117" t="n">
        <x:f>IF(OR(A117="",D117=""),0,IF(COUNTIFS($A$17:A117,A117,$D$17:D117,D117)=1,1,0))</x:f>
        <x:v>0</x:v>
      </x:c>
      <x:c r="Y117" t="n">
        <x:f>IF(X117=0,0,IF(OR(ISNUMBER(J117),K117="Submitted",K117="Under review",K117="Comments received",K117="Resubmitted",K117="Approved"),1,0))</x:f>
        <x:v>0</x:v>
      </x:c>
      <x:c r="Z117" t="n">
        <x:f>IF(X117=0,0,IF(K117="Approved",1,0))</x:f>
        <x:v>0</x:v>
      </x:c>
      <x:c r="AA117" t="n">
        <x:f>IF(X117=0,0,1-Y117)</x:f>
        <x:v>0</x:v>
      </x:c>
    </x:row>
    <x:row r="118" ht="28" customHeight="1">
      <x:c r="A118" s="55"/>
      <x:c r="B118" s="55"/>
      <x:c r="C118" s="60"/>
      <x:c r="D118" s="55"/>
      <x:c r="E118" s="55"/>
      <x:c r="F118" s="55"/>
      <x:c r="G118" s="55"/>
      <x:c r="H118" s="56"/>
      <x:c r="I118" s="56"/>
      <x:c r="J118" s="56"/>
      <x:c r="K118" s="55"/>
      <x:c r="L118" s="55"/>
      <x:c r="M118" s="56"/>
      <x:c r="N118" s="56"/>
      <x:c r="O118" s="56"/>
      <x:c r="P118" s="55"/>
      <x:c r="Q118" s="55"/>
      <x:c r="R118" s="55"/>
      <x:c r="S118" s="55"/>
      <x:c r="T118" s="55"/>
      <x:c r="U118" s="56"/>
      <x:c r="V118" s="55"/>
      <x:c r="X118" t="n">
        <x:f>IF(OR(A118="",D118=""),0,IF(COUNTIFS($A$17:A118,A118,$D$17:D118,D118)=1,1,0))</x:f>
        <x:v>0</x:v>
      </x:c>
      <x:c r="Y118" t="n">
        <x:f>IF(X118=0,0,IF(OR(ISNUMBER(J118),K118="Submitted",K118="Under review",K118="Comments received",K118="Resubmitted",K118="Approved"),1,0))</x:f>
        <x:v>0</x:v>
      </x:c>
      <x:c r="Z118" t="n">
        <x:f>IF(X118=0,0,IF(K118="Approved",1,0))</x:f>
        <x:v>0</x:v>
      </x:c>
      <x:c r="AA118" t="n">
        <x:f>IF(X118=0,0,1-Y118)</x:f>
        <x:v>0</x:v>
      </x:c>
    </x:row>
    <x:row r="119" ht="28" customHeight="1">
      <x:c r="A119" s="55"/>
      <x:c r="B119" s="55"/>
      <x:c r="C119" s="60"/>
      <x:c r="D119" s="55"/>
      <x:c r="E119" s="55"/>
      <x:c r="F119" s="55"/>
      <x:c r="G119" s="55"/>
      <x:c r="H119" s="56"/>
      <x:c r="I119" s="56"/>
      <x:c r="J119" s="56"/>
      <x:c r="K119" s="55"/>
      <x:c r="L119" s="55"/>
      <x:c r="M119" s="56"/>
      <x:c r="N119" s="56"/>
      <x:c r="O119" s="56"/>
      <x:c r="P119" s="55"/>
      <x:c r="Q119" s="55"/>
      <x:c r="R119" s="55"/>
      <x:c r="S119" s="55"/>
      <x:c r="T119" s="55"/>
      <x:c r="U119" s="56"/>
      <x:c r="V119" s="55"/>
      <x:c r="X119" t="n">
        <x:f>IF(OR(A119="",D119=""),0,IF(COUNTIFS($A$17:A119,A119,$D$17:D119,D119)=1,1,0))</x:f>
        <x:v>0</x:v>
      </x:c>
      <x:c r="Y119" t="n">
        <x:f>IF(X119=0,0,IF(OR(ISNUMBER(J119),K119="Submitted",K119="Under review",K119="Comments received",K119="Resubmitted",K119="Approved"),1,0))</x:f>
        <x:v>0</x:v>
      </x:c>
      <x:c r="Z119" t="n">
        <x:f>IF(X119=0,0,IF(K119="Approved",1,0))</x:f>
        <x:v>0</x:v>
      </x:c>
      <x:c r="AA119" t="n">
        <x:f>IF(X119=0,0,1-Y119)</x:f>
        <x:v>0</x:v>
      </x:c>
    </x:row>
    <x:row r="120" ht="28" customHeight="1">
      <x:c r="A120" s="55"/>
      <x:c r="B120" s="55"/>
      <x:c r="C120" s="60"/>
      <x:c r="D120" s="55"/>
      <x:c r="E120" s="55"/>
      <x:c r="F120" s="55"/>
      <x:c r="G120" s="55"/>
      <x:c r="H120" s="56"/>
      <x:c r="I120" s="56"/>
      <x:c r="J120" s="56"/>
      <x:c r="K120" s="55"/>
      <x:c r="L120" s="55"/>
      <x:c r="M120" s="56"/>
      <x:c r="N120" s="56"/>
      <x:c r="O120" s="56"/>
      <x:c r="P120" s="55"/>
      <x:c r="Q120" s="55"/>
      <x:c r="R120" s="55"/>
      <x:c r="S120" s="55"/>
      <x:c r="T120" s="55"/>
      <x:c r="U120" s="56"/>
      <x:c r="V120" s="55"/>
      <x:c r="X120" t="n">
        <x:f>IF(OR(A120="",D120=""),0,IF(COUNTIFS($A$17:A120,A120,$D$17:D120,D120)=1,1,0))</x:f>
        <x:v>0</x:v>
      </x:c>
      <x:c r="Y120" t="n">
        <x:f>IF(X120=0,0,IF(OR(ISNUMBER(J120),K120="Submitted",K120="Under review",K120="Comments received",K120="Resubmitted",K120="Approved"),1,0))</x:f>
        <x:v>0</x:v>
      </x:c>
      <x:c r="Z120" t="n">
        <x:f>IF(X120=0,0,IF(K120="Approved",1,0))</x:f>
        <x:v>0</x:v>
      </x:c>
      <x:c r="AA120" t="n">
        <x:f>IF(X120=0,0,1-Y120)</x:f>
        <x:v>0</x:v>
      </x:c>
    </x:row>
    <x:row r="121" ht="28" customHeight="1">
      <x:c r="A121" s="55"/>
      <x:c r="B121" s="55"/>
      <x:c r="C121" s="60"/>
      <x:c r="D121" s="55"/>
      <x:c r="E121" s="55"/>
      <x:c r="F121" s="55"/>
      <x:c r="G121" s="55"/>
      <x:c r="H121" s="56"/>
      <x:c r="I121" s="56"/>
      <x:c r="J121" s="56"/>
      <x:c r="K121" s="55"/>
      <x:c r="L121" s="55"/>
      <x:c r="M121" s="56"/>
      <x:c r="N121" s="56"/>
      <x:c r="O121" s="56"/>
      <x:c r="P121" s="55"/>
      <x:c r="Q121" s="55"/>
      <x:c r="R121" s="55"/>
      <x:c r="S121" s="55"/>
      <x:c r="T121" s="55"/>
      <x:c r="U121" s="56"/>
      <x:c r="V121" s="55"/>
      <x:c r="X121" t="n">
        <x:f>IF(OR(A121="",D121=""),0,IF(COUNTIFS($A$17:A121,A121,$D$17:D121,D121)=1,1,0))</x:f>
        <x:v>0</x:v>
      </x:c>
      <x:c r="Y121" t="n">
        <x:f>IF(X121=0,0,IF(OR(ISNUMBER(J121),K121="Submitted",K121="Under review",K121="Comments received",K121="Resubmitted",K121="Approved"),1,0))</x:f>
        <x:v>0</x:v>
      </x:c>
      <x:c r="Z121" t="n">
        <x:f>IF(X121=0,0,IF(K121="Approved",1,0))</x:f>
        <x:v>0</x:v>
      </x:c>
      <x:c r="AA121" t="n">
        <x:f>IF(X121=0,0,1-Y121)</x:f>
        <x:v>0</x:v>
      </x:c>
    </x:row>
    <x:row r="122" ht="28" customHeight="1">
      <x:c r="A122" s="55"/>
      <x:c r="B122" s="55"/>
      <x:c r="C122" s="60"/>
      <x:c r="D122" s="55"/>
      <x:c r="E122" s="55"/>
      <x:c r="F122" s="55"/>
      <x:c r="G122" s="55"/>
      <x:c r="H122" s="56"/>
      <x:c r="I122" s="56"/>
      <x:c r="J122" s="56"/>
      <x:c r="K122" s="55"/>
      <x:c r="L122" s="55"/>
      <x:c r="M122" s="56"/>
      <x:c r="N122" s="56"/>
      <x:c r="O122" s="56"/>
      <x:c r="P122" s="55"/>
      <x:c r="Q122" s="55"/>
      <x:c r="R122" s="55"/>
      <x:c r="S122" s="55"/>
      <x:c r="T122" s="55"/>
      <x:c r="U122" s="56"/>
      <x:c r="V122" s="55"/>
      <x:c r="X122" t="n">
        <x:f>IF(OR(A122="",D122=""),0,IF(COUNTIFS($A$17:A122,A122,$D$17:D122,D122)=1,1,0))</x:f>
        <x:v>0</x:v>
      </x:c>
      <x:c r="Y122" t="n">
        <x:f>IF(X122=0,0,IF(OR(ISNUMBER(J122),K122="Submitted",K122="Under review",K122="Comments received",K122="Resubmitted",K122="Approved"),1,0))</x:f>
        <x:v>0</x:v>
      </x:c>
      <x:c r="Z122" t="n">
        <x:f>IF(X122=0,0,IF(K122="Approved",1,0))</x:f>
        <x:v>0</x:v>
      </x:c>
      <x:c r="AA122" t="n">
        <x:f>IF(X122=0,0,1-Y122)</x:f>
        <x:v>0</x:v>
      </x:c>
    </x:row>
    <x:row r="123" ht="28" customHeight="1">
      <x:c r="A123" s="55"/>
      <x:c r="B123" s="55"/>
      <x:c r="C123" s="60"/>
      <x:c r="D123" s="55"/>
      <x:c r="E123" s="55"/>
      <x:c r="F123" s="55"/>
      <x:c r="G123" s="55"/>
      <x:c r="H123" s="56"/>
      <x:c r="I123" s="56"/>
      <x:c r="J123" s="56"/>
      <x:c r="K123" s="55"/>
      <x:c r="L123" s="55"/>
      <x:c r="M123" s="56"/>
      <x:c r="N123" s="56"/>
      <x:c r="O123" s="56"/>
      <x:c r="P123" s="55"/>
      <x:c r="Q123" s="55"/>
      <x:c r="R123" s="55"/>
      <x:c r="S123" s="55"/>
      <x:c r="T123" s="55"/>
      <x:c r="U123" s="56"/>
      <x:c r="V123" s="55"/>
      <x:c r="X123" t="n">
        <x:f>IF(OR(A123="",D123=""),0,IF(COUNTIFS($A$17:A123,A123,$D$17:D123,D123)=1,1,0))</x:f>
        <x:v>0</x:v>
      </x:c>
      <x:c r="Y123" t="n">
        <x:f>IF(X123=0,0,IF(OR(ISNUMBER(J123),K123="Submitted",K123="Under review",K123="Comments received",K123="Resubmitted",K123="Approved"),1,0))</x:f>
        <x:v>0</x:v>
      </x:c>
      <x:c r="Z123" t="n">
        <x:f>IF(X123=0,0,IF(K123="Approved",1,0))</x:f>
        <x:v>0</x:v>
      </x:c>
      <x:c r="AA123" t="n">
        <x:f>IF(X123=0,0,1-Y123)</x:f>
        <x:v>0</x:v>
      </x:c>
    </x:row>
    <x:row r="124" ht="28" customHeight="1">
      <x:c r="A124" s="55"/>
      <x:c r="B124" s="55"/>
      <x:c r="C124" s="60"/>
      <x:c r="D124" s="55"/>
      <x:c r="E124" s="55"/>
      <x:c r="F124" s="55"/>
      <x:c r="G124" s="55"/>
      <x:c r="H124" s="56"/>
      <x:c r="I124" s="56"/>
      <x:c r="J124" s="56"/>
      <x:c r="K124" s="55"/>
      <x:c r="L124" s="55"/>
      <x:c r="M124" s="56"/>
      <x:c r="N124" s="56"/>
      <x:c r="O124" s="56"/>
      <x:c r="P124" s="55"/>
      <x:c r="Q124" s="55"/>
      <x:c r="R124" s="55"/>
      <x:c r="S124" s="55"/>
      <x:c r="T124" s="55"/>
      <x:c r="U124" s="56"/>
      <x:c r="V124" s="55"/>
      <x:c r="X124" t="n">
        <x:f>IF(OR(A124="",D124=""),0,IF(COUNTIFS($A$17:A124,A124,$D$17:D124,D124)=1,1,0))</x:f>
        <x:v>0</x:v>
      </x:c>
      <x:c r="Y124" t="n">
        <x:f>IF(X124=0,0,IF(OR(ISNUMBER(J124),K124="Submitted",K124="Under review",K124="Comments received",K124="Resubmitted",K124="Approved"),1,0))</x:f>
        <x:v>0</x:v>
      </x:c>
      <x:c r="Z124" t="n">
        <x:f>IF(X124=0,0,IF(K124="Approved",1,0))</x:f>
        <x:v>0</x:v>
      </x:c>
      <x:c r="AA124" t="n">
        <x:f>IF(X124=0,0,1-Y124)</x:f>
        <x:v>0</x:v>
      </x:c>
    </x:row>
    <x:row r="125" ht="28" customHeight="1">
      <x:c r="A125" s="55"/>
      <x:c r="B125" s="55"/>
      <x:c r="C125" s="60"/>
      <x:c r="D125" s="55"/>
      <x:c r="E125" s="55"/>
      <x:c r="F125" s="55"/>
      <x:c r="G125" s="55"/>
      <x:c r="H125" s="56"/>
      <x:c r="I125" s="56"/>
      <x:c r="J125" s="56"/>
      <x:c r="K125" s="55"/>
      <x:c r="L125" s="55"/>
      <x:c r="M125" s="56"/>
      <x:c r="N125" s="56"/>
      <x:c r="O125" s="56"/>
      <x:c r="P125" s="55"/>
      <x:c r="Q125" s="55"/>
      <x:c r="R125" s="55"/>
      <x:c r="S125" s="55"/>
      <x:c r="T125" s="55"/>
      <x:c r="U125" s="56"/>
      <x:c r="V125" s="55"/>
      <x:c r="X125" t="n">
        <x:f>IF(OR(A125="",D125=""),0,IF(COUNTIFS($A$17:A125,A125,$D$17:D125,D125)=1,1,0))</x:f>
        <x:v>0</x:v>
      </x:c>
      <x:c r="Y125" t="n">
        <x:f>IF(X125=0,0,IF(OR(ISNUMBER(J125),K125="Submitted",K125="Under review",K125="Comments received",K125="Resubmitted",K125="Approved"),1,0))</x:f>
        <x:v>0</x:v>
      </x:c>
      <x:c r="Z125" t="n">
        <x:f>IF(X125=0,0,IF(K125="Approved",1,0))</x:f>
        <x:v>0</x:v>
      </x:c>
      <x:c r="AA125" t="n">
        <x:f>IF(X125=0,0,1-Y125)</x:f>
        <x:v>0</x:v>
      </x:c>
    </x:row>
    <x:row r="126" ht="28" customHeight="1">
      <x:c r="A126" s="55"/>
      <x:c r="B126" s="55"/>
      <x:c r="C126" s="60"/>
      <x:c r="D126" s="55"/>
      <x:c r="E126" s="55"/>
      <x:c r="F126" s="55"/>
      <x:c r="G126" s="55"/>
      <x:c r="H126" s="56"/>
      <x:c r="I126" s="56"/>
      <x:c r="J126" s="56"/>
      <x:c r="K126" s="55"/>
      <x:c r="L126" s="55"/>
      <x:c r="M126" s="56"/>
      <x:c r="N126" s="56"/>
      <x:c r="O126" s="56"/>
      <x:c r="P126" s="55"/>
      <x:c r="Q126" s="55"/>
      <x:c r="R126" s="55"/>
      <x:c r="S126" s="55"/>
      <x:c r="T126" s="55"/>
      <x:c r="U126" s="56"/>
      <x:c r="V126" s="55"/>
      <x:c r="X126" t="n">
        <x:f>IF(OR(A126="",D126=""),0,IF(COUNTIFS($A$17:A126,A126,$D$17:D126,D126)=1,1,0))</x:f>
        <x:v>0</x:v>
      </x:c>
      <x:c r="Y126" t="n">
        <x:f>IF(X126=0,0,IF(OR(ISNUMBER(J126),K126="Submitted",K126="Under review",K126="Comments received",K126="Resubmitted",K126="Approved"),1,0))</x:f>
        <x:v>0</x:v>
      </x:c>
      <x:c r="Z126" t="n">
        <x:f>IF(X126=0,0,IF(K126="Approved",1,0))</x:f>
        <x:v>0</x:v>
      </x:c>
      <x:c r="AA126" t="n">
        <x:f>IF(X126=0,0,1-Y126)</x:f>
        <x:v>0</x:v>
      </x:c>
    </x:row>
    <x:row r="127" ht="28" customHeight="1">
      <x:c r="A127" s="55"/>
      <x:c r="B127" s="55"/>
      <x:c r="C127" s="60"/>
      <x:c r="D127" s="55"/>
      <x:c r="E127" s="55"/>
      <x:c r="F127" s="55"/>
      <x:c r="G127" s="55"/>
      <x:c r="H127" s="56"/>
      <x:c r="I127" s="56"/>
      <x:c r="J127" s="56"/>
      <x:c r="K127" s="55"/>
      <x:c r="L127" s="55"/>
      <x:c r="M127" s="56"/>
      <x:c r="N127" s="56"/>
      <x:c r="O127" s="56"/>
      <x:c r="P127" s="55"/>
      <x:c r="Q127" s="55"/>
      <x:c r="R127" s="55"/>
      <x:c r="S127" s="55"/>
      <x:c r="T127" s="55"/>
      <x:c r="U127" s="56"/>
      <x:c r="V127" s="55"/>
      <x:c r="X127" t="n">
        <x:f>IF(OR(A127="",D127=""),0,IF(COUNTIFS($A$17:A127,A127,$D$17:D127,D127)=1,1,0))</x:f>
        <x:v>0</x:v>
      </x:c>
      <x:c r="Y127" t="n">
        <x:f>IF(X127=0,0,IF(OR(ISNUMBER(J127),K127="Submitted",K127="Under review",K127="Comments received",K127="Resubmitted",K127="Approved"),1,0))</x:f>
        <x:v>0</x:v>
      </x:c>
      <x:c r="Z127" t="n">
        <x:f>IF(X127=0,0,IF(K127="Approved",1,0))</x:f>
        <x:v>0</x:v>
      </x:c>
      <x:c r="AA127" t="n">
        <x:f>IF(X127=0,0,1-Y127)</x:f>
        <x:v>0</x:v>
      </x:c>
    </x:row>
    <x:row r="128" ht="28" customHeight="1">
      <x:c r="A128" s="55"/>
      <x:c r="B128" s="55"/>
      <x:c r="C128" s="60"/>
      <x:c r="D128" s="55"/>
      <x:c r="E128" s="55"/>
      <x:c r="F128" s="55"/>
      <x:c r="G128" s="55"/>
      <x:c r="H128" s="56"/>
      <x:c r="I128" s="56"/>
      <x:c r="J128" s="56"/>
      <x:c r="K128" s="55"/>
      <x:c r="L128" s="55"/>
      <x:c r="M128" s="56"/>
      <x:c r="N128" s="56"/>
      <x:c r="O128" s="56"/>
      <x:c r="P128" s="55"/>
      <x:c r="Q128" s="55"/>
      <x:c r="R128" s="55"/>
      <x:c r="S128" s="55"/>
      <x:c r="T128" s="55"/>
      <x:c r="U128" s="56"/>
      <x:c r="V128" s="55"/>
      <x:c r="X128" t="n">
        <x:f>IF(OR(A128="",D128=""),0,IF(COUNTIFS($A$17:A128,A128,$D$17:D128,D128)=1,1,0))</x:f>
        <x:v>0</x:v>
      </x:c>
      <x:c r="Y128" t="n">
        <x:f>IF(X128=0,0,IF(OR(ISNUMBER(J128),K128="Submitted",K128="Under review",K128="Comments received",K128="Resubmitted",K128="Approved"),1,0))</x:f>
        <x:v>0</x:v>
      </x:c>
      <x:c r="Z128" t="n">
        <x:f>IF(X128=0,0,IF(K128="Approved",1,0))</x:f>
        <x:v>0</x:v>
      </x:c>
      <x:c r="AA128" t="n">
        <x:f>IF(X128=0,0,1-Y128)</x:f>
        <x:v>0</x:v>
      </x:c>
    </x:row>
    <x:row r="129" ht="28" customHeight="1">
      <x:c r="A129" s="55"/>
      <x:c r="B129" s="55"/>
      <x:c r="C129" s="60"/>
      <x:c r="D129" s="55"/>
      <x:c r="E129" s="55"/>
      <x:c r="F129" s="55"/>
      <x:c r="G129" s="55"/>
      <x:c r="H129" s="56"/>
      <x:c r="I129" s="56"/>
      <x:c r="J129" s="56"/>
      <x:c r="K129" s="55"/>
      <x:c r="L129" s="55"/>
      <x:c r="M129" s="56"/>
      <x:c r="N129" s="56"/>
      <x:c r="O129" s="56"/>
      <x:c r="P129" s="55"/>
      <x:c r="Q129" s="55"/>
      <x:c r="R129" s="55"/>
      <x:c r="S129" s="55"/>
      <x:c r="T129" s="55"/>
      <x:c r="U129" s="56"/>
      <x:c r="V129" s="55"/>
      <x:c r="X129" t="n">
        <x:f>IF(OR(A129="",D129=""),0,IF(COUNTIFS($A$17:A129,A129,$D$17:D129,D129)=1,1,0))</x:f>
        <x:v>0</x:v>
      </x:c>
      <x:c r="Y129" t="n">
        <x:f>IF(X129=0,0,IF(OR(ISNUMBER(J129),K129="Submitted",K129="Under review",K129="Comments received",K129="Resubmitted",K129="Approved"),1,0))</x:f>
        <x:v>0</x:v>
      </x:c>
      <x:c r="Z129" t="n">
        <x:f>IF(X129=0,0,IF(K129="Approved",1,0))</x:f>
        <x:v>0</x:v>
      </x:c>
      <x:c r="AA129" t="n">
        <x:f>IF(X129=0,0,1-Y129)</x:f>
        <x:v>0</x:v>
      </x:c>
    </x:row>
    <x:row r="130" ht="28" customHeight="1">
      <x:c r="A130" s="55"/>
      <x:c r="B130" s="55"/>
      <x:c r="C130" s="60"/>
      <x:c r="D130" s="55"/>
      <x:c r="E130" s="55"/>
      <x:c r="F130" s="55"/>
      <x:c r="G130" s="55"/>
      <x:c r="H130" s="56"/>
      <x:c r="I130" s="56"/>
      <x:c r="J130" s="56"/>
      <x:c r="K130" s="55"/>
      <x:c r="L130" s="55"/>
      <x:c r="M130" s="56"/>
      <x:c r="N130" s="56"/>
      <x:c r="O130" s="56"/>
      <x:c r="P130" s="55"/>
      <x:c r="Q130" s="55"/>
      <x:c r="R130" s="55"/>
      <x:c r="S130" s="55"/>
      <x:c r="T130" s="55"/>
      <x:c r="U130" s="56"/>
      <x:c r="V130" s="55"/>
      <x:c r="X130" t="n">
        <x:f>IF(OR(A130="",D130=""),0,IF(COUNTIFS($A$17:A130,A130,$D$17:D130,D130)=1,1,0))</x:f>
        <x:v>0</x:v>
      </x:c>
      <x:c r="Y130" t="n">
        <x:f>IF(X130=0,0,IF(OR(ISNUMBER(J130),K130="Submitted",K130="Under review",K130="Comments received",K130="Resubmitted",K130="Approved"),1,0))</x:f>
        <x:v>0</x:v>
      </x:c>
      <x:c r="Z130" t="n">
        <x:f>IF(X130=0,0,IF(K130="Approved",1,0))</x:f>
        <x:v>0</x:v>
      </x:c>
      <x:c r="AA130" t="n">
        <x:f>IF(X130=0,0,1-Y130)</x:f>
        <x:v>0</x:v>
      </x:c>
    </x:row>
    <x:row r="131" ht="28" customHeight="1">
      <x:c r="A131" s="55"/>
      <x:c r="B131" s="55"/>
      <x:c r="C131" s="60"/>
      <x:c r="D131" s="55"/>
      <x:c r="E131" s="55"/>
      <x:c r="F131" s="55"/>
      <x:c r="G131" s="55"/>
      <x:c r="H131" s="56"/>
      <x:c r="I131" s="56"/>
      <x:c r="J131" s="56"/>
      <x:c r="K131" s="55"/>
      <x:c r="L131" s="55"/>
      <x:c r="M131" s="56"/>
      <x:c r="N131" s="56"/>
      <x:c r="O131" s="56"/>
      <x:c r="P131" s="55"/>
      <x:c r="Q131" s="55"/>
      <x:c r="R131" s="55"/>
      <x:c r="S131" s="55"/>
      <x:c r="T131" s="55"/>
      <x:c r="U131" s="56"/>
      <x:c r="V131" s="55"/>
      <x:c r="X131" t="n">
        <x:f>IF(OR(A131="",D131=""),0,IF(COUNTIFS($A$17:A131,A131,$D$17:D131,D131)=1,1,0))</x:f>
        <x:v>0</x:v>
      </x:c>
      <x:c r="Y131" t="n">
        <x:f>IF(X131=0,0,IF(OR(ISNUMBER(J131),K131="Submitted",K131="Under review",K131="Comments received",K131="Resubmitted",K131="Approved"),1,0))</x:f>
        <x:v>0</x:v>
      </x:c>
      <x:c r="Z131" t="n">
        <x:f>IF(X131=0,0,IF(K131="Approved",1,0))</x:f>
        <x:v>0</x:v>
      </x:c>
      <x:c r="AA131" t="n">
        <x:f>IF(X131=0,0,1-Y131)</x:f>
        <x:v>0</x:v>
      </x:c>
    </x:row>
    <x:row r="132" ht="28" customHeight="1">
      <x:c r="A132" s="55"/>
      <x:c r="B132" s="55"/>
      <x:c r="C132" s="60"/>
      <x:c r="D132" s="55"/>
      <x:c r="E132" s="55"/>
      <x:c r="F132" s="55"/>
      <x:c r="G132" s="55"/>
      <x:c r="H132" s="56"/>
      <x:c r="I132" s="56"/>
      <x:c r="J132" s="56"/>
      <x:c r="K132" s="55"/>
      <x:c r="L132" s="55"/>
      <x:c r="M132" s="56"/>
      <x:c r="N132" s="56"/>
      <x:c r="O132" s="56"/>
      <x:c r="P132" s="55"/>
      <x:c r="Q132" s="55"/>
      <x:c r="R132" s="55"/>
      <x:c r="S132" s="55"/>
      <x:c r="T132" s="55"/>
      <x:c r="U132" s="56"/>
      <x:c r="V132" s="55"/>
      <x:c r="X132" t="n">
        <x:f>IF(OR(A132="",D132=""),0,IF(COUNTIFS($A$17:A132,A132,$D$17:D132,D132)=1,1,0))</x:f>
        <x:v>0</x:v>
      </x:c>
      <x:c r="Y132" t="n">
        <x:f>IF(X132=0,0,IF(OR(ISNUMBER(J132),K132="Submitted",K132="Under review",K132="Comments received",K132="Resubmitted",K132="Approved"),1,0))</x:f>
        <x:v>0</x:v>
      </x:c>
      <x:c r="Z132" t="n">
        <x:f>IF(X132=0,0,IF(K132="Approved",1,0))</x:f>
        <x:v>0</x:v>
      </x:c>
      <x:c r="AA132" t="n">
        <x:f>IF(X132=0,0,1-Y132)</x:f>
        <x:v>0</x:v>
      </x:c>
    </x:row>
    <x:row r="133" ht="28" customHeight="1">
      <x:c r="A133" s="55"/>
      <x:c r="B133" s="55"/>
      <x:c r="C133" s="60"/>
      <x:c r="D133" s="55"/>
      <x:c r="E133" s="55"/>
      <x:c r="F133" s="55"/>
      <x:c r="G133" s="55"/>
      <x:c r="H133" s="56"/>
      <x:c r="I133" s="56"/>
      <x:c r="J133" s="56"/>
      <x:c r="K133" s="55"/>
      <x:c r="L133" s="55"/>
      <x:c r="M133" s="56"/>
      <x:c r="N133" s="56"/>
      <x:c r="O133" s="56"/>
      <x:c r="P133" s="55"/>
      <x:c r="Q133" s="55"/>
      <x:c r="R133" s="55"/>
      <x:c r="S133" s="55"/>
      <x:c r="T133" s="55"/>
      <x:c r="U133" s="56"/>
      <x:c r="V133" s="55"/>
      <x:c r="X133" t="n">
        <x:f>IF(OR(A133="",D133=""),0,IF(COUNTIFS($A$17:A133,A133,$D$17:D133,D133)=1,1,0))</x:f>
        <x:v>0</x:v>
      </x:c>
      <x:c r="Y133" t="n">
        <x:f>IF(X133=0,0,IF(OR(ISNUMBER(J133),K133="Submitted",K133="Under review",K133="Comments received",K133="Resubmitted",K133="Approved"),1,0))</x:f>
        <x:v>0</x:v>
      </x:c>
      <x:c r="Z133" t="n">
        <x:f>IF(X133=0,0,IF(K133="Approved",1,0))</x:f>
        <x:v>0</x:v>
      </x:c>
      <x:c r="AA133" t="n">
        <x:f>IF(X133=0,0,1-Y133)</x:f>
        <x:v>0</x:v>
      </x:c>
    </x:row>
    <x:row r="134" ht="28" customHeight="1">
      <x:c r="A134" s="55"/>
      <x:c r="B134" s="55"/>
      <x:c r="C134" s="60"/>
      <x:c r="D134" s="55"/>
      <x:c r="E134" s="55"/>
      <x:c r="F134" s="55"/>
      <x:c r="G134" s="55"/>
      <x:c r="H134" s="56"/>
      <x:c r="I134" s="56"/>
      <x:c r="J134" s="56"/>
      <x:c r="K134" s="55"/>
      <x:c r="L134" s="55"/>
      <x:c r="M134" s="56"/>
      <x:c r="N134" s="56"/>
      <x:c r="O134" s="56"/>
      <x:c r="P134" s="55"/>
      <x:c r="Q134" s="55"/>
      <x:c r="R134" s="55"/>
      <x:c r="S134" s="55"/>
      <x:c r="T134" s="55"/>
      <x:c r="U134" s="56"/>
      <x:c r="V134" s="55"/>
      <x:c r="X134" t="n">
        <x:f>IF(OR(A134="",D134=""),0,IF(COUNTIFS($A$17:A134,A134,$D$17:D134,D134)=1,1,0))</x:f>
        <x:v>0</x:v>
      </x:c>
      <x:c r="Y134" t="n">
        <x:f>IF(X134=0,0,IF(OR(ISNUMBER(J134),K134="Submitted",K134="Under review",K134="Comments received",K134="Resubmitted",K134="Approved"),1,0))</x:f>
        <x:v>0</x:v>
      </x:c>
      <x:c r="Z134" t="n">
        <x:f>IF(X134=0,0,IF(K134="Approved",1,0))</x:f>
        <x:v>0</x:v>
      </x:c>
      <x:c r="AA134" t="n">
        <x:f>IF(X134=0,0,1-Y134)</x:f>
        <x:v>0</x:v>
      </x:c>
    </x:row>
    <x:row r="135" ht="28" customHeight="1">
      <x:c r="A135" s="55"/>
      <x:c r="B135" s="55"/>
      <x:c r="C135" s="60"/>
      <x:c r="D135" s="55"/>
      <x:c r="E135" s="55"/>
      <x:c r="F135" s="55"/>
      <x:c r="G135" s="55"/>
      <x:c r="H135" s="56"/>
      <x:c r="I135" s="56"/>
      <x:c r="J135" s="56"/>
      <x:c r="K135" s="55"/>
      <x:c r="L135" s="55"/>
      <x:c r="M135" s="56"/>
      <x:c r="N135" s="56"/>
      <x:c r="O135" s="56"/>
      <x:c r="P135" s="55"/>
      <x:c r="Q135" s="55"/>
      <x:c r="R135" s="55"/>
      <x:c r="S135" s="55"/>
      <x:c r="T135" s="55"/>
      <x:c r="U135" s="56"/>
      <x:c r="V135" s="55"/>
      <x:c r="X135" t="n">
        <x:f>IF(OR(A135="",D135=""),0,IF(COUNTIFS($A$17:A135,A135,$D$17:D135,D135)=1,1,0))</x:f>
        <x:v>0</x:v>
      </x:c>
      <x:c r="Y135" t="n">
        <x:f>IF(X135=0,0,IF(OR(ISNUMBER(J135),K135="Submitted",K135="Under review",K135="Comments received",K135="Resubmitted",K135="Approved"),1,0))</x:f>
        <x:v>0</x:v>
      </x:c>
      <x:c r="Z135" t="n">
        <x:f>IF(X135=0,0,IF(K135="Approved",1,0))</x:f>
        <x:v>0</x:v>
      </x:c>
      <x:c r="AA135" t="n">
        <x:f>IF(X135=0,0,1-Y135)</x:f>
        <x:v>0</x:v>
      </x:c>
    </x:row>
    <x:row r="136" ht="28" customHeight="1">
      <x:c r="A136" s="55"/>
      <x:c r="B136" s="55"/>
      <x:c r="C136" s="60"/>
      <x:c r="D136" s="55"/>
      <x:c r="E136" s="55"/>
      <x:c r="F136" s="55"/>
      <x:c r="G136" s="55"/>
      <x:c r="H136" s="56"/>
      <x:c r="I136" s="56"/>
      <x:c r="J136" s="56"/>
      <x:c r="K136" s="55"/>
      <x:c r="L136" s="55"/>
      <x:c r="M136" s="56"/>
      <x:c r="N136" s="56"/>
      <x:c r="O136" s="56"/>
      <x:c r="P136" s="55"/>
      <x:c r="Q136" s="55"/>
      <x:c r="R136" s="55"/>
      <x:c r="S136" s="55"/>
      <x:c r="T136" s="55"/>
      <x:c r="U136" s="56"/>
      <x:c r="V136" s="55"/>
      <x:c r="X136" t="n">
        <x:f>IF(OR(A136="",D136=""),0,IF(COUNTIFS($A$17:A136,A136,$D$17:D136,D136)=1,1,0))</x:f>
        <x:v>0</x:v>
      </x:c>
      <x:c r="Y136" t="n">
        <x:f>IF(X136=0,0,IF(OR(ISNUMBER(J136),K136="Submitted",K136="Under review",K136="Comments received",K136="Resubmitted",K136="Approved"),1,0))</x:f>
        <x:v>0</x:v>
      </x:c>
      <x:c r="Z136" t="n">
        <x:f>IF(X136=0,0,IF(K136="Approved",1,0))</x:f>
        <x:v>0</x:v>
      </x:c>
      <x:c r="AA136" t="n">
        <x:f>IF(X136=0,0,1-Y136)</x:f>
        <x:v>0</x:v>
      </x:c>
    </x:row>
    <x:row r="137" ht="28" customHeight="1">
      <x:c r="A137" s="55"/>
      <x:c r="B137" s="55"/>
      <x:c r="C137" s="60"/>
      <x:c r="D137" s="55"/>
      <x:c r="E137" s="55"/>
      <x:c r="F137" s="55"/>
      <x:c r="G137" s="55"/>
      <x:c r="H137" s="56"/>
      <x:c r="I137" s="56"/>
      <x:c r="J137" s="56"/>
      <x:c r="K137" s="55"/>
      <x:c r="L137" s="55"/>
      <x:c r="M137" s="56"/>
      <x:c r="N137" s="56"/>
      <x:c r="O137" s="56"/>
      <x:c r="P137" s="55"/>
      <x:c r="Q137" s="55"/>
      <x:c r="R137" s="55"/>
      <x:c r="S137" s="55"/>
      <x:c r="T137" s="55"/>
      <x:c r="U137" s="56"/>
      <x:c r="V137" s="55"/>
      <x:c r="X137" t="n">
        <x:f>IF(OR(A137="",D137=""),0,IF(COUNTIFS($A$17:A137,A137,$D$17:D137,D137)=1,1,0))</x:f>
        <x:v>0</x:v>
      </x:c>
      <x:c r="Y137" t="n">
        <x:f>IF(X137=0,0,IF(OR(ISNUMBER(J137),K137="Submitted",K137="Under review",K137="Comments received",K137="Resubmitted",K137="Approved"),1,0))</x:f>
        <x:v>0</x:v>
      </x:c>
      <x:c r="Z137" t="n">
        <x:f>IF(X137=0,0,IF(K137="Approved",1,0))</x:f>
        <x:v>0</x:v>
      </x:c>
      <x:c r="AA137" t="n">
        <x:f>IF(X137=0,0,1-Y137)</x:f>
        <x:v>0</x:v>
      </x:c>
    </x:row>
    <x:row r="138" ht="28" customHeight="1">
      <x:c r="A138" s="55"/>
      <x:c r="B138" s="55"/>
      <x:c r="C138" s="60"/>
      <x:c r="D138" s="55"/>
      <x:c r="E138" s="55"/>
      <x:c r="F138" s="55"/>
      <x:c r="G138" s="55"/>
      <x:c r="H138" s="56"/>
      <x:c r="I138" s="56"/>
      <x:c r="J138" s="56"/>
      <x:c r="K138" s="55"/>
      <x:c r="L138" s="55"/>
      <x:c r="M138" s="56"/>
      <x:c r="N138" s="56"/>
      <x:c r="O138" s="56"/>
      <x:c r="P138" s="55"/>
      <x:c r="Q138" s="55"/>
      <x:c r="R138" s="55"/>
      <x:c r="S138" s="55"/>
      <x:c r="T138" s="55"/>
      <x:c r="U138" s="56"/>
      <x:c r="V138" s="55"/>
      <x:c r="X138" t="n">
        <x:f>IF(OR(A138="",D138=""),0,IF(COUNTIFS($A$17:A138,A138,$D$17:D138,D138)=1,1,0))</x:f>
        <x:v>0</x:v>
      </x:c>
      <x:c r="Y138" t="n">
        <x:f>IF(X138=0,0,IF(OR(ISNUMBER(J138),K138="Submitted",K138="Under review",K138="Comments received",K138="Resubmitted",K138="Approved"),1,0))</x:f>
        <x:v>0</x:v>
      </x:c>
      <x:c r="Z138" t="n">
        <x:f>IF(X138=0,0,IF(K138="Approved",1,0))</x:f>
        <x:v>0</x:v>
      </x:c>
      <x:c r="AA138" t="n">
        <x:f>IF(X138=0,0,1-Y138)</x:f>
        <x:v>0</x:v>
      </x:c>
    </x:row>
    <x:row r="139" ht="28" customHeight="1">
      <x:c r="A139" s="55"/>
      <x:c r="B139" s="55"/>
      <x:c r="C139" s="60"/>
      <x:c r="D139" s="55"/>
      <x:c r="E139" s="55"/>
      <x:c r="F139" s="55"/>
      <x:c r="G139" s="55"/>
      <x:c r="H139" s="56"/>
      <x:c r="I139" s="56"/>
      <x:c r="J139" s="56"/>
      <x:c r="K139" s="55"/>
      <x:c r="L139" s="55"/>
      <x:c r="M139" s="56"/>
      <x:c r="N139" s="56"/>
      <x:c r="O139" s="56"/>
      <x:c r="P139" s="55"/>
      <x:c r="Q139" s="55"/>
      <x:c r="R139" s="55"/>
      <x:c r="S139" s="55"/>
      <x:c r="T139" s="55"/>
      <x:c r="U139" s="56"/>
      <x:c r="V139" s="55"/>
      <x:c r="X139" t="n">
        <x:f>IF(OR(A139="",D139=""),0,IF(COUNTIFS($A$17:A139,A139,$D$17:D139,D139)=1,1,0))</x:f>
        <x:v>0</x:v>
      </x:c>
      <x:c r="Y139" t="n">
        <x:f>IF(X139=0,0,IF(OR(ISNUMBER(J139),K139="Submitted",K139="Under review",K139="Comments received",K139="Resubmitted",K139="Approved"),1,0))</x:f>
        <x:v>0</x:v>
      </x:c>
      <x:c r="Z139" t="n">
        <x:f>IF(X139=0,0,IF(K139="Approved",1,0))</x:f>
        <x:v>0</x:v>
      </x:c>
      <x:c r="AA139" t="n">
        <x:f>IF(X139=0,0,1-Y139)</x:f>
        <x:v>0</x:v>
      </x:c>
    </x:row>
    <x:row r="140" ht="28" customHeight="1">
      <x:c r="A140" s="55"/>
      <x:c r="B140" s="55"/>
      <x:c r="C140" s="60"/>
      <x:c r="D140" s="55"/>
      <x:c r="E140" s="55"/>
      <x:c r="F140" s="55"/>
      <x:c r="G140" s="55"/>
      <x:c r="H140" s="56"/>
      <x:c r="I140" s="56"/>
      <x:c r="J140" s="56"/>
      <x:c r="K140" s="55"/>
      <x:c r="L140" s="55"/>
      <x:c r="M140" s="56"/>
      <x:c r="N140" s="56"/>
      <x:c r="O140" s="56"/>
      <x:c r="P140" s="55"/>
      <x:c r="Q140" s="55"/>
      <x:c r="R140" s="55"/>
      <x:c r="S140" s="55"/>
      <x:c r="T140" s="55"/>
      <x:c r="U140" s="56"/>
      <x:c r="V140" s="55"/>
      <x:c r="X140" t="n">
        <x:f>IF(OR(A140="",D140=""),0,IF(COUNTIFS($A$17:A140,A140,$D$17:D140,D140)=1,1,0))</x:f>
        <x:v>0</x:v>
      </x:c>
      <x:c r="Y140" t="n">
        <x:f>IF(X140=0,0,IF(OR(ISNUMBER(J140),K140="Submitted",K140="Under review",K140="Comments received",K140="Resubmitted",K140="Approved"),1,0))</x:f>
        <x:v>0</x:v>
      </x:c>
      <x:c r="Z140" t="n">
        <x:f>IF(X140=0,0,IF(K140="Approved",1,0))</x:f>
        <x:v>0</x:v>
      </x:c>
      <x:c r="AA140" t="n">
        <x:f>IF(X140=0,0,1-Y140)</x:f>
        <x:v>0</x:v>
      </x:c>
    </x:row>
    <x:row r="141" ht="28" customHeight="1">
      <x:c r="A141" s="55"/>
      <x:c r="B141" s="55"/>
      <x:c r="C141" s="60"/>
      <x:c r="D141" s="55"/>
      <x:c r="E141" s="55"/>
      <x:c r="F141" s="55"/>
      <x:c r="G141" s="55"/>
      <x:c r="H141" s="56"/>
      <x:c r="I141" s="56"/>
      <x:c r="J141" s="56"/>
      <x:c r="K141" s="55"/>
      <x:c r="L141" s="55"/>
      <x:c r="M141" s="56"/>
      <x:c r="N141" s="56"/>
      <x:c r="O141" s="56"/>
      <x:c r="P141" s="55"/>
      <x:c r="Q141" s="55"/>
      <x:c r="R141" s="55"/>
      <x:c r="S141" s="55"/>
      <x:c r="T141" s="55"/>
      <x:c r="U141" s="56"/>
      <x:c r="V141" s="55"/>
      <x:c r="X141" t="n">
        <x:f>IF(OR(A141="",D141=""),0,IF(COUNTIFS($A$17:A141,A141,$D$17:D141,D141)=1,1,0))</x:f>
        <x:v>0</x:v>
      </x:c>
      <x:c r="Y141" t="n">
        <x:f>IF(X141=0,0,IF(OR(ISNUMBER(J141),K141="Submitted",K141="Under review",K141="Comments received",K141="Resubmitted",K141="Approved"),1,0))</x:f>
        <x:v>0</x:v>
      </x:c>
      <x:c r="Z141" t="n">
        <x:f>IF(X141=0,0,IF(K141="Approved",1,0))</x:f>
        <x:v>0</x:v>
      </x:c>
      <x:c r="AA141" t="n">
        <x:f>IF(X141=0,0,1-Y141)</x:f>
        <x:v>0</x:v>
      </x:c>
    </x:row>
    <x:row r="142" ht="28" customHeight="1">
      <x:c r="A142" s="55"/>
      <x:c r="B142" s="55"/>
      <x:c r="C142" s="60"/>
      <x:c r="D142" s="55"/>
      <x:c r="E142" s="55"/>
      <x:c r="F142" s="55"/>
      <x:c r="G142" s="55"/>
      <x:c r="H142" s="56"/>
      <x:c r="I142" s="56"/>
      <x:c r="J142" s="56"/>
      <x:c r="K142" s="55"/>
      <x:c r="L142" s="55"/>
      <x:c r="M142" s="56"/>
      <x:c r="N142" s="56"/>
      <x:c r="O142" s="56"/>
      <x:c r="P142" s="55"/>
      <x:c r="Q142" s="55"/>
      <x:c r="R142" s="55"/>
      <x:c r="S142" s="55"/>
      <x:c r="T142" s="55"/>
      <x:c r="U142" s="56"/>
      <x:c r="V142" s="55"/>
      <x:c r="X142" t="n">
        <x:f>IF(OR(A142="",D142=""),0,IF(COUNTIFS($A$17:A142,A142,$D$17:D142,D142)=1,1,0))</x:f>
        <x:v>0</x:v>
      </x:c>
      <x:c r="Y142" t="n">
        <x:f>IF(X142=0,0,IF(OR(ISNUMBER(J142),K142="Submitted",K142="Under review",K142="Comments received",K142="Resubmitted",K142="Approved"),1,0))</x:f>
        <x:v>0</x:v>
      </x:c>
      <x:c r="Z142" t="n">
        <x:f>IF(X142=0,0,IF(K142="Approved",1,0))</x:f>
        <x:v>0</x:v>
      </x:c>
      <x:c r="AA142" t="n">
        <x:f>IF(X142=0,0,1-Y142)</x:f>
        <x:v>0</x:v>
      </x:c>
    </x:row>
    <x:row r="143" ht="28" customHeight="1">
      <x:c r="A143" s="55"/>
      <x:c r="B143" s="55"/>
      <x:c r="C143" s="60"/>
      <x:c r="D143" s="55"/>
      <x:c r="E143" s="55"/>
      <x:c r="F143" s="55"/>
      <x:c r="G143" s="55"/>
      <x:c r="H143" s="56"/>
      <x:c r="I143" s="56"/>
      <x:c r="J143" s="56"/>
      <x:c r="K143" s="55"/>
      <x:c r="L143" s="55"/>
      <x:c r="M143" s="56"/>
      <x:c r="N143" s="56"/>
      <x:c r="O143" s="56"/>
      <x:c r="P143" s="55"/>
      <x:c r="Q143" s="55"/>
      <x:c r="R143" s="55"/>
      <x:c r="S143" s="55"/>
      <x:c r="T143" s="55"/>
      <x:c r="U143" s="56"/>
      <x:c r="V143" s="55"/>
      <x:c r="X143" t="n">
        <x:f>IF(OR(A143="",D143=""),0,IF(COUNTIFS($A$17:A143,A143,$D$17:D143,D143)=1,1,0))</x:f>
        <x:v>0</x:v>
      </x:c>
      <x:c r="Y143" t="n">
        <x:f>IF(X143=0,0,IF(OR(ISNUMBER(J143),K143="Submitted",K143="Under review",K143="Comments received",K143="Resubmitted",K143="Approved"),1,0))</x:f>
        <x:v>0</x:v>
      </x:c>
      <x:c r="Z143" t="n">
        <x:f>IF(X143=0,0,IF(K143="Approved",1,0))</x:f>
        <x:v>0</x:v>
      </x:c>
      <x:c r="AA143" t="n">
        <x:f>IF(X143=0,0,1-Y143)</x:f>
        <x:v>0</x:v>
      </x:c>
    </x:row>
    <x:row r="144" ht="28" customHeight="1">
      <x:c r="A144" s="55"/>
      <x:c r="B144" s="55"/>
      <x:c r="C144" s="60"/>
      <x:c r="D144" s="55"/>
      <x:c r="E144" s="55"/>
      <x:c r="F144" s="55"/>
      <x:c r="G144" s="55"/>
      <x:c r="H144" s="56"/>
      <x:c r="I144" s="56"/>
      <x:c r="J144" s="56"/>
      <x:c r="K144" s="55"/>
      <x:c r="L144" s="55"/>
      <x:c r="M144" s="56"/>
      <x:c r="N144" s="56"/>
      <x:c r="O144" s="56"/>
      <x:c r="P144" s="55"/>
      <x:c r="Q144" s="55"/>
      <x:c r="R144" s="55"/>
      <x:c r="S144" s="55"/>
      <x:c r="T144" s="55"/>
      <x:c r="U144" s="56"/>
      <x:c r="V144" s="55"/>
      <x:c r="X144" t="n">
        <x:f>IF(OR(A144="",D144=""),0,IF(COUNTIFS($A$17:A144,A144,$D$17:D144,D144)=1,1,0))</x:f>
        <x:v>0</x:v>
      </x:c>
      <x:c r="Y144" t="n">
        <x:f>IF(X144=0,0,IF(OR(ISNUMBER(J144),K144="Submitted",K144="Under review",K144="Comments received",K144="Resubmitted",K144="Approved"),1,0))</x:f>
        <x:v>0</x:v>
      </x:c>
      <x:c r="Z144" t="n">
        <x:f>IF(X144=0,0,IF(K144="Approved",1,0))</x:f>
        <x:v>0</x:v>
      </x:c>
      <x:c r="AA144" t="n">
        <x:f>IF(X144=0,0,1-Y144)</x:f>
        <x:v>0</x:v>
      </x:c>
    </x:row>
    <x:row r="145" ht="28" customHeight="1">
      <x:c r="A145" s="55"/>
      <x:c r="B145" s="55"/>
      <x:c r="C145" s="60"/>
      <x:c r="D145" s="55"/>
      <x:c r="E145" s="55"/>
      <x:c r="F145" s="55"/>
      <x:c r="G145" s="55"/>
      <x:c r="H145" s="56"/>
      <x:c r="I145" s="56"/>
      <x:c r="J145" s="56"/>
      <x:c r="K145" s="55"/>
      <x:c r="L145" s="55"/>
      <x:c r="M145" s="56"/>
      <x:c r="N145" s="56"/>
      <x:c r="O145" s="56"/>
      <x:c r="P145" s="55"/>
      <x:c r="Q145" s="55"/>
      <x:c r="R145" s="55"/>
      <x:c r="S145" s="55"/>
      <x:c r="T145" s="55"/>
      <x:c r="U145" s="56"/>
      <x:c r="V145" s="55"/>
      <x:c r="X145" t="n">
        <x:f>IF(OR(A145="",D145=""),0,IF(COUNTIFS($A$17:A145,A145,$D$17:D145,D145)=1,1,0))</x:f>
        <x:v>0</x:v>
      </x:c>
      <x:c r="Y145" t="n">
        <x:f>IF(X145=0,0,IF(OR(ISNUMBER(J145),K145="Submitted",K145="Under review",K145="Comments received",K145="Resubmitted",K145="Approved"),1,0))</x:f>
        <x:v>0</x:v>
      </x:c>
      <x:c r="Z145" t="n">
        <x:f>IF(X145=0,0,IF(K145="Approved",1,0))</x:f>
        <x:v>0</x:v>
      </x:c>
      <x:c r="AA145" t="n">
        <x:f>IF(X145=0,0,1-Y145)</x:f>
        <x:v>0</x:v>
      </x:c>
    </x:row>
    <x:row r="146" ht="28" customHeight="1">
      <x:c r="A146" s="55"/>
      <x:c r="B146" s="55"/>
      <x:c r="C146" s="60"/>
      <x:c r="D146" s="55"/>
      <x:c r="E146" s="55"/>
      <x:c r="F146" s="55"/>
      <x:c r="G146" s="55"/>
      <x:c r="H146" s="56"/>
      <x:c r="I146" s="56"/>
      <x:c r="J146" s="56"/>
      <x:c r="K146" s="55"/>
      <x:c r="L146" s="55"/>
      <x:c r="M146" s="56"/>
      <x:c r="N146" s="56"/>
      <x:c r="O146" s="56"/>
      <x:c r="P146" s="55"/>
      <x:c r="Q146" s="55"/>
      <x:c r="R146" s="55"/>
      <x:c r="S146" s="55"/>
      <x:c r="T146" s="55"/>
      <x:c r="U146" s="56"/>
      <x:c r="V146" s="55"/>
      <x:c r="X146" t="n">
        <x:f>IF(OR(A146="",D146=""),0,IF(COUNTIFS($A$17:A146,A146,$D$17:D146,D146)=1,1,0))</x:f>
        <x:v>0</x:v>
      </x:c>
      <x:c r="Y146" t="n">
        <x:f>IF(X146=0,0,IF(OR(ISNUMBER(J146),K146="Submitted",K146="Under review",K146="Comments received",K146="Resubmitted",K146="Approved"),1,0))</x:f>
        <x:v>0</x:v>
      </x:c>
      <x:c r="Z146" t="n">
        <x:f>IF(X146=0,0,IF(K146="Approved",1,0))</x:f>
        <x:v>0</x:v>
      </x:c>
      <x:c r="AA146" t="n">
        <x:f>IF(X146=0,0,1-Y146)</x:f>
        <x:v>0</x:v>
      </x:c>
    </x:row>
    <x:row r="147" ht="28" customHeight="1">
      <x:c r="A147" s="55"/>
      <x:c r="B147" s="55"/>
      <x:c r="C147" s="60"/>
      <x:c r="D147" s="55"/>
      <x:c r="E147" s="55"/>
      <x:c r="F147" s="55"/>
      <x:c r="G147" s="55"/>
      <x:c r="H147" s="56"/>
      <x:c r="I147" s="56"/>
      <x:c r="J147" s="56"/>
      <x:c r="K147" s="55"/>
      <x:c r="L147" s="55"/>
      <x:c r="M147" s="56"/>
      <x:c r="N147" s="56"/>
      <x:c r="O147" s="56"/>
      <x:c r="P147" s="55"/>
      <x:c r="Q147" s="55"/>
      <x:c r="R147" s="55"/>
      <x:c r="S147" s="55"/>
      <x:c r="T147" s="55"/>
      <x:c r="U147" s="56"/>
      <x:c r="V147" s="55"/>
      <x:c r="X147" t="n">
        <x:f>IF(OR(A147="",D147=""),0,IF(COUNTIFS($A$17:A147,A147,$D$17:D147,D147)=1,1,0))</x:f>
        <x:v>0</x:v>
      </x:c>
      <x:c r="Y147" t="n">
        <x:f>IF(X147=0,0,IF(OR(ISNUMBER(J147),K147="Submitted",K147="Under review",K147="Comments received",K147="Resubmitted",K147="Approved"),1,0))</x:f>
        <x:v>0</x:v>
      </x:c>
      <x:c r="Z147" t="n">
        <x:f>IF(X147=0,0,IF(K147="Approved",1,0))</x:f>
        <x:v>0</x:v>
      </x:c>
      <x:c r="AA147" t="n">
        <x:f>IF(X147=0,0,1-Y147)</x:f>
        <x:v>0</x:v>
      </x:c>
    </x:row>
    <x:row r="148" ht="28" customHeight="1">
      <x:c r="A148" s="55"/>
      <x:c r="B148" s="55"/>
      <x:c r="C148" s="60"/>
      <x:c r="D148" s="55"/>
      <x:c r="E148" s="55"/>
      <x:c r="F148" s="55"/>
      <x:c r="G148" s="55"/>
      <x:c r="H148" s="56"/>
      <x:c r="I148" s="56"/>
      <x:c r="J148" s="56"/>
      <x:c r="K148" s="55"/>
      <x:c r="L148" s="55"/>
      <x:c r="M148" s="56"/>
      <x:c r="N148" s="56"/>
      <x:c r="O148" s="56"/>
      <x:c r="P148" s="55"/>
      <x:c r="Q148" s="55"/>
      <x:c r="R148" s="55"/>
      <x:c r="S148" s="55"/>
      <x:c r="T148" s="55"/>
      <x:c r="U148" s="56"/>
      <x:c r="V148" s="55"/>
      <x:c r="X148" t="n">
        <x:f>IF(OR(A148="",D148=""),0,IF(COUNTIFS($A$17:A148,A148,$D$17:D148,D148)=1,1,0))</x:f>
        <x:v>0</x:v>
      </x:c>
      <x:c r="Y148" t="n">
        <x:f>IF(X148=0,0,IF(OR(ISNUMBER(J148),K148="Submitted",K148="Under review",K148="Comments received",K148="Resubmitted",K148="Approved"),1,0))</x:f>
        <x:v>0</x:v>
      </x:c>
      <x:c r="Z148" t="n">
        <x:f>IF(X148=0,0,IF(K148="Approved",1,0))</x:f>
        <x:v>0</x:v>
      </x:c>
      <x:c r="AA148" t="n">
        <x:f>IF(X148=0,0,1-Y148)</x:f>
        <x:v>0</x:v>
      </x:c>
    </x:row>
    <x:row r="149" ht="28" customHeight="1">
      <x:c r="A149" s="55"/>
      <x:c r="B149" s="55"/>
      <x:c r="C149" s="60"/>
      <x:c r="D149" s="55"/>
      <x:c r="E149" s="55"/>
      <x:c r="F149" s="55"/>
      <x:c r="G149" s="55"/>
      <x:c r="H149" s="56"/>
      <x:c r="I149" s="56"/>
      <x:c r="J149" s="56"/>
      <x:c r="K149" s="55"/>
      <x:c r="L149" s="55"/>
      <x:c r="M149" s="56"/>
      <x:c r="N149" s="56"/>
      <x:c r="O149" s="56"/>
      <x:c r="P149" s="55"/>
      <x:c r="Q149" s="55"/>
      <x:c r="R149" s="55"/>
      <x:c r="S149" s="55"/>
      <x:c r="T149" s="55"/>
      <x:c r="U149" s="56"/>
      <x:c r="V149" s="55"/>
      <x:c r="X149" t="n">
        <x:f>IF(OR(A149="",D149=""),0,IF(COUNTIFS($A$17:A149,A149,$D$17:D149,D149)=1,1,0))</x:f>
        <x:v>0</x:v>
      </x:c>
      <x:c r="Y149" t="n">
        <x:f>IF(X149=0,0,IF(OR(ISNUMBER(J149),K149="Submitted",K149="Under review",K149="Comments received",K149="Resubmitted",K149="Approved"),1,0))</x:f>
        <x:v>0</x:v>
      </x:c>
      <x:c r="Z149" t="n">
        <x:f>IF(X149=0,0,IF(K149="Approved",1,0))</x:f>
        <x:v>0</x:v>
      </x:c>
      <x:c r="AA149" t="n">
        <x:f>IF(X149=0,0,1-Y149)</x:f>
        <x:v>0</x:v>
      </x:c>
    </x:row>
    <x:row r="150" ht="28" customHeight="1">
      <x:c r="A150" s="55"/>
      <x:c r="B150" s="55"/>
      <x:c r="C150" s="60"/>
      <x:c r="D150" s="55"/>
      <x:c r="E150" s="55"/>
      <x:c r="F150" s="55"/>
      <x:c r="G150" s="55"/>
      <x:c r="H150" s="56"/>
      <x:c r="I150" s="56"/>
      <x:c r="J150" s="56"/>
      <x:c r="K150" s="55"/>
      <x:c r="L150" s="55"/>
      <x:c r="M150" s="56"/>
      <x:c r="N150" s="56"/>
      <x:c r="O150" s="56"/>
      <x:c r="P150" s="55"/>
      <x:c r="Q150" s="55"/>
      <x:c r="R150" s="55"/>
      <x:c r="S150" s="55"/>
      <x:c r="T150" s="55"/>
      <x:c r="U150" s="56"/>
      <x:c r="V150" s="55"/>
      <x:c r="X150" t="n">
        <x:f>IF(OR(A150="",D150=""),0,IF(COUNTIFS($A$17:A150,A150,$D$17:D150,D150)=1,1,0))</x:f>
        <x:v>0</x:v>
      </x:c>
      <x:c r="Y150" t="n">
        <x:f>IF(X150=0,0,IF(OR(ISNUMBER(J150),K150="Submitted",K150="Under review",K150="Comments received",K150="Resubmitted",K150="Approved"),1,0))</x:f>
        <x:v>0</x:v>
      </x:c>
      <x:c r="Z150" t="n">
        <x:f>IF(X150=0,0,IF(K150="Approved",1,0))</x:f>
        <x:v>0</x:v>
      </x:c>
      <x:c r="AA150" t="n">
        <x:f>IF(X150=0,0,1-Y150)</x:f>
        <x:v>0</x:v>
      </x:c>
    </x:row>
    <x:row r="151" ht="28" customHeight="1">
      <x:c r="A151" s="55"/>
      <x:c r="B151" s="55"/>
      <x:c r="C151" s="60"/>
      <x:c r="D151" s="55"/>
      <x:c r="E151" s="55"/>
      <x:c r="F151" s="55"/>
      <x:c r="G151" s="55"/>
      <x:c r="H151" s="56"/>
      <x:c r="I151" s="56"/>
      <x:c r="J151" s="56"/>
      <x:c r="K151" s="55"/>
      <x:c r="L151" s="55"/>
      <x:c r="M151" s="56"/>
      <x:c r="N151" s="56"/>
      <x:c r="O151" s="56"/>
      <x:c r="P151" s="55"/>
      <x:c r="Q151" s="55"/>
      <x:c r="R151" s="55"/>
      <x:c r="S151" s="55"/>
      <x:c r="T151" s="55"/>
      <x:c r="U151" s="56"/>
      <x:c r="V151" s="55"/>
      <x:c r="X151" t="n">
        <x:f>IF(OR(A151="",D151=""),0,IF(COUNTIFS($A$17:A151,A151,$D$17:D151,D151)=1,1,0))</x:f>
        <x:v>0</x:v>
      </x:c>
      <x:c r="Y151" t="n">
        <x:f>IF(X151=0,0,IF(OR(ISNUMBER(J151),K151="Submitted",K151="Under review",K151="Comments received",K151="Resubmitted",K151="Approved"),1,0))</x:f>
        <x:v>0</x:v>
      </x:c>
      <x:c r="Z151" t="n">
        <x:f>IF(X151=0,0,IF(K151="Approved",1,0))</x:f>
        <x:v>0</x:v>
      </x:c>
      <x:c r="AA151" t="n">
        <x:f>IF(X151=0,0,1-Y151)</x:f>
        <x:v>0</x:v>
      </x:c>
    </x:row>
    <x:row r="152" ht="28" customHeight="1">
      <x:c r="A152" s="55"/>
      <x:c r="B152" s="55"/>
      <x:c r="C152" s="60"/>
      <x:c r="D152" s="55"/>
      <x:c r="E152" s="55"/>
      <x:c r="F152" s="55"/>
      <x:c r="G152" s="55"/>
      <x:c r="H152" s="56"/>
      <x:c r="I152" s="56"/>
      <x:c r="J152" s="56"/>
      <x:c r="K152" s="55"/>
      <x:c r="L152" s="55"/>
      <x:c r="M152" s="56"/>
      <x:c r="N152" s="56"/>
      <x:c r="O152" s="56"/>
      <x:c r="P152" s="55"/>
      <x:c r="Q152" s="55"/>
      <x:c r="R152" s="55"/>
      <x:c r="S152" s="55"/>
      <x:c r="T152" s="55"/>
      <x:c r="U152" s="56"/>
      <x:c r="V152" s="55"/>
      <x:c r="X152" t="n">
        <x:f>IF(OR(A152="",D152=""),0,IF(COUNTIFS($A$17:A152,A152,$D$17:D152,D152)=1,1,0))</x:f>
        <x:v>0</x:v>
      </x:c>
      <x:c r="Y152" t="n">
        <x:f>IF(X152=0,0,IF(OR(ISNUMBER(J152),K152="Submitted",K152="Under review",K152="Comments received",K152="Resubmitted",K152="Approved"),1,0))</x:f>
        <x:v>0</x:v>
      </x:c>
      <x:c r="Z152" t="n">
        <x:f>IF(X152=0,0,IF(K152="Approved",1,0))</x:f>
        <x:v>0</x:v>
      </x:c>
      <x:c r="AA152" t="n">
        <x:f>IF(X152=0,0,1-Y152)</x:f>
        <x:v>0</x:v>
      </x:c>
    </x:row>
    <x:row r="153" ht="28" customHeight="1">
      <x:c r="A153" s="55"/>
      <x:c r="B153" s="55"/>
      <x:c r="C153" s="60"/>
      <x:c r="D153" s="55"/>
      <x:c r="E153" s="55"/>
      <x:c r="F153" s="55"/>
      <x:c r="G153" s="55"/>
      <x:c r="H153" s="56"/>
      <x:c r="I153" s="56"/>
      <x:c r="J153" s="56"/>
      <x:c r="K153" s="55"/>
      <x:c r="L153" s="55"/>
      <x:c r="M153" s="56"/>
      <x:c r="N153" s="56"/>
      <x:c r="O153" s="56"/>
      <x:c r="P153" s="55"/>
      <x:c r="Q153" s="55"/>
      <x:c r="R153" s="55"/>
      <x:c r="S153" s="55"/>
      <x:c r="T153" s="55"/>
      <x:c r="U153" s="56"/>
      <x:c r="V153" s="55"/>
      <x:c r="X153" t="n">
        <x:f>IF(OR(A153="",D153=""),0,IF(COUNTIFS($A$17:A153,A153,$D$17:D153,D153)=1,1,0))</x:f>
        <x:v>0</x:v>
      </x:c>
      <x:c r="Y153" t="n">
        <x:f>IF(X153=0,0,IF(OR(ISNUMBER(J153),K153="Submitted",K153="Under review",K153="Comments received",K153="Resubmitted",K153="Approved"),1,0))</x:f>
        <x:v>0</x:v>
      </x:c>
      <x:c r="Z153" t="n">
        <x:f>IF(X153=0,0,IF(K153="Approved",1,0))</x:f>
        <x:v>0</x:v>
      </x:c>
      <x:c r="AA153" t="n">
        <x:f>IF(X153=0,0,1-Y153)</x:f>
        <x:v>0</x:v>
      </x:c>
    </x:row>
    <x:row r="154" ht="28" customHeight="1">
      <x:c r="A154" s="55"/>
      <x:c r="B154" s="55"/>
      <x:c r="C154" s="60"/>
      <x:c r="D154" s="55"/>
      <x:c r="E154" s="55"/>
      <x:c r="F154" s="55"/>
      <x:c r="G154" s="55"/>
      <x:c r="H154" s="56"/>
      <x:c r="I154" s="56"/>
      <x:c r="J154" s="56"/>
      <x:c r="K154" s="55"/>
      <x:c r="L154" s="55"/>
      <x:c r="M154" s="56"/>
      <x:c r="N154" s="56"/>
      <x:c r="O154" s="56"/>
      <x:c r="P154" s="55"/>
      <x:c r="Q154" s="55"/>
      <x:c r="R154" s="55"/>
      <x:c r="S154" s="55"/>
      <x:c r="T154" s="55"/>
      <x:c r="U154" s="56"/>
      <x:c r="V154" s="55"/>
      <x:c r="X154" t="n">
        <x:f>IF(OR(A154="",D154=""),0,IF(COUNTIFS($A$17:A154,A154,$D$17:D154,D154)=1,1,0))</x:f>
        <x:v>0</x:v>
      </x:c>
      <x:c r="Y154" t="n">
        <x:f>IF(X154=0,0,IF(OR(ISNUMBER(J154),K154="Submitted",K154="Under review",K154="Comments received",K154="Resubmitted",K154="Approved"),1,0))</x:f>
        <x:v>0</x:v>
      </x:c>
      <x:c r="Z154" t="n">
        <x:f>IF(X154=0,0,IF(K154="Approved",1,0))</x:f>
        <x:v>0</x:v>
      </x:c>
      <x:c r="AA154" t="n">
        <x:f>IF(X154=0,0,1-Y154)</x:f>
        <x:v>0</x:v>
      </x:c>
    </x:row>
    <x:row r="155" ht="28" customHeight="1">
      <x:c r="A155" s="55"/>
      <x:c r="B155" s="55"/>
      <x:c r="C155" s="60"/>
      <x:c r="D155" s="55"/>
      <x:c r="E155" s="55"/>
      <x:c r="F155" s="55"/>
      <x:c r="G155" s="55"/>
      <x:c r="H155" s="56"/>
      <x:c r="I155" s="56"/>
      <x:c r="J155" s="56"/>
      <x:c r="K155" s="55"/>
      <x:c r="L155" s="55"/>
      <x:c r="M155" s="56"/>
      <x:c r="N155" s="56"/>
      <x:c r="O155" s="56"/>
      <x:c r="P155" s="55"/>
      <x:c r="Q155" s="55"/>
      <x:c r="R155" s="55"/>
      <x:c r="S155" s="55"/>
      <x:c r="T155" s="55"/>
      <x:c r="U155" s="56"/>
      <x:c r="V155" s="55"/>
      <x:c r="X155" t="n">
        <x:f>IF(OR(A155="",D155=""),0,IF(COUNTIFS($A$17:A155,A155,$D$17:D155,D155)=1,1,0))</x:f>
        <x:v>0</x:v>
      </x:c>
      <x:c r="Y155" t="n">
        <x:f>IF(X155=0,0,IF(OR(ISNUMBER(J155),K155="Submitted",K155="Under review",K155="Comments received",K155="Resubmitted",K155="Approved"),1,0))</x:f>
        <x:v>0</x:v>
      </x:c>
      <x:c r="Z155" t="n">
        <x:f>IF(X155=0,0,IF(K155="Approved",1,0))</x:f>
        <x:v>0</x:v>
      </x:c>
      <x:c r="AA155" t="n">
        <x:f>IF(X155=0,0,1-Y155)</x:f>
        <x:v>0</x:v>
      </x:c>
    </x:row>
    <x:row r="156" ht="28" customHeight="1">
      <x:c r="A156" s="55"/>
      <x:c r="B156" s="55"/>
      <x:c r="C156" s="60"/>
      <x:c r="D156" s="55"/>
      <x:c r="E156" s="55"/>
      <x:c r="F156" s="55"/>
      <x:c r="G156" s="55"/>
      <x:c r="H156" s="56"/>
      <x:c r="I156" s="56"/>
      <x:c r="J156" s="56"/>
      <x:c r="K156" s="55"/>
      <x:c r="L156" s="55"/>
      <x:c r="M156" s="56"/>
      <x:c r="N156" s="56"/>
      <x:c r="O156" s="56"/>
      <x:c r="P156" s="55"/>
      <x:c r="Q156" s="55"/>
      <x:c r="R156" s="55"/>
      <x:c r="S156" s="55"/>
      <x:c r="T156" s="55"/>
      <x:c r="U156" s="56"/>
      <x:c r="V156" s="55"/>
      <x:c r="X156" t="n">
        <x:f>IF(OR(A156="",D156=""),0,IF(COUNTIFS($A$17:A156,A156,$D$17:D156,D156)=1,1,0))</x:f>
        <x:v>0</x:v>
      </x:c>
      <x:c r="Y156" t="n">
        <x:f>IF(X156=0,0,IF(OR(ISNUMBER(J156),K156="Submitted",K156="Under review",K156="Comments received",K156="Resubmitted",K156="Approved"),1,0))</x:f>
        <x:v>0</x:v>
      </x:c>
      <x:c r="Z156" t="n">
        <x:f>IF(X156=0,0,IF(K156="Approved",1,0))</x:f>
        <x:v>0</x:v>
      </x:c>
      <x:c r="AA156" t="n">
        <x:f>IF(X156=0,0,1-Y156)</x:f>
        <x:v>0</x:v>
      </x:c>
    </x:row>
    <x:row r="157" ht="28" customHeight="1">
      <x:c r="A157" s="55"/>
      <x:c r="B157" s="55"/>
      <x:c r="C157" s="60"/>
      <x:c r="D157" s="55"/>
      <x:c r="E157" s="55"/>
      <x:c r="F157" s="55"/>
      <x:c r="G157" s="55"/>
      <x:c r="H157" s="56"/>
      <x:c r="I157" s="56"/>
      <x:c r="J157" s="56"/>
      <x:c r="K157" s="55"/>
      <x:c r="L157" s="55"/>
      <x:c r="M157" s="56"/>
      <x:c r="N157" s="56"/>
      <x:c r="O157" s="56"/>
      <x:c r="P157" s="55"/>
      <x:c r="Q157" s="55"/>
      <x:c r="R157" s="55"/>
      <x:c r="S157" s="55"/>
      <x:c r="T157" s="55"/>
      <x:c r="U157" s="56"/>
      <x:c r="V157" s="55"/>
      <x:c r="X157" t="n">
        <x:f>IF(OR(A157="",D157=""),0,IF(COUNTIFS($A$17:A157,A157,$D$17:D157,D157)=1,1,0))</x:f>
        <x:v>0</x:v>
      </x:c>
      <x:c r="Y157" t="n">
        <x:f>IF(X157=0,0,IF(OR(ISNUMBER(J157),K157="Submitted",K157="Under review",K157="Comments received",K157="Resubmitted",K157="Approved"),1,0))</x:f>
        <x:v>0</x:v>
      </x:c>
      <x:c r="Z157" t="n">
        <x:f>IF(X157=0,0,IF(K157="Approved",1,0))</x:f>
        <x:v>0</x:v>
      </x:c>
      <x:c r="AA157" t="n">
        <x:f>IF(X157=0,0,1-Y157)</x:f>
        <x:v>0</x:v>
      </x:c>
    </x:row>
    <x:row r="158" ht="28" customHeight="1">
      <x:c r="A158" s="55"/>
      <x:c r="B158" s="55"/>
      <x:c r="C158" s="60"/>
      <x:c r="D158" s="55"/>
      <x:c r="E158" s="55"/>
      <x:c r="F158" s="55"/>
      <x:c r="G158" s="55"/>
      <x:c r="H158" s="56"/>
      <x:c r="I158" s="56"/>
      <x:c r="J158" s="56"/>
      <x:c r="K158" s="55"/>
      <x:c r="L158" s="55"/>
      <x:c r="M158" s="56"/>
      <x:c r="N158" s="56"/>
      <x:c r="O158" s="56"/>
      <x:c r="P158" s="55"/>
      <x:c r="Q158" s="55"/>
      <x:c r="R158" s="55"/>
      <x:c r="S158" s="55"/>
      <x:c r="T158" s="55"/>
      <x:c r="U158" s="56"/>
      <x:c r="V158" s="55"/>
      <x:c r="X158" t="n">
        <x:f>IF(OR(A158="",D158=""),0,IF(COUNTIFS($A$17:A158,A158,$D$17:D158,D158)=1,1,0))</x:f>
        <x:v>0</x:v>
      </x:c>
      <x:c r="Y158" t="n">
        <x:f>IF(X158=0,0,IF(OR(ISNUMBER(J158),K158="Submitted",K158="Under review",K158="Comments received",K158="Resubmitted",K158="Approved"),1,0))</x:f>
        <x:v>0</x:v>
      </x:c>
      <x:c r="Z158" t="n">
        <x:f>IF(X158=0,0,IF(K158="Approved",1,0))</x:f>
        <x:v>0</x:v>
      </x:c>
      <x:c r="AA158" t="n">
        <x:f>IF(X158=0,0,1-Y158)</x:f>
        <x:v>0</x:v>
      </x:c>
    </x:row>
    <x:row r="159" ht="28" customHeight="1">
      <x:c r="A159" s="55"/>
      <x:c r="B159" s="55"/>
      <x:c r="C159" s="60"/>
      <x:c r="D159" s="55"/>
      <x:c r="E159" s="55"/>
      <x:c r="F159" s="55"/>
      <x:c r="G159" s="55"/>
      <x:c r="H159" s="56"/>
      <x:c r="I159" s="56"/>
      <x:c r="J159" s="56"/>
      <x:c r="K159" s="55"/>
      <x:c r="L159" s="55"/>
      <x:c r="M159" s="56"/>
      <x:c r="N159" s="56"/>
      <x:c r="O159" s="56"/>
      <x:c r="P159" s="55"/>
      <x:c r="Q159" s="55"/>
      <x:c r="R159" s="55"/>
      <x:c r="S159" s="55"/>
      <x:c r="T159" s="55"/>
      <x:c r="U159" s="56"/>
      <x:c r="V159" s="55"/>
      <x:c r="X159" t="n">
        <x:f>IF(OR(A159="",D159=""),0,IF(COUNTIFS($A$17:A159,A159,$D$17:D159,D159)=1,1,0))</x:f>
        <x:v>0</x:v>
      </x:c>
      <x:c r="Y159" t="n">
        <x:f>IF(X159=0,0,IF(OR(ISNUMBER(J159),K159="Submitted",K159="Under review",K159="Comments received",K159="Resubmitted",K159="Approved"),1,0))</x:f>
        <x:v>0</x:v>
      </x:c>
      <x:c r="Z159" t="n">
        <x:f>IF(X159=0,0,IF(K159="Approved",1,0))</x:f>
        <x:v>0</x:v>
      </x:c>
      <x:c r="AA159" t="n">
        <x:f>IF(X159=0,0,1-Y159)</x:f>
        <x:v>0</x:v>
      </x:c>
    </x:row>
    <x:row r="160" ht="28" customHeight="1">
      <x:c r="A160" s="55"/>
      <x:c r="B160" s="55"/>
      <x:c r="C160" s="60"/>
      <x:c r="D160" s="55"/>
      <x:c r="E160" s="55"/>
      <x:c r="F160" s="55"/>
      <x:c r="G160" s="55"/>
      <x:c r="H160" s="56"/>
      <x:c r="I160" s="56"/>
      <x:c r="J160" s="56"/>
      <x:c r="K160" s="55"/>
      <x:c r="L160" s="55"/>
      <x:c r="M160" s="56"/>
      <x:c r="N160" s="56"/>
      <x:c r="O160" s="56"/>
      <x:c r="P160" s="55"/>
      <x:c r="Q160" s="55"/>
      <x:c r="R160" s="55"/>
      <x:c r="S160" s="55"/>
      <x:c r="T160" s="55"/>
      <x:c r="U160" s="56"/>
      <x:c r="V160" s="55"/>
      <x:c r="X160" t="n">
        <x:f>IF(OR(A160="",D160=""),0,IF(COUNTIFS($A$17:A160,A160,$D$17:D160,D160)=1,1,0))</x:f>
        <x:v>0</x:v>
      </x:c>
      <x:c r="Y160" t="n">
        <x:f>IF(X160=0,0,IF(OR(ISNUMBER(J160),K160="Submitted",K160="Under review",K160="Comments received",K160="Resubmitted",K160="Approved"),1,0))</x:f>
        <x:v>0</x:v>
      </x:c>
      <x:c r="Z160" t="n">
        <x:f>IF(X160=0,0,IF(K160="Approved",1,0))</x:f>
        <x:v>0</x:v>
      </x:c>
      <x:c r="AA160" t="n">
        <x:f>IF(X160=0,0,1-Y160)</x:f>
        <x:v>0</x:v>
      </x:c>
    </x:row>
    <x:row r="161" ht="28" customHeight="1">
      <x:c r="A161" s="55"/>
      <x:c r="B161" s="55"/>
      <x:c r="C161" s="60"/>
      <x:c r="D161" s="55"/>
      <x:c r="E161" s="55"/>
      <x:c r="F161" s="55"/>
      <x:c r="G161" s="55"/>
      <x:c r="H161" s="56"/>
      <x:c r="I161" s="56"/>
      <x:c r="J161" s="56"/>
      <x:c r="K161" s="55"/>
      <x:c r="L161" s="55"/>
      <x:c r="M161" s="56"/>
      <x:c r="N161" s="56"/>
      <x:c r="O161" s="56"/>
      <x:c r="P161" s="55"/>
      <x:c r="Q161" s="55"/>
      <x:c r="R161" s="55"/>
      <x:c r="S161" s="55"/>
      <x:c r="T161" s="55"/>
      <x:c r="U161" s="56"/>
      <x:c r="V161" s="55"/>
      <x:c r="X161" t="n">
        <x:f>IF(OR(A161="",D161=""),0,IF(COUNTIFS($A$17:A161,A161,$D$17:D161,D161)=1,1,0))</x:f>
        <x:v>0</x:v>
      </x:c>
      <x:c r="Y161" t="n">
        <x:f>IF(X161=0,0,IF(OR(ISNUMBER(J161),K161="Submitted",K161="Under review",K161="Comments received",K161="Resubmitted",K161="Approved"),1,0))</x:f>
        <x:v>0</x:v>
      </x:c>
      <x:c r="Z161" t="n">
        <x:f>IF(X161=0,0,IF(K161="Approved",1,0))</x:f>
        <x:v>0</x:v>
      </x:c>
      <x:c r="AA161" t="n">
        <x:f>IF(X161=0,0,1-Y161)</x:f>
        <x:v>0</x:v>
      </x:c>
    </x:row>
    <x:row r="162" ht="28" customHeight="1">
      <x:c r="A162" s="55"/>
      <x:c r="B162" s="55"/>
      <x:c r="C162" s="60"/>
      <x:c r="D162" s="55"/>
      <x:c r="E162" s="55"/>
      <x:c r="F162" s="55"/>
      <x:c r="G162" s="55"/>
      <x:c r="H162" s="56"/>
      <x:c r="I162" s="56"/>
      <x:c r="J162" s="56"/>
      <x:c r="K162" s="55"/>
      <x:c r="L162" s="55"/>
      <x:c r="M162" s="56"/>
      <x:c r="N162" s="56"/>
      <x:c r="O162" s="56"/>
      <x:c r="P162" s="55"/>
      <x:c r="Q162" s="55"/>
      <x:c r="R162" s="55"/>
      <x:c r="S162" s="55"/>
      <x:c r="T162" s="55"/>
      <x:c r="U162" s="56"/>
      <x:c r="V162" s="55"/>
      <x:c r="X162" t="n">
        <x:f>IF(OR(A162="",D162=""),0,IF(COUNTIFS($A$17:A162,A162,$D$17:D162,D162)=1,1,0))</x:f>
        <x:v>0</x:v>
      </x:c>
      <x:c r="Y162" t="n">
        <x:f>IF(X162=0,0,IF(OR(ISNUMBER(J162),K162="Submitted",K162="Under review",K162="Comments received",K162="Resubmitted",K162="Approved"),1,0))</x:f>
        <x:v>0</x:v>
      </x:c>
      <x:c r="Z162" t="n">
        <x:f>IF(X162=0,0,IF(K162="Approved",1,0))</x:f>
        <x:v>0</x:v>
      </x:c>
      <x:c r="AA162" t="n">
        <x:f>IF(X162=0,0,1-Y162)</x:f>
        <x:v>0</x:v>
      </x:c>
    </x:row>
    <x:row r="163" ht="28" customHeight="1">
      <x:c r="A163" s="55"/>
      <x:c r="B163" s="55"/>
      <x:c r="C163" s="60"/>
      <x:c r="D163" s="55"/>
      <x:c r="E163" s="55"/>
      <x:c r="F163" s="55"/>
      <x:c r="G163" s="55"/>
      <x:c r="H163" s="56"/>
      <x:c r="I163" s="56"/>
      <x:c r="J163" s="56"/>
      <x:c r="K163" s="55"/>
      <x:c r="L163" s="55"/>
      <x:c r="M163" s="56"/>
      <x:c r="N163" s="56"/>
      <x:c r="O163" s="56"/>
      <x:c r="P163" s="55"/>
      <x:c r="Q163" s="55"/>
      <x:c r="R163" s="55"/>
      <x:c r="S163" s="55"/>
      <x:c r="T163" s="55"/>
      <x:c r="U163" s="56"/>
      <x:c r="V163" s="55"/>
      <x:c r="X163" t="n">
        <x:f>IF(OR(A163="",D163=""),0,IF(COUNTIFS($A$17:A163,A163,$D$17:D163,D163)=1,1,0))</x:f>
        <x:v>0</x:v>
      </x:c>
      <x:c r="Y163" t="n">
        <x:f>IF(X163=0,0,IF(OR(ISNUMBER(J163),K163="Submitted",K163="Under review",K163="Comments received",K163="Resubmitted",K163="Approved"),1,0))</x:f>
        <x:v>0</x:v>
      </x:c>
      <x:c r="Z163" t="n">
        <x:f>IF(X163=0,0,IF(K163="Approved",1,0))</x:f>
        <x:v>0</x:v>
      </x:c>
      <x:c r="AA163" t="n">
        <x:f>IF(X163=0,0,1-Y163)</x:f>
        <x:v>0</x:v>
      </x:c>
    </x:row>
    <x:row r="164" ht="28" customHeight="1">
      <x:c r="A164" s="55"/>
      <x:c r="B164" s="55"/>
      <x:c r="C164" s="60"/>
      <x:c r="D164" s="55"/>
      <x:c r="E164" s="55"/>
      <x:c r="F164" s="55"/>
      <x:c r="G164" s="55"/>
      <x:c r="H164" s="56"/>
      <x:c r="I164" s="56"/>
      <x:c r="J164" s="56"/>
      <x:c r="K164" s="55"/>
      <x:c r="L164" s="55"/>
      <x:c r="M164" s="56"/>
      <x:c r="N164" s="56"/>
      <x:c r="O164" s="56"/>
      <x:c r="P164" s="55"/>
      <x:c r="Q164" s="55"/>
      <x:c r="R164" s="55"/>
      <x:c r="S164" s="55"/>
      <x:c r="T164" s="55"/>
      <x:c r="U164" s="56"/>
      <x:c r="V164" s="55"/>
      <x:c r="X164" t="n">
        <x:f>IF(OR(A164="",D164=""),0,IF(COUNTIFS($A$17:A164,A164,$D$17:D164,D164)=1,1,0))</x:f>
        <x:v>0</x:v>
      </x:c>
      <x:c r="Y164" t="n">
        <x:f>IF(X164=0,0,IF(OR(ISNUMBER(J164),K164="Submitted",K164="Under review",K164="Comments received",K164="Resubmitted",K164="Approved"),1,0))</x:f>
        <x:v>0</x:v>
      </x:c>
      <x:c r="Z164" t="n">
        <x:f>IF(X164=0,0,IF(K164="Approved",1,0))</x:f>
        <x:v>0</x:v>
      </x:c>
      <x:c r="AA164" t="n">
        <x:f>IF(X164=0,0,1-Y164)</x:f>
        <x:v>0</x:v>
      </x:c>
    </x:row>
    <x:row r="165" ht="28" customHeight="1">
      <x:c r="A165" s="55"/>
      <x:c r="B165" s="55"/>
      <x:c r="C165" s="60"/>
      <x:c r="D165" s="55"/>
      <x:c r="E165" s="55"/>
      <x:c r="F165" s="55"/>
      <x:c r="G165" s="55"/>
      <x:c r="H165" s="56"/>
      <x:c r="I165" s="56"/>
      <x:c r="J165" s="56"/>
      <x:c r="K165" s="55"/>
      <x:c r="L165" s="55"/>
      <x:c r="M165" s="56"/>
      <x:c r="N165" s="56"/>
      <x:c r="O165" s="56"/>
      <x:c r="P165" s="55"/>
      <x:c r="Q165" s="55"/>
      <x:c r="R165" s="55"/>
      <x:c r="S165" s="55"/>
      <x:c r="T165" s="55"/>
      <x:c r="U165" s="56"/>
      <x:c r="V165" s="55"/>
      <x:c r="X165" t="n">
        <x:f>IF(OR(A165="",D165=""),0,IF(COUNTIFS($A$17:A165,A165,$D$17:D165,D165)=1,1,0))</x:f>
        <x:v>0</x:v>
      </x:c>
      <x:c r="Y165" t="n">
        <x:f>IF(X165=0,0,IF(OR(ISNUMBER(J165),K165="Submitted",K165="Under review",K165="Comments received",K165="Resubmitted",K165="Approved"),1,0))</x:f>
        <x:v>0</x:v>
      </x:c>
      <x:c r="Z165" t="n">
        <x:f>IF(X165=0,0,IF(K165="Approved",1,0))</x:f>
        <x:v>0</x:v>
      </x:c>
      <x:c r="AA165" t="n">
        <x:f>IF(X165=0,0,1-Y165)</x:f>
        <x:v>0</x:v>
      </x:c>
    </x:row>
    <x:row r="166" ht="28" customHeight="1">
      <x:c r="A166" s="55"/>
      <x:c r="B166" s="55"/>
      <x:c r="C166" s="60"/>
      <x:c r="D166" s="55"/>
      <x:c r="E166" s="55"/>
      <x:c r="F166" s="55"/>
      <x:c r="G166" s="55"/>
      <x:c r="H166" s="56"/>
      <x:c r="I166" s="56"/>
      <x:c r="J166" s="56"/>
      <x:c r="K166" s="55"/>
      <x:c r="L166" s="55"/>
      <x:c r="M166" s="56"/>
      <x:c r="N166" s="56"/>
      <x:c r="O166" s="56"/>
      <x:c r="P166" s="55"/>
      <x:c r="Q166" s="55"/>
      <x:c r="R166" s="55"/>
      <x:c r="S166" s="55"/>
      <x:c r="T166" s="55"/>
      <x:c r="U166" s="56"/>
      <x:c r="V166" s="55"/>
      <x:c r="X166" t="n">
        <x:f>IF(OR(A166="",D166=""),0,IF(COUNTIFS($A$17:A166,A166,$D$17:D166,D166)=1,1,0))</x:f>
        <x:v>0</x:v>
      </x:c>
      <x:c r="Y166" t="n">
        <x:f>IF(X166=0,0,IF(OR(ISNUMBER(J166),K166="Submitted",K166="Under review",K166="Comments received",K166="Resubmitted",K166="Approved"),1,0))</x:f>
        <x:v>0</x:v>
      </x:c>
      <x:c r="Z166" t="n">
        <x:f>IF(X166=0,0,IF(K166="Approved",1,0))</x:f>
        <x:v>0</x:v>
      </x:c>
      <x:c r="AA166" t="n">
        <x:f>IF(X166=0,0,1-Y166)</x:f>
        <x:v>0</x:v>
      </x:c>
    </x:row>
    <x:row r="167" ht="28" customHeight="1">
      <x:c r="A167" s="55"/>
      <x:c r="B167" s="55"/>
      <x:c r="C167" s="60"/>
      <x:c r="D167" s="55"/>
      <x:c r="E167" s="55"/>
      <x:c r="F167" s="55"/>
      <x:c r="G167" s="55"/>
      <x:c r="H167" s="56"/>
      <x:c r="I167" s="56"/>
      <x:c r="J167" s="56"/>
      <x:c r="K167" s="55"/>
      <x:c r="L167" s="55"/>
      <x:c r="M167" s="56"/>
      <x:c r="N167" s="56"/>
      <x:c r="O167" s="56"/>
      <x:c r="P167" s="55"/>
      <x:c r="Q167" s="55"/>
      <x:c r="R167" s="55"/>
      <x:c r="S167" s="55"/>
      <x:c r="T167" s="55"/>
      <x:c r="U167" s="56"/>
      <x:c r="V167" s="55"/>
      <x:c r="X167" t="n">
        <x:f>IF(OR(A167="",D167=""),0,IF(COUNTIFS($A$17:A167,A167,$D$17:D167,D167)=1,1,0))</x:f>
        <x:v>0</x:v>
      </x:c>
      <x:c r="Y167" t="n">
        <x:f>IF(X167=0,0,IF(OR(ISNUMBER(J167),K167="Submitted",K167="Under review",K167="Comments received",K167="Resubmitted",K167="Approved"),1,0))</x:f>
        <x:v>0</x:v>
      </x:c>
      <x:c r="Z167" t="n">
        <x:f>IF(X167=0,0,IF(K167="Approved",1,0))</x:f>
        <x:v>0</x:v>
      </x:c>
      <x:c r="AA167" t="n">
        <x:f>IF(X167=0,0,1-Y167)</x:f>
        <x:v>0</x:v>
      </x:c>
    </x:row>
    <x:row r="168" ht="28" customHeight="1">
      <x:c r="A168" s="55"/>
      <x:c r="B168" s="55"/>
      <x:c r="C168" s="60"/>
      <x:c r="D168" s="55"/>
      <x:c r="E168" s="55"/>
      <x:c r="F168" s="55"/>
      <x:c r="G168" s="55"/>
      <x:c r="H168" s="56"/>
      <x:c r="I168" s="56"/>
      <x:c r="J168" s="56"/>
      <x:c r="K168" s="55"/>
      <x:c r="L168" s="55"/>
      <x:c r="M168" s="56"/>
      <x:c r="N168" s="56"/>
      <x:c r="O168" s="56"/>
      <x:c r="P168" s="55"/>
      <x:c r="Q168" s="55"/>
      <x:c r="R168" s="55"/>
      <x:c r="S168" s="55"/>
      <x:c r="T168" s="55"/>
      <x:c r="U168" s="56"/>
      <x:c r="V168" s="55"/>
      <x:c r="X168" t="n">
        <x:f>IF(OR(A168="",D168=""),0,IF(COUNTIFS($A$17:A168,A168,$D$17:D168,D168)=1,1,0))</x:f>
        <x:v>0</x:v>
      </x:c>
      <x:c r="Y168" t="n">
        <x:f>IF(X168=0,0,IF(OR(ISNUMBER(J168),K168="Submitted",K168="Under review",K168="Comments received",K168="Resubmitted",K168="Approved"),1,0))</x:f>
        <x:v>0</x:v>
      </x:c>
      <x:c r="Z168" t="n">
        <x:f>IF(X168=0,0,IF(K168="Approved",1,0))</x:f>
        <x:v>0</x:v>
      </x:c>
      <x:c r="AA168" t="n">
        <x:f>IF(X168=0,0,1-Y168)</x:f>
        <x:v>0</x:v>
      </x:c>
    </x:row>
    <x:row r="169" ht="28" customHeight="1">
      <x:c r="A169" s="55"/>
      <x:c r="B169" s="55"/>
      <x:c r="C169" s="60"/>
      <x:c r="D169" s="55"/>
      <x:c r="E169" s="55"/>
      <x:c r="F169" s="55"/>
      <x:c r="G169" s="55"/>
      <x:c r="H169" s="56"/>
      <x:c r="I169" s="56"/>
      <x:c r="J169" s="56"/>
      <x:c r="K169" s="55"/>
      <x:c r="L169" s="55"/>
      <x:c r="M169" s="56"/>
      <x:c r="N169" s="56"/>
      <x:c r="O169" s="56"/>
      <x:c r="P169" s="55"/>
      <x:c r="Q169" s="55"/>
      <x:c r="R169" s="55"/>
      <x:c r="S169" s="55"/>
      <x:c r="T169" s="55"/>
      <x:c r="U169" s="56"/>
      <x:c r="V169" s="55"/>
      <x:c r="X169" t="n">
        <x:f>IF(OR(A169="",D169=""),0,IF(COUNTIFS($A$17:A169,A169,$D$17:D169,D169)=1,1,0))</x:f>
        <x:v>0</x:v>
      </x:c>
      <x:c r="Y169" t="n">
        <x:f>IF(X169=0,0,IF(OR(ISNUMBER(J169),K169="Submitted",K169="Under review",K169="Comments received",K169="Resubmitted",K169="Approved"),1,0))</x:f>
        <x:v>0</x:v>
      </x:c>
      <x:c r="Z169" t="n">
        <x:f>IF(X169=0,0,IF(K169="Approved",1,0))</x:f>
        <x:v>0</x:v>
      </x:c>
      <x:c r="AA169" t="n">
        <x:f>IF(X169=0,0,1-Y169)</x:f>
        <x:v>0</x:v>
      </x:c>
    </x:row>
    <x:row r="170" ht="28" customHeight="1">
      <x:c r="A170" s="55"/>
      <x:c r="B170" s="55"/>
      <x:c r="C170" s="60"/>
      <x:c r="D170" s="55"/>
      <x:c r="E170" s="55"/>
      <x:c r="F170" s="55"/>
      <x:c r="G170" s="55"/>
      <x:c r="H170" s="56"/>
      <x:c r="I170" s="56"/>
      <x:c r="J170" s="56"/>
      <x:c r="K170" s="55"/>
      <x:c r="L170" s="55"/>
      <x:c r="M170" s="56"/>
      <x:c r="N170" s="56"/>
      <x:c r="O170" s="56"/>
      <x:c r="P170" s="55"/>
      <x:c r="Q170" s="55"/>
      <x:c r="R170" s="55"/>
      <x:c r="S170" s="55"/>
      <x:c r="T170" s="55"/>
      <x:c r="U170" s="56"/>
      <x:c r="V170" s="55"/>
      <x:c r="X170" t="n">
        <x:f>IF(OR(A170="",D170=""),0,IF(COUNTIFS($A$17:A170,A170,$D$17:D170,D170)=1,1,0))</x:f>
        <x:v>0</x:v>
      </x:c>
      <x:c r="Y170" t="n">
        <x:f>IF(X170=0,0,IF(OR(ISNUMBER(J170),K170="Submitted",K170="Under review",K170="Comments received",K170="Resubmitted",K170="Approved"),1,0))</x:f>
        <x:v>0</x:v>
      </x:c>
      <x:c r="Z170" t="n">
        <x:f>IF(X170=0,0,IF(K170="Approved",1,0))</x:f>
        <x:v>0</x:v>
      </x:c>
      <x:c r="AA170" t="n">
        <x:f>IF(X170=0,0,1-Y170)</x:f>
        <x:v>0</x:v>
      </x:c>
    </x:row>
    <x:row r="171" ht="28" customHeight="1">
      <x:c r="A171" s="55"/>
      <x:c r="B171" s="55"/>
      <x:c r="C171" s="60"/>
      <x:c r="D171" s="55"/>
      <x:c r="E171" s="55"/>
      <x:c r="F171" s="55"/>
      <x:c r="G171" s="55"/>
      <x:c r="H171" s="56"/>
      <x:c r="I171" s="56"/>
      <x:c r="J171" s="56"/>
      <x:c r="K171" s="55"/>
      <x:c r="L171" s="55"/>
      <x:c r="M171" s="56"/>
      <x:c r="N171" s="56"/>
      <x:c r="O171" s="56"/>
      <x:c r="P171" s="55"/>
      <x:c r="Q171" s="55"/>
      <x:c r="R171" s="55"/>
      <x:c r="S171" s="55"/>
      <x:c r="T171" s="55"/>
      <x:c r="U171" s="56"/>
      <x:c r="V171" s="55"/>
      <x:c r="X171" t="n">
        <x:f>IF(OR(A171="",D171=""),0,IF(COUNTIFS($A$17:A171,A171,$D$17:D171,D171)=1,1,0))</x:f>
        <x:v>0</x:v>
      </x:c>
      <x:c r="Y171" t="n">
        <x:f>IF(X171=0,0,IF(OR(ISNUMBER(J171),K171="Submitted",K171="Under review",K171="Comments received",K171="Resubmitted",K171="Approved"),1,0))</x:f>
        <x:v>0</x:v>
      </x:c>
      <x:c r="Z171" t="n">
        <x:f>IF(X171=0,0,IF(K171="Approved",1,0))</x:f>
        <x:v>0</x:v>
      </x:c>
      <x:c r="AA171" t="n">
        <x:f>IF(X171=0,0,1-Y171)</x:f>
        <x:v>0</x:v>
      </x:c>
    </x:row>
    <x:row r="172" ht="28" customHeight="1">
      <x:c r="A172" s="55"/>
      <x:c r="B172" s="55"/>
      <x:c r="C172" s="60"/>
      <x:c r="D172" s="55"/>
      <x:c r="E172" s="55"/>
      <x:c r="F172" s="55"/>
      <x:c r="G172" s="55"/>
      <x:c r="H172" s="56"/>
      <x:c r="I172" s="56"/>
      <x:c r="J172" s="56"/>
      <x:c r="K172" s="55"/>
      <x:c r="L172" s="55"/>
      <x:c r="M172" s="56"/>
      <x:c r="N172" s="56"/>
      <x:c r="O172" s="56"/>
      <x:c r="P172" s="55"/>
      <x:c r="Q172" s="55"/>
      <x:c r="R172" s="55"/>
      <x:c r="S172" s="55"/>
      <x:c r="T172" s="55"/>
      <x:c r="U172" s="56"/>
      <x:c r="V172" s="55"/>
      <x:c r="X172" t="n">
        <x:f>IF(OR(A172="",D172=""),0,IF(COUNTIFS($A$17:A172,A172,$D$17:D172,D172)=1,1,0))</x:f>
        <x:v>0</x:v>
      </x:c>
      <x:c r="Y172" t="n">
        <x:f>IF(X172=0,0,IF(OR(ISNUMBER(J172),K172="Submitted",K172="Under review",K172="Comments received",K172="Resubmitted",K172="Approved"),1,0))</x:f>
        <x:v>0</x:v>
      </x:c>
      <x:c r="Z172" t="n">
        <x:f>IF(X172=0,0,IF(K172="Approved",1,0))</x:f>
        <x:v>0</x:v>
      </x:c>
      <x:c r="AA172" t="n">
        <x:f>IF(X172=0,0,1-Y172)</x:f>
        <x:v>0</x:v>
      </x:c>
    </x:row>
    <x:row r="173" ht="28" customHeight="1">
      <x:c r="A173" s="55"/>
      <x:c r="B173" s="55"/>
      <x:c r="C173" s="60"/>
      <x:c r="D173" s="55"/>
      <x:c r="E173" s="55"/>
      <x:c r="F173" s="55"/>
      <x:c r="G173" s="55"/>
      <x:c r="H173" s="56"/>
      <x:c r="I173" s="56"/>
      <x:c r="J173" s="56"/>
      <x:c r="K173" s="55"/>
      <x:c r="L173" s="55"/>
      <x:c r="M173" s="56"/>
      <x:c r="N173" s="56"/>
      <x:c r="O173" s="56"/>
      <x:c r="P173" s="55"/>
      <x:c r="Q173" s="55"/>
      <x:c r="R173" s="55"/>
      <x:c r="S173" s="55"/>
      <x:c r="T173" s="55"/>
      <x:c r="U173" s="56"/>
      <x:c r="V173" s="55"/>
      <x:c r="X173" t="n">
        <x:f>IF(OR(A173="",D173=""),0,IF(COUNTIFS($A$17:A173,A173,$D$17:D173,D173)=1,1,0))</x:f>
        <x:v>0</x:v>
      </x:c>
      <x:c r="Y173" t="n">
        <x:f>IF(X173=0,0,IF(OR(ISNUMBER(J173),K173="Submitted",K173="Under review",K173="Comments received",K173="Resubmitted",K173="Approved"),1,0))</x:f>
        <x:v>0</x:v>
      </x:c>
      <x:c r="Z173" t="n">
        <x:f>IF(X173=0,0,IF(K173="Approved",1,0))</x:f>
        <x:v>0</x:v>
      </x:c>
      <x:c r="AA173" t="n">
        <x:f>IF(X173=0,0,1-Y173)</x:f>
        <x:v>0</x:v>
      </x:c>
    </x:row>
    <x:row r="174" ht="28" customHeight="1">
      <x:c r="A174" s="55"/>
      <x:c r="B174" s="55"/>
      <x:c r="C174" s="60"/>
      <x:c r="D174" s="55"/>
      <x:c r="E174" s="55"/>
      <x:c r="F174" s="55"/>
      <x:c r="G174" s="55"/>
      <x:c r="H174" s="56"/>
      <x:c r="I174" s="56"/>
      <x:c r="J174" s="56"/>
      <x:c r="K174" s="55"/>
      <x:c r="L174" s="55"/>
      <x:c r="M174" s="56"/>
      <x:c r="N174" s="56"/>
      <x:c r="O174" s="56"/>
      <x:c r="P174" s="55"/>
      <x:c r="Q174" s="55"/>
      <x:c r="R174" s="55"/>
      <x:c r="S174" s="55"/>
      <x:c r="T174" s="55"/>
      <x:c r="U174" s="56"/>
      <x:c r="V174" s="55"/>
      <x:c r="X174" t="n">
        <x:f>IF(OR(A174="",D174=""),0,IF(COUNTIFS($A$17:A174,A174,$D$17:D174,D174)=1,1,0))</x:f>
        <x:v>0</x:v>
      </x:c>
      <x:c r="Y174" t="n">
        <x:f>IF(X174=0,0,IF(OR(ISNUMBER(J174),K174="Submitted",K174="Under review",K174="Comments received",K174="Resubmitted",K174="Approved"),1,0))</x:f>
        <x:v>0</x:v>
      </x:c>
      <x:c r="Z174" t="n">
        <x:f>IF(X174=0,0,IF(K174="Approved",1,0))</x:f>
        <x:v>0</x:v>
      </x:c>
      <x:c r="AA174" t="n">
        <x:f>IF(X174=0,0,1-Y174)</x:f>
        <x:v>0</x:v>
      </x:c>
    </x:row>
    <x:row r="175" ht="28" customHeight="1">
      <x:c r="A175" s="55"/>
      <x:c r="B175" s="55"/>
      <x:c r="C175" s="60"/>
      <x:c r="D175" s="55"/>
      <x:c r="E175" s="55"/>
      <x:c r="F175" s="55"/>
      <x:c r="G175" s="55"/>
      <x:c r="H175" s="56"/>
      <x:c r="I175" s="56"/>
      <x:c r="J175" s="56"/>
      <x:c r="K175" s="55"/>
      <x:c r="L175" s="55"/>
      <x:c r="M175" s="56"/>
      <x:c r="N175" s="56"/>
      <x:c r="O175" s="56"/>
      <x:c r="P175" s="55"/>
      <x:c r="Q175" s="55"/>
      <x:c r="R175" s="55"/>
      <x:c r="S175" s="55"/>
      <x:c r="T175" s="55"/>
      <x:c r="U175" s="56"/>
      <x:c r="V175" s="55"/>
      <x:c r="X175" t="n">
        <x:f>IF(OR(A175="",D175=""),0,IF(COUNTIFS($A$17:A175,A175,$D$17:D175,D175)=1,1,0))</x:f>
        <x:v>0</x:v>
      </x:c>
      <x:c r="Y175" t="n">
        <x:f>IF(X175=0,0,IF(OR(ISNUMBER(J175),K175="Submitted",K175="Under review",K175="Comments received",K175="Resubmitted",K175="Approved"),1,0))</x:f>
        <x:v>0</x:v>
      </x:c>
      <x:c r="Z175" t="n">
        <x:f>IF(X175=0,0,IF(K175="Approved",1,0))</x:f>
        <x:v>0</x:v>
      </x:c>
      <x:c r="AA175" t="n">
        <x:f>IF(X175=0,0,1-Y175)</x:f>
        <x:v>0</x:v>
      </x:c>
    </x:row>
    <x:row r="176" ht="28" customHeight="1">
      <x:c r="A176" s="55"/>
      <x:c r="B176" s="55"/>
      <x:c r="C176" s="60"/>
      <x:c r="D176" s="55"/>
      <x:c r="E176" s="55"/>
      <x:c r="F176" s="55"/>
      <x:c r="G176" s="55"/>
      <x:c r="H176" s="56"/>
      <x:c r="I176" s="56"/>
      <x:c r="J176" s="56"/>
      <x:c r="K176" s="55"/>
      <x:c r="L176" s="55"/>
      <x:c r="M176" s="56"/>
      <x:c r="N176" s="56"/>
      <x:c r="O176" s="56"/>
      <x:c r="P176" s="55"/>
      <x:c r="Q176" s="55"/>
      <x:c r="R176" s="55"/>
      <x:c r="S176" s="55"/>
      <x:c r="T176" s="55"/>
      <x:c r="U176" s="56"/>
      <x:c r="V176" s="55"/>
      <x:c r="X176" t="n">
        <x:f>IF(OR(A176="",D176=""),0,IF(COUNTIFS($A$17:A176,A176,$D$17:D176,D176)=1,1,0))</x:f>
        <x:v>0</x:v>
      </x:c>
      <x:c r="Y176" t="n">
        <x:f>IF(X176=0,0,IF(OR(ISNUMBER(J176),K176="Submitted",K176="Under review",K176="Comments received",K176="Resubmitted",K176="Approved"),1,0))</x:f>
        <x:v>0</x:v>
      </x:c>
      <x:c r="Z176" t="n">
        <x:f>IF(X176=0,0,IF(K176="Approved",1,0))</x:f>
        <x:v>0</x:v>
      </x:c>
      <x:c r="AA176" t="n">
        <x:f>IF(X176=0,0,1-Y176)</x:f>
        <x:v>0</x:v>
      </x:c>
    </x:row>
    <x:row r="177" ht="28" customHeight="1">
      <x:c r="A177" s="55"/>
      <x:c r="B177" s="55"/>
      <x:c r="C177" s="60"/>
      <x:c r="D177" s="55"/>
      <x:c r="E177" s="55"/>
      <x:c r="F177" s="55"/>
      <x:c r="G177" s="55"/>
      <x:c r="H177" s="56"/>
      <x:c r="I177" s="56"/>
      <x:c r="J177" s="56"/>
      <x:c r="K177" s="55"/>
      <x:c r="L177" s="55"/>
      <x:c r="M177" s="56"/>
      <x:c r="N177" s="56"/>
      <x:c r="O177" s="56"/>
      <x:c r="P177" s="55"/>
      <x:c r="Q177" s="55"/>
      <x:c r="R177" s="55"/>
      <x:c r="S177" s="55"/>
      <x:c r="T177" s="55"/>
      <x:c r="U177" s="56"/>
      <x:c r="V177" s="55"/>
      <x:c r="X177" t="n">
        <x:f>IF(OR(A177="",D177=""),0,IF(COUNTIFS($A$17:A177,A177,$D$17:D177,D177)=1,1,0))</x:f>
        <x:v>0</x:v>
      </x:c>
      <x:c r="Y177" t="n">
        <x:f>IF(X177=0,0,IF(OR(ISNUMBER(J177),K177="Submitted",K177="Under review",K177="Comments received",K177="Resubmitted",K177="Approved"),1,0))</x:f>
        <x:v>0</x:v>
      </x:c>
      <x:c r="Z177" t="n">
        <x:f>IF(X177=0,0,IF(K177="Approved",1,0))</x:f>
        <x:v>0</x:v>
      </x:c>
      <x:c r="AA177" t="n">
        <x:f>IF(X177=0,0,1-Y177)</x:f>
        <x:v>0</x:v>
      </x:c>
    </x:row>
    <x:row r="178" ht="28" customHeight="1">
      <x:c r="A178" s="55"/>
      <x:c r="B178" s="55"/>
      <x:c r="C178" s="60"/>
      <x:c r="D178" s="55"/>
      <x:c r="E178" s="55"/>
      <x:c r="F178" s="55"/>
      <x:c r="G178" s="55"/>
      <x:c r="H178" s="56"/>
      <x:c r="I178" s="56"/>
      <x:c r="J178" s="56"/>
      <x:c r="K178" s="55"/>
      <x:c r="L178" s="55"/>
      <x:c r="M178" s="56"/>
      <x:c r="N178" s="56"/>
      <x:c r="O178" s="56"/>
      <x:c r="P178" s="55"/>
      <x:c r="Q178" s="55"/>
      <x:c r="R178" s="55"/>
      <x:c r="S178" s="55"/>
      <x:c r="T178" s="55"/>
      <x:c r="U178" s="56"/>
      <x:c r="V178" s="55"/>
      <x:c r="X178" t="n">
        <x:f>IF(OR(A178="",D178=""),0,IF(COUNTIFS($A$17:A178,A178,$D$17:D178,D178)=1,1,0))</x:f>
        <x:v>0</x:v>
      </x:c>
      <x:c r="Y178" t="n">
        <x:f>IF(X178=0,0,IF(OR(ISNUMBER(J178),K178="Submitted",K178="Under review",K178="Comments received",K178="Resubmitted",K178="Approved"),1,0))</x:f>
        <x:v>0</x:v>
      </x:c>
      <x:c r="Z178" t="n">
        <x:f>IF(X178=0,0,IF(K178="Approved",1,0))</x:f>
        <x:v>0</x:v>
      </x:c>
      <x:c r="AA178" t="n">
        <x:f>IF(X178=0,0,1-Y178)</x:f>
        <x:v>0</x:v>
      </x:c>
    </x:row>
    <x:row r="179" ht="28" customHeight="1">
      <x:c r="A179" s="55"/>
      <x:c r="B179" s="55"/>
      <x:c r="C179" s="60"/>
      <x:c r="D179" s="55"/>
      <x:c r="E179" s="55"/>
      <x:c r="F179" s="55"/>
      <x:c r="G179" s="55"/>
      <x:c r="H179" s="56"/>
      <x:c r="I179" s="56"/>
      <x:c r="J179" s="56"/>
      <x:c r="K179" s="55"/>
      <x:c r="L179" s="55"/>
      <x:c r="M179" s="56"/>
      <x:c r="N179" s="56"/>
      <x:c r="O179" s="56"/>
      <x:c r="P179" s="55"/>
      <x:c r="Q179" s="55"/>
      <x:c r="R179" s="55"/>
      <x:c r="S179" s="55"/>
      <x:c r="T179" s="55"/>
      <x:c r="U179" s="56"/>
      <x:c r="V179" s="55"/>
      <x:c r="X179" t="n">
        <x:f>IF(OR(A179="",D179=""),0,IF(COUNTIFS($A$17:A179,A179,$D$17:D179,D179)=1,1,0))</x:f>
        <x:v>0</x:v>
      </x:c>
      <x:c r="Y179" t="n">
        <x:f>IF(X179=0,0,IF(OR(ISNUMBER(J179),K179="Submitted",K179="Under review",K179="Comments received",K179="Resubmitted",K179="Approved"),1,0))</x:f>
        <x:v>0</x:v>
      </x:c>
      <x:c r="Z179" t="n">
        <x:f>IF(X179=0,0,IF(K179="Approved",1,0))</x:f>
        <x:v>0</x:v>
      </x:c>
      <x:c r="AA179" t="n">
        <x:f>IF(X179=0,0,1-Y179)</x:f>
        <x:v>0</x:v>
      </x:c>
    </x:row>
    <x:row r="180" ht="28" customHeight="1">
      <x:c r="A180" s="55"/>
      <x:c r="B180" s="55"/>
      <x:c r="C180" s="60"/>
      <x:c r="D180" s="55"/>
      <x:c r="E180" s="55"/>
      <x:c r="F180" s="55"/>
      <x:c r="G180" s="55"/>
      <x:c r="H180" s="56"/>
      <x:c r="I180" s="56"/>
      <x:c r="J180" s="56"/>
      <x:c r="K180" s="55"/>
      <x:c r="L180" s="55"/>
      <x:c r="M180" s="56"/>
      <x:c r="N180" s="56"/>
      <x:c r="O180" s="56"/>
      <x:c r="P180" s="55"/>
      <x:c r="Q180" s="55"/>
      <x:c r="R180" s="55"/>
      <x:c r="S180" s="55"/>
      <x:c r="T180" s="55"/>
      <x:c r="U180" s="56"/>
      <x:c r="V180" s="55"/>
      <x:c r="X180" t="n">
        <x:f>IF(OR(A180="",D180=""),0,IF(COUNTIFS($A$17:A180,A180,$D$17:D180,D180)=1,1,0))</x:f>
        <x:v>0</x:v>
      </x:c>
      <x:c r="Y180" t="n">
        <x:f>IF(X180=0,0,IF(OR(ISNUMBER(J180),K180="Submitted",K180="Under review",K180="Comments received",K180="Resubmitted",K180="Approved"),1,0))</x:f>
        <x:v>0</x:v>
      </x:c>
      <x:c r="Z180" t="n">
        <x:f>IF(X180=0,0,IF(K180="Approved",1,0))</x:f>
        <x:v>0</x:v>
      </x:c>
      <x:c r="AA180" t="n">
        <x:f>IF(X180=0,0,1-Y180)</x:f>
        <x:v>0</x:v>
      </x:c>
    </x:row>
    <x:row r="181" ht="28" customHeight="1">
      <x:c r="A181" s="55"/>
      <x:c r="B181" s="55"/>
      <x:c r="C181" s="60"/>
      <x:c r="D181" s="55"/>
      <x:c r="E181" s="55"/>
      <x:c r="F181" s="55"/>
      <x:c r="G181" s="55"/>
      <x:c r="H181" s="56"/>
      <x:c r="I181" s="56"/>
      <x:c r="J181" s="56"/>
      <x:c r="K181" s="55"/>
      <x:c r="L181" s="55"/>
      <x:c r="M181" s="56"/>
      <x:c r="N181" s="56"/>
      <x:c r="O181" s="56"/>
      <x:c r="P181" s="55"/>
      <x:c r="Q181" s="55"/>
      <x:c r="R181" s="55"/>
      <x:c r="S181" s="55"/>
      <x:c r="T181" s="55"/>
      <x:c r="U181" s="56"/>
      <x:c r="V181" s="55"/>
      <x:c r="X181" t="n">
        <x:f>IF(OR(A181="",D181=""),0,IF(COUNTIFS($A$17:A181,A181,$D$17:D181,D181)=1,1,0))</x:f>
        <x:v>0</x:v>
      </x:c>
      <x:c r="Y181" t="n">
        <x:f>IF(X181=0,0,IF(OR(ISNUMBER(J181),K181="Submitted",K181="Under review",K181="Comments received",K181="Resubmitted",K181="Approved"),1,0))</x:f>
        <x:v>0</x:v>
      </x:c>
      <x:c r="Z181" t="n">
        <x:f>IF(X181=0,0,IF(K181="Approved",1,0))</x:f>
        <x:v>0</x:v>
      </x:c>
      <x:c r="AA181" t="n">
        <x:f>IF(X181=0,0,1-Y181)</x:f>
        <x:v>0</x:v>
      </x:c>
    </x:row>
    <x:row r="182" ht="28" customHeight="1">
      <x:c r="A182" s="55"/>
      <x:c r="B182" s="55"/>
      <x:c r="C182" s="60"/>
      <x:c r="D182" s="55"/>
      <x:c r="E182" s="55"/>
      <x:c r="F182" s="55"/>
      <x:c r="G182" s="55"/>
      <x:c r="H182" s="56"/>
      <x:c r="I182" s="56"/>
      <x:c r="J182" s="56"/>
      <x:c r="K182" s="55"/>
      <x:c r="L182" s="55"/>
      <x:c r="M182" s="56"/>
      <x:c r="N182" s="56"/>
      <x:c r="O182" s="56"/>
      <x:c r="P182" s="55"/>
      <x:c r="Q182" s="55"/>
      <x:c r="R182" s="55"/>
      <x:c r="S182" s="55"/>
      <x:c r="T182" s="55"/>
      <x:c r="U182" s="56"/>
      <x:c r="V182" s="55"/>
      <x:c r="X182" t="n">
        <x:f>IF(OR(A182="",D182=""),0,IF(COUNTIFS($A$17:A182,A182,$D$17:D182,D182)=1,1,0))</x:f>
        <x:v>0</x:v>
      </x:c>
      <x:c r="Y182" t="n">
        <x:f>IF(X182=0,0,IF(OR(ISNUMBER(J182),K182="Submitted",K182="Under review",K182="Comments received",K182="Resubmitted",K182="Approved"),1,0))</x:f>
        <x:v>0</x:v>
      </x:c>
      <x:c r="Z182" t="n">
        <x:f>IF(X182=0,0,IF(K182="Approved",1,0))</x:f>
        <x:v>0</x:v>
      </x:c>
      <x:c r="AA182" t="n">
        <x:f>IF(X182=0,0,1-Y182)</x:f>
        <x:v>0</x:v>
      </x:c>
    </x:row>
    <x:row r="183" ht="28" customHeight="1">
      <x:c r="A183" s="55"/>
      <x:c r="B183" s="55"/>
      <x:c r="C183" s="60"/>
      <x:c r="D183" s="55"/>
      <x:c r="E183" s="55"/>
      <x:c r="F183" s="55"/>
      <x:c r="G183" s="55"/>
      <x:c r="H183" s="56"/>
      <x:c r="I183" s="56"/>
      <x:c r="J183" s="56"/>
      <x:c r="K183" s="55"/>
      <x:c r="L183" s="55"/>
      <x:c r="M183" s="56"/>
      <x:c r="N183" s="56"/>
      <x:c r="O183" s="56"/>
      <x:c r="P183" s="55"/>
      <x:c r="Q183" s="55"/>
      <x:c r="R183" s="55"/>
      <x:c r="S183" s="55"/>
      <x:c r="T183" s="55"/>
      <x:c r="U183" s="56"/>
      <x:c r="V183" s="55"/>
      <x:c r="X183" t="n">
        <x:f>IF(OR(A183="",D183=""),0,IF(COUNTIFS($A$17:A183,A183,$D$17:D183,D183)=1,1,0))</x:f>
        <x:v>0</x:v>
      </x:c>
      <x:c r="Y183" t="n">
        <x:f>IF(X183=0,0,IF(OR(ISNUMBER(J183),K183="Submitted",K183="Under review",K183="Comments received",K183="Resubmitted",K183="Approved"),1,0))</x:f>
        <x:v>0</x:v>
      </x:c>
      <x:c r="Z183" t="n">
        <x:f>IF(X183=0,0,IF(K183="Approved",1,0))</x:f>
        <x:v>0</x:v>
      </x:c>
      <x:c r="AA183" t="n">
        <x:f>IF(X183=0,0,1-Y183)</x:f>
        <x:v>0</x:v>
      </x:c>
    </x:row>
    <x:row r="184" ht="28" customHeight="1">
      <x:c r="A184" s="55"/>
      <x:c r="B184" s="55"/>
      <x:c r="C184" s="60"/>
      <x:c r="D184" s="55"/>
      <x:c r="E184" s="55"/>
      <x:c r="F184" s="55"/>
      <x:c r="G184" s="55"/>
      <x:c r="H184" s="56"/>
      <x:c r="I184" s="56"/>
      <x:c r="J184" s="56"/>
      <x:c r="K184" s="55"/>
      <x:c r="L184" s="55"/>
      <x:c r="M184" s="56"/>
      <x:c r="N184" s="56"/>
      <x:c r="O184" s="56"/>
      <x:c r="P184" s="55"/>
      <x:c r="Q184" s="55"/>
      <x:c r="R184" s="55"/>
      <x:c r="S184" s="55"/>
      <x:c r="T184" s="55"/>
      <x:c r="U184" s="56"/>
      <x:c r="V184" s="55"/>
      <x:c r="X184" t="n">
        <x:f>IF(OR(A184="",D184=""),0,IF(COUNTIFS($A$17:A184,A184,$D$17:D184,D184)=1,1,0))</x:f>
        <x:v>0</x:v>
      </x:c>
      <x:c r="Y184" t="n">
        <x:f>IF(X184=0,0,IF(OR(ISNUMBER(J184),K184="Submitted",K184="Under review",K184="Comments received",K184="Resubmitted",K184="Approved"),1,0))</x:f>
        <x:v>0</x:v>
      </x:c>
      <x:c r="Z184" t="n">
        <x:f>IF(X184=0,0,IF(K184="Approved",1,0))</x:f>
        <x:v>0</x:v>
      </x:c>
      <x:c r="AA184" t="n">
        <x:f>IF(X184=0,0,1-Y184)</x:f>
        <x:v>0</x:v>
      </x:c>
    </x:row>
    <x:row r="185" ht="28" customHeight="1">
      <x:c r="A185" s="55"/>
      <x:c r="B185" s="55"/>
      <x:c r="C185" s="60"/>
      <x:c r="D185" s="55"/>
      <x:c r="E185" s="55"/>
      <x:c r="F185" s="55"/>
      <x:c r="G185" s="55"/>
      <x:c r="H185" s="56"/>
      <x:c r="I185" s="56"/>
      <x:c r="J185" s="56"/>
      <x:c r="K185" s="55"/>
      <x:c r="L185" s="55"/>
      <x:c r="M185" s="56"/>
      <x:c r="N185" s="56"/>
      <x:c r="O185" s="56"/>
      <x:c r="P185" s="55"/>
      <x:c r="Q185" s="55"/>
      <x:c r="R185" s="55"/>
      <x:c r="S185" s="55"/>
      <x:c r="T185" s="55"/>
      <x:c r="U185" s="56"/>
      <x:c r="V185" s="55"/>
      <x:c r="X185" t="n">
        <x:f>IF(OR(A185="",D185=""),0,IF(COUNTIFS($A$17:A185,A185,$D$17:D185,D185)=1,1,0))</x:f>
        <x:v>0</x:v>
      </x:c>
      <x:c r="Y185" t="n">
        <x:f>IF(X185=0,0,IF(OR(ISNUMBER(J185),K185="Submitted",K185="Under review",K185="Comments received",K185="Resubmitted",K185="Approved"),1,0))</x:f>
        <x:v>0</x:v>
      </x:c>
      <x:c r="Z185" t="n">
        <x:f>IF(X185=0,0,IF(K185="Approved",1,0))</x:f>
        <x:v>0</x:v>
      </x:c>
      <x:c r="AA185" t="n">
        <x:f>IF(X185=0,0,1-Y185)</x:f>
        <x:v>0</x:v>
      </x:c>
    </x:row>
    <x:row r="186" ht="28" customHeight="1">
      <x:c r="A186" s="55"/>
      <x:c r="B186" s="55"/>
      <x:c r="C186" s="60"/>
      <x:c r="D186" s="55"/>
      <x:c r="E186" s="55"/>
      <x:c r="F186" s="55"/>
      <x:c r="G186" s="55"/>
      <x:c r="H186" s="56"/>
      <x:c r="I186" s="56"/>
      <x:c r="J186" s="56"/>
      <x:c r="K186" s="55"/>
      <x:c r="L186" s="55"/>
      <x:c r="M186" s="56"/>
      <x:c r="N186" s="56"/>
      <x:c r="O186" s="56"/>
      <x:c r="P186" s="55"/>
      <x:c r="Q186" s="55"/>
      <x:c r="R186" s="55"/>
      <x:c r="S186" s="55"/>
      <x:c r="T186" s="55"/>
      <x:c r="U186" s="56"/>
      <x:c r="V186" s="55"/>
      <x:c r="X186" t="n">
        <x:f>IF(OR(A186="",D186=""),0,IF(COUNTIFS($A$17:A186,A186,$D$17:D186,D186)=1,1,0))</x:f>
        <x:v>0</x:v>
      </x:c>
      <x:c r="Y186" t="n">
        <x:f>IF(X186=0,0,IF(OR(ISNUMBER(J186),K186="Submitted",K186="Under review",K186="Comments received",K186="Resubmitted",K186="Approved"),1,0))</x:f>
        <x:v>0</x:v>
      </x:c>
      <x:c r="Z186" t="n">
        <x:f>IF(X186=0,0,IF(K186="Approved",1,0))</x:f>
        <x:v>0</x:v>
      </x:c>
      <x:c r="AA186" t="n">
        <x:f>IF(X186=0,0,1-Y186)</x:f>
        <x:v>0</x:v>
      </x:c>
    </x:row>
    <x:row r="187" ht="28" customHeight="1">
      <x:c r="A187" s="55"/>
      <x:c r="B187" s="55"/>
      <x:c r="C187" s="60"/>
      <x:c r="D187" s="55"/>
      <x:c r="E187" s="55"/>
      <x:c r="F187" s="55"/>
      <x:c r="G187" s="55"/>
      <x:c r="H187" s="56"/>
      <x:c r="I187" s="56"/>
      <x:c r="J187" s="56"/>
      <x:c r="K187" s="55"/>
      <x:c r="L187" s="55"/>
      <x:c r="M187" s="56"/>
      <x:c r="N187" s="56"/>
      <x:c r="O187" s="56"/>
      <x:c r="P187" s="55"/>
      <x:c r="Q187" s="55"/>
      <x:c r="R187" s="55"/>
      <x:c r="S187" s="55"/>
      <x:c r="T187" s="55"/>
      <x:c r="U187" s="56"/>
      <x:c r="V187" s="55"/>
      <x:c r="X187" t="n">
        <x:f>IF(OR(A187="",D187=""),0,IF(COUNTIFS($A$17:A187,A187,$D$17:D187,D187)=1,1,0))</x:f>
        <x:v>0</x:v>
      </x:c>
      <x:c r="Y187" t="n">
        <x:f>IF(X187=0,0,IF(OR(ISNUMBER(J187),K187="Submitted",K187="Under review",K187="Comments received",K187="Resubmitted",K187="Approved"),1,0))</x:f>
        <x:v>0</x:v>
      </x:c>
      <x:c r="Z187" t="n">
        <x:f>IF(X187=0,0,IF(K187="Approved",1,0))</x:f>
        <x:v>0</x:v>
      </x:c>
      <x:c r="AA187" t="n">
        <x:f>IF(X187=0,0,1-Y187)</x:f>
        <x:v>0</x:v>
      </x:c>
    </x:row>
    <x:row r="188" ht="28" customHeight="1">
      <x:c r="A188" s="55"/>
      <x:c r="B188" s="55"/>
      <x:c r="C188" s="60"/>
      <x:c r="D188" s="55"/>
      <x:c r="E188" s="55"/>
      <x:c r="F188" s="55"/>
      <x:c r="G188" s="55"/>
      <x:c r="H188" s="56"/>
      <x:c r="I188" s="56"/>
      <x:c r="J188" s="56"/>
      <x:c r="K188" s="55"/>
      <x:c r="L188" s="55"/>
      <x:c r="M188" s="56"/>
      <x:c r="N188" s="56"/>
      <x:c r="O188" s="56"/>
      <x:c r="P188" s="55"/>
      <x:c r="Q188" s="55"/>
      <x:c r="R188" s="55"/>
      <x:c r="S188" s="55"/>
      <x:c r="T188" s="55"/>
      <x:c r="U188" s="56"/>
      <x:c r="V188" s="55"/>
      <x:c r="X188" t="n">
        <x:f>IF(OR(A188="",D188=""),0,IF(COUNTIFS($A$17:A188,A188,$D$17:D188,D188)=1,1,0))</x:f>
        <x:v>0</x:v>
      </x:c>
      <x:c r="Y188" t="n">
        <x:f>IF(X188=0,0,IF(OR(ISNUMBER(J188),K188="Submitted",K188="Under review",K188="Comments received",K188="Resubmitted",K188="Approved"),1,0))</x:f>
        <x:v>0</x:v>
      </x:c>
      <x:c r="Z188" t="n">
        <x:f>IF(X188=0,0,IF(K188="Approved",1,0))</x:f>
        <x:v>0</x:v>
      </x:c>
      <x:c r="AA188" t="n">
        <x:f>IF(X188=0,0,1-Y188)</x:f>
        <x:v>0</x:v>
      </x:c>
    </x:row>
    <x:row r="189" ht="28" customHeight="1">
      <x:c r="A189" s="55"/>
      <x:c r="B189" s="55"/>
      <x:c r="C189" s="60"/>
      <x:c r="D189" s="55"/>
      <x:c r="E189" s="55"/>
      <x:c r="F189" s="55"/>
      <x:c r="G189" s="55"/>
      <x:c r="H189" s="56"/>
      <x:c r="I189" s="56"/>
      <x:c r="J189" s="56"/>
      <x:c r="K189" s="55"/>
      <x:c r="L189" s="55"/>
      <x:c r="M189" s="56"/>
      <x:c r="N189" s="56"/>
      <x:c r="O189" s="56"/>
      <x:c r="P189" s="55"/>
      <x:c r="Q189" s="55"/>
      <x:c r="R189" s="55"/>
      <x:c r="S189" s="55"/>
      <x:c r="T189" s="55"/>
      <x:c r="U189" s="56"/>
      <x:c r="V189" s="55"/>
      <x:c r="X189" t="n">
        <x:f>IF(OR(A189="",D189=""),0,IF(COUNTIFS($A$17:A189,A189,$D$17:D189,D189)=1,1,0))</x:f>
        <x:v>0</x:v>
      </x:c>
      <x:c r="Y189" t="n">
        <x:f>IF(X189=0,0,IF(OR(ISNUMBER(J189),K189="Submitted",K189="Under review",K189="Comments received",K189="Resubmitted",K189="Approved"),1,0))</x:f>
        <x:v>0</x:v>
      </x:c>
      <x:c r="Z189" t="n">
        <x:f>IF(X189=0,0,IF(K189="Approved",1,0))</x:f>
        <x:v>0</x:v>
      </x:c>
      <x:c r="AA189" t="n">
        <x:f>IF(X189=0,0,1-Y189)</x:f>
        <x:v>0</x:v>
      </x:c>
    </x:row>
    <x:row r="190" ht="28" customHeight="1">
      <x:c r="A190" s="55"/>
      <x:c r="B190" s="55"/>
      <x:c r="C190" s="60"/>
      <x:c r="D190" s="55"/>
      <x:c r="E190" s="55"/>
      <x:c r="F190" s="55"/>
      <x:c r="G190" s="55"/>
      <x:c r="H190" s="56"/>
      <x:c r="I190" s="56"/>
      <x:c r="J190" s="56"/>
      <x:c r="K190" s="55"/>
      <x:c r="L190" s="55"/>
      <x:c r="M190" s="56"/>
      <x:c r="N190" s="56"/>
      <x:c r="O190" s="56"/>
      <x:c r="P190" s="55"/>
      <x:c r="Q190" s="55"/>
      <x:c r="R190" s="55"/>
      <x:c r="S190" s="55"/>
      <x:c r="T190" s="55"/>
      <x:c r="U190" s="56"/>
      <x:c r="V190" s="55"/>
      <x:c r="X190" t="n">
        <x:f>IF(OR(A190="",D190=""),0,IF(COUNTIFS($A$17:A190,A190,$D$17:D190,D190)=1,1,0))</x:f>
        <x:v>0</x:v>
      </x:c>
      <x:c r="Y190" t="n">
        <x:f>IF(X190=0,0,IF(OR(ISNUMBER(J190),K190="Submitted",K190="Under review",K190="Comments received",K190="Resubmitted",K190="Approved"),1,0))</x:f>
        <x:v>0</x:v>
      </x:c>
      <x:c r="Z190" t="n">
        <x:f>IF(X190=0,0,IF(K190="Approved",1,0))</x:f>
        <x:v>0</x:v>
      </x:c>
      <x:c r="AA190" t="n">
        <x:f>IF(X190=0,0,1-Y190)</x:f>
        <x:v>0</x:v>
      </x:c>
    </x:row>
    <x:row r="191" ht="28" customHeight="1">
      <x:c r="A191" s="55"/>
      <x:c r="B191" s="55"/>
      <x:c r="C191" s="60"/>
      <x:c r="D191" s="55"/>
      <x:c r="E191" s="55"/>
      <x:c r="F191" s="55"/>
      <x:c r="G191" s="55"/>
      <x:c r="H191" s="56"/>
      <x:c r="I191" s="56"/>
      <x:c r="J191" s="56"/>
      <x:c r="K191" s="55"/>
      <x:c r="L191" s="55"/>
      <x:c r="M191" s="56"/>
      <x:c r="N191" s="56"/>
      <x:c r="O191" s="56"/>
      <x:c r="P191" s="55"/>
      <x:c r="Q191" s="55"/>
      <x:c r="R191" s="55"/>
      <x:c r="S191" s="55"/>
      <x:c r="T191" s="55"/>
      <x:c r="U191" s="56"/>
      <x:c r="V191" s="55"/>
      <x:c r="X191" t="n">
        <x:f>IF(OR(A191="",D191=""),0,IF(COUNTIFS($A$17:A191,A191,$D$17:D191,D191)=1,1,0))</x:f>
        <x:v>0</x:v>
      </x:c>
      <x:c r="Y191" t="n">
        <x:f>IF(X191=0,0,IF(OR(ISNUMBER(J191),K191="Submitted",K191="Under review",K191="Comments received",K191="Resubmitted",K191="Approved"),1,0))</x:f>
        <x:v>0</x:v>
      </x:c>
      <x:c r="Z191" t="n">
        <x:f>IF(X191=0,0,IF(K191="Approved",1,0))</x:f>
        <x:v>0</x:v>
      </x:c>
      <x:c r="AA191" t="n">
        <x:f>IF(X191=0,0,1-Y191)</x:f>
        <x:v>0</x:v>
      </x:c>
    </x:row>
    <x:row r="192" ht="28" customHeight="1">
      <x:c r="A192" s="55"/>
      <x:c r="B192" s="55"/>
      <x:c r="C192" s="60"/>
      <x:c r="D192" s="55"/>
      <x:c r="E192" s="55"/>
      <x:c r="F192" s="55"/>
      <x:c r="G192" s="55"/>
      <x:c r="H192" s="56"/>
      <x:c r="I192" s="56"/>
      <x:c r="J192" s="56"/>
      <x:c r="K192" s="55"/>
      <x:c r="L192" s="55"/>
      <x:c r="M192" s="56"/>
      <x:c r="N192" s="56"/>
      <x:c r="O192" s="56"/>
      <x:c r="P192" s="55"/>
      <x:c r="Q192" s="55"/>
      <x:c r="R192" s="55"/>
      <x:c r="S192" s="55"/>
      <x:c r="T192" s="55"/>
      <x:c r="U192" s="56"/>
      <x:c r="V192" s="55"/>
      <x:c r="X192" t="n">
        <x:f>IF(OR(A192="",D192=""),0,IF(COUNTIFS($A$17:A192,A192,$D$17:D192,D192)=1,1,0))</x:f>
        <x:v>0</x:v>
      </x:c>
      <x:c r="Y192" t="n">
        <x:f>IF(X192=0,0,IF(OR(ISNUMBER(J192),K192="Submitted",K192="Under review",K192="Comments received",K192="Resubmitted",K192="Approved"),1,0))</x:f>
        <x:v>0</x:v>
      </x:c>
      <x:c r="Z192" t="n">
        <x:f>IF(X192=0,0,IF(K192="Approved",1,0))</x:f>
        <x:v>0</x:v>
      </x:c>
      <x:c r="AA192" t="n">
        <x:f>IF(X192=0,0,1-Y192)</x:f>
        <x:v>0</x:v>
      </x:c>
    </x:row>
    <x:row r="193" ht="28" customHeight="1">
      <x:c r="A193" s="55"/>
      <x:c r="B193" s="55"/>
      <x:c r="C193" s="60"/>
      <x:c r="D193" s="55"/>
      <x:c r="E193" s="55"/>
      <x:c r="F193" s="55"/>
      <x:c r="G193" s="55"/>
      <x:c r="H193" s="56"/>
      <x:c r="I193" s="56"/>
      <x:c r="J193" s="56"/>
      <x:c r="K193" s="55"/>
      <x:c r="L193" s="55"/>
      <x:c r="M193" s="56"/>
      <x:c r="N193" s="56"/>
      <x:c r="O193" s="56"/>
      <x:c r="P193" s="55"/>
      <x:c r="Q193" s="55"/>
      <x:c r="R193" s="55"/>
      <x:c r="S193" s="55"/>
      <x:c r="T193" s="55"/>
      <x:c r="U193" s="56"/>
      <x:c r="V193" s="55"/>
      <x:c r="X193" t="n">
        <x:f>IF(OR(A193="",D193=""),0,IF(COUNTIFS($A$17:A193,A193,$D$17:D193,D193)=1,1,0))</x:f>
        <x:v>0</x:v>
      </x:c>
      <x:c r="Y193" t="n">
        <x:f>IF(X193=0,0,IF(OR(ISNUMBER(J193),K193="Submitted",K193="Under review",K193="Comments received",K193="Resubmitted",K193="Approved"),1,0))</x:f>
        <x:v>0</x:v>
      </x:c>
      <x:c r="Z193" t="n">
        <x:f>IF(X193=0,0,IF(K193="Approved",1,0))</x:f>
        <x:v>0</x:v>
      </x:c>
      <x:c r="AA193" t="n">
        <x:f>IF(X193=0,0,1-Y193)</x:f>
        <x:v>0</x:v>
      </x:c>
    </x:row>
    <x:row r="194" ht="28" customHeight="1">
      <x:c r="A194" s="55"/>
      <x:c r="B194" s="55"/>
      <x:c r="C194" s="60"/>
      <x:c r="D194" s="55"/>
      <x:c r="E194" s="55"/>
      <x:c r="F194" s="55"/>
      <x:c r="G194" s="55"/>
      <x:c r="H194" s="56"/>
      <x:c r="I194" s="56"/>
      <x:c r="J194" s="56"/>
      <x:c r="K194" s="55"/>
      <x:c r="L194" s="55"/>
      <x:c r="M194" s="56"/>
      <x:c r="N194" s="56"/>
      <x:c r="O194" s="56"/>
      <x:c r="P194" s="55"/>
      <x:c r="Q194" s="55"/>
      <x:c r="R194" s="55"/>
      <x:c r="S194" s="55"/>
      <x:c r="T194" s="55"/>
      <x:c r="U194" s="56"/>
      <x:c r="V194" s="55"/>
      <x:c r="X194" t="n">
        <x:f>IF(OR(A194="",D194=""),0,IF(COUNTIFS($A$17:A194,A194,$D$17:D194,D194)=1,1,0))</x:f>
        <x:v>0</x:v>
      </x:c>
      <x:c r="Y194" t="n">
        <x:f>IF(X194=0,0,IF(OR(ISNUMBER(J194),K194="Submitted",K194="Under review",K194="Comments received",K194="Resubmitted",K194="Approved"),1,0))</x:f>
        <x:v>0</x:v>
      </x:c>
      <x:c r="Z194" t="n">
        <x:f>IF(X194=0,0,IF(K194="Approved",1,0))</x:f>
        <x:v>0</x:v>
      </x:c>
      <x:c r="AA194" t="n">
        <x:f>IF(X194=0,0,1-Y194)</x:f>
        <x:v>0</x:v>
      </x:c>
    </x:row>
    <x:row r="195" ht="28" customHeight="1">
      <x:c r="A195" s="55"/>
      <x:c r="B195" s="55"/>
      <x:c r="C195" s="60"/>
      <x:c r="D195" s="55"/>
      <x:c r="E195" s="55"/>
      <x:c r="F195" s="55"/>
      <x:c r="G195" s="55"/>
      <x:c r="H195" s="56"/>
      <x:c r="I195" s="56"/>
      <x:c r="J195" s="56"/>
      <x:c r="K195" s="55"/>
      <x:c r="L195" s="55"/>
      <x:c r="M195" s="56"/>
      <x:c r="N195" s="56"/>
      <x:c r="O195" s="56"/>
      <x:c r="P195" s="55"/>
      <x:c r="Q195" s="55"/>
      <x:c r="R195" s="55"/>
      <x:c r="S195" s="55"/>
      <x:c r="T195" s="55"/>
      <x:c r="U195" s="56"/>
      <x:c r="V195" s="55"/>
      <x:c r="X195" t="n">
        <x:f>IF(OR(A195="",D195=""),0,IF(COUNTIFS($A$17:A195,A195,$D$17:D195,D195)=1,1,0))</x:f>
        <x:v>0</x:v>
      </x:c>
      <x:c r="Y195" t="n">
        <x:f>IF(X195=0,0,IF(OR(ISNUMBER(J195),K195="Submitted",K195="Under review",K195="Comments received",K195="Resubmitted",K195="Approved"),1,0))</x:f>
        <x:v>0</x:v>
      </x:c>
      <x:c r="Z195" t="n">
        <x:f>IF(X195=0,0,IF(K195="Approved",1,0))</x:f>
        <x:v>0</x:v>
      </x:c>
      <x:c r="AA195" t="n">
        <x:f>IF(X195=0,0,1-Y195)</x:f>
        <x:v>0</x:v>
      </x:c>
    </x:row>
    <x:row r="196" ht="28" customHeight="1">
      <x:c r="A196" s="55"/>
      <x:c r="B196" s="55"/>
      <x:c r="C196" s="60"/>
      <x:c r="D196" s="55"/>
      <x:c r="E196" s="55"/>
      <x:c r="F196" s="55"/>
      <x:c r="G196" s="55"/>
      <x:c r="H196" s="56"/>
      <x:c r="I196" s="56"/>
      <x:c r="J196" s="56"/>
      <x:c r="K196" s="55"/>
      <x:c r="L196" s="55"/>
      <x:c r="M196" s="56"/>
      <x:c r="N196" s="56"/>
      <x:c r="O196" s="56"/>
      <x:c r="P196" s="55"/>
      <x:c r="Q196" s="55"/>
      <x:c r="R196" s="55"/>
      <x:c r="S196" s="55"/>
      <x:c r="T196" s="55"/>
      <x:c r="U196" s="56"/>
      <x:c r="V196" s="55"/>
      <x:c r="X196" t="n">
        <x:f>IF(OR(A196="",D196=""),0,IF(COUNTIFS($A$17:A196,A196,$D$17:D196,D196)=1,1,0))</x:f>
        <x:v>0</x:v>
      </x:c>
      <x:c r="Y196" t="n">
        <x:f>IF(X196=0,0,IF(OR(ISNUMBER(J196),K196="Submitted",K196="Under review",K196="Comments received",K196="Resubmitted",K196="Approved"),1,0))</x:f>
        <x:v>0</x:v>
      </x:c>
      <x:c r="Z196" t="n">
        <x:f>IF(X196=0,0,IF(K196="Approved",1,0))</x:f>
        <x:v>0</x:v>
      </x:c>
      <x:c r="AA196" t="n">
        <x:f>IF(X196=0,0,1-Y196)</x:f>
        <x:v>0</x:v>
      </x:c>
    </x:row>
    <x:row r="197" ht="28" customHeight="1">
      <x:c r="A197" s="55"/>
      <x:c r="B197" s="55"/>
      <x:c r="C197" s="60"/>
      <x:c r="D197" s="55"/>
      <x:c r="E197" s="55"/>
      <x:c r="F197" s="55"/>
      <x:c r="G197" s="55"/>
      <x:c r="H197" s="56"/>
      <x:c r="I197" s="56"/>
      <x:c r="J197" s="56"/>
      <x:c r="K197" s="55"/>
      <x:c r="L197" s="55"/>
      <x:c r="M197" s="56"/>
      <x:c r="N197" s="56"/>
      <x:c r="O197" s="56"/>
      <x:c r="P197" s="55"/>
      <x:c r="Q197" s="55"/>
      <x:c r="R197" s="55"/>
      <x:c r="S197" s="55"/>
      <x:c r="T197" s="55"/>
      <x:c r="U197" s="56"/>
      <x:c r="V197" s="55"/>
      <x:c r="X197" t="n">
        <x:f>IF(OR(A197="",D197=""),0,IF(COUNTIFS($A$17:A197,A197,$D$17:D197,D197)=1,1,0))</x:f>
        <x:v>0</x:v>
      </x:c>
      <x:c r="Y197" t="n">
        <x:f>IF(X197=0,0,IF(OR(ISNUMBER(J197),K197="Submitted",K197="Under review",K197="Comments received",K197="Resubmitted",K197="Approved"),1,0))</x:f>
        <x:v>0</x:v>
      </x:c>
      <x:c r="Z197" t="n">
        <x:f>IF(X197=0,0,IF(K197="Approved",1,0))</x:f>
        <x:v>0</x:v>
      </x:c>
      <x:c r="AA197" t="n">
        <x:f>IF(X197=0,0,1-Y197)</x:f>
        <x:v>0</x:v>
      </x:c>
    </x:row>
    <x:row r="198" ht="28" customHeight="1">
      <x:c r="A198" s="55"/>
      <x:c r="B198" s="55"/>
      <x:c r="C198" s="60"/>
      <x:c r="D198" s="55"/>
      <x:c r="E198" s="55"/>
      <x:c r="F198" s="55"/>
      <x:c r="G198" s="55"/>
      <x:c r="H198" s="56"/>
      <x:c r="I198" s="56"/>
      <x:c r="J198" s="56"/>
      <x:c r="K198" s="55"/>
      <x:c r="L198" s="55"/>
      <x:c r="M198" s="56"/>
      <x:c r="N198" s="56"/>
      <x:c r="O198" s="56"/>
      <x:c r="P198" s="55"/>
      <x:c r="Q198" s="55"/>
      <x:c r="R198" s="55"/>
      <x:c r="S198" s="55"/>
      <x:c r="T198" s="55"/>
      <x:c r="U198" s="56"/>
      <x:c r="V198" s="55"/>
      <x:c r="X198" t="n">
        <x:f>IF(OR(A198="",D198=""),0,IF(COUNTIFS($A$17:A198,A198,$D$17:D198,D198)=1,1,0))</x:f>
        <x:v>0</x:v>
      </x:c>
      <x:c r="Y198" t="n">
        <x:f>IF(X198=0,0,IF(OR(ISNUMBER(J198),K198="Submitted",K198="Under review",K198="Comments received",K198="Resubmitted",K198="Approved"),1,0))</x:f>
        <x:v>0</x:v>
      </x:c>
      <x:c r="Z198" t="n">
        <x:f>IF(X198=0,0,IF(K198="Approved",1,0))</x:f>
        <x:v>0</x:v>
      </x:c>
      <x:c r="AA198" t="n">
        <x:f>IF(X198=0,0,1-Y198)</x:f>
        <x:v>0</x:v>
      </x:c>
    </x:row>
    <x:row r="199" ht="28" customHeight="1">
      <x:c r="A199" s="55"/>
      <x:c r="B199" s="55"/>
      <x:c r="C199" s="60"/>
      <x:c r="D199" s="55"/>
      <x:c r="E199" s="55"/>
      <x:c r="F199" s="55"/>
      <x:c r="G199" s="55"/>
      <x:c r="H199" s="56"/>
      <x:c r="I199" s="56"/>
      <x:c r="J199" s="56"/>
      <x:c r="K199" s="55"/>
      <x:c r="L199" s="55"/>
      <x:c r="M199" s="56"/>
      <x:c r="N199" s="56"/>
      <x:c r="O199" s="56"/>
      <x:c r="P199" s="55"/>
      <x:c r="Q199" s="55"/>
      <x:c r="R199" s="55"/>
      <x:c r="S199" s="55"/>
      <x:c r="T199" s="55"/>
      <x:c r="U199" s="56"/>
      <x:c r="V199" s="55"/>
      <x:c r="X199" t="n">
        <x:f>IF(OR(A199="",D199=""),0,IF(COUNTIFS($A$17:A199,A199,$D$17:D199,D199)=1,1,0))</x:f>
        <x:v>0</x:v>
      </x:c>
      <x:c r="Y199" t="n">
        <x:f>IF(X199=0,0,IF(OR(ISNUMBER(J199),K199="Submitted",K199="Under review",K199="Comments received",K199="Resubmitted",K199="Approved"),1,0))</x:f>
        <x:v>0</x:v>
      </x:c>
      <x:c r="Z199" t="n">
        <x:f>IF(X199=0,0,IF(K199="Approved",1,0))</x:f>
        <x:v>0</x:v>
      </x:c>
      <x:c r="AA199" t="n">
        <x:f>IF(X199=0,0,1-Y199)</x:f>
        <x:v>0</x:v>
      </x:c>
    </x:row>
    <x:row r="200" ht="28" customHeight="1">
      <x:c r="A200" s="55"/>
      <x:c r="B200" s="55"/>
      <x:c r="C200" s="60"/>
      <x:c r="D200" s="55"/>
      <x:c r="E200" s="55"/>
      <x:c r="F200" s="55"/>
      <x:c r="G200" s="55"/>
      <x:c r="H200" s="56"/>
      <x:c r="I200" s="56"/>
      <x:c r="J200" s="56"/>
      <x:c r="K200" s="55"/>
      <x:c r="L200" s="55"/>
      <x:c r="M200" s="56"/>
      <x:c r="N200" s="56"/>
      <x:c r="O200" s="56"/>
      <x:c r="P200" s="55"/>
      <x:c r="Q200" s="55"/>
      <x:c r="R200" s="55"/>
      <x:c r="S200" s="55"/>
      <x:c r="T200" s="55"/>
      <x:c r="U200" s="56"/>
      <x:c r="V200" s="55"/>
      <x:c r="X200" t="n">
        <x:f>IF(OR(A200="",D200=""),0,IF(COUNTIFS($A$17:A200,A200,$D$17:D200,D200)=1,1,0))</x:f>
        <x:v>0</x:v>
      </x:c>
      <x:c r="Y200" t="n">
        <x:f>IF(X200=0,0,IF(OR(ISNUMBER(J200),K200="Submitted",K200="Under review",K200="Comments received",K200="Resubmitted",K200="Approved"),1,0))</x:f>
        <x:v>0</x:v>
      </x:c>
      <x:c r="Z200" t="n">
        <x:f>IF(X200=0,0,IF(K200="Approved",1,0))</x:f>
        <x:v>0</x:v>
      </x:c>
      <x:c r="AA200" t="n">
        <x:f>IF(X200=0,0,1-Y200)</x:f>
        <x:v>0</x:v>
      </x:c>
    </x:row>
    <x:row r="201" ht="28" customHeight="1">
      <x:c r="A201" s="55"/>
      <x:c r="B201" s="55"/>
      <x:c r="C201" s="60"/>
      <x:c r="D201" s="55"/>
      <x:c r="E201" s="55"/>
      <x:c r="F201" s="55"/>
      <x:c r="G201" s="55"/>
      <x:c r="H201" s="56"/>
      <x:c r="I201" s="56"/>
      <x:c r="J201" s="56"/>
      <x:c r="K201" s="55"/>
      <x:c r="L201" s="55"/>
      <x:c r="M201" s="56"/>
      <x:c r="N201" s="56"/>
      <x:c r="O201" s="56"/>
      <x:c r="P201" s="55"/>
      <x:c r="Q201" s="55"/>
      <x:c r="R201" s="55"/>
      <x:c r="S201" s="55"/>
      <x:c r="T201" s="55"/>
      <x:c r="U201" s="56"/>
      <x:c r="V201" s="55"/>
      <x:c r="X201" t="n">
        <x:f>IF(OR(A201="",D201=""),0,IF(COUNTIFS($A$17:A201,A201,$D$17:D201,D201)=1,1,0))</x:f>
        <x:v>0</x:v>
      </x:c>
      <x:c r="Y201" t="n">
        <x:f>IF(X201=0,0,IF(OR(ISNUMBER(J201),K201="Submitted",K201="Under review",K201="Comments received",K201="Resubmitted",K201="Approved"),1,0))</x:f>
        <x:v>0</x:v>
      </x:c>
      <x:c r="Z201" t="n">
        <x:f>IF(X201=0,0,IF(K201="Approved",1,0))</x:f>
        <x:v>0</x:v>
      </x:c>
      <x:c r="AA201" t="n">
        <x:f>IF(X201=0,0,1-Y201)</x:f>
        <x:v>0</x:v>
      </x:c>
    </x:row>
    <x:row r="202" ht="28" customHeight="1">
      <x:c r="A202" s="55"/>
      <x:c r="B202" s="55"/>
      <x:c r="C202" s="60"/>
      <x:c r="D202" s="55"/>
      <x:c r="E202" s="55"/>
      <x:c r="F202" s="55"/>
      <x:c r="G202" s="55"/>
      <x:c r="H202" s="56"/>
      <x:c r="I202" s="56"/>
      <x:c r="J202" s="56"/>
      <x:c r="K202" s="55"/>
      <x:c r="L202" s="55"/>
      <x:c r="M202" s="56"/>
      <x:c r="N202" s="56"/>
      <x:c r="O202" s="56"/>
      <x:c r="P202" s="55"/>
      <x:c r="Q202" s="55"/>
      <x:c r="R202" s="55"/>
      <x:c r="S202" s="55"/>
      <x:c r="T202" s="55"/>
      <x:c r="U202" s="56"/>
      <x:c r="V202" s="55"/>
      <x:c r="X202" t="n">
        <x:f>IF(OR(A202="",D202=""),0,IF(COUNTIFS($A$17:A202,A202,$D$17:D202,D202)=1,1,0))</x:f>
        <x:v>0</x:v>
      </x:c>
      <x:c r="Y202" t="n">
        <x:f>IF(X202=0,0,IF(OR(ISNUMBER(J202),K202="Submitted",K202="Under review",K202="Comments received",K202="Resubmitted",K202="Approved"),1,0))</x:f>
        <x:v>0</x:v>
      </x:c>
      <x:c r="Z202" t="n">
        <x:f>IF(X202=0,0,IF(K202="Approved",1,0))</x:f>
        <x:v>0</x:v>
      </x:c>
      <x:c r="AA202" t="n">
        <x:f>IF(X202=0,0,1-Y202)</x:f>
        <x:v>0</x:v>
      </x:c>
    </x:row>
    <x:row r="203" ht="28" customHeight="1">
      <x:c r="A203" s="55"/>
      <x:c r="B203" s="55"/>
      <x:c r="C203" s="60"/>
      <x:c r="D203" s="55"/>
      <x:c r="E203" s="55"/>
      <x:c r="F203" s="55"/>
      <x:c r="G203" s="55"/>
      <x:c r="H203" s="56"/>
      <x:c r="I203" s="56"/>
      <x:c r="J203" s="56"/>
      <x:c r="K203" s="55"/>
      <x:c r="L203" s="55"/>
      <x:c r="M203" s="56"/>
      <x:c r="N203" s="56"/>
      <x:c r="O203" s="56"/>
      <x:c r="P203" s="55"/>
      <x:c r="Q203" s="55"/>
      <x:c r="R203" s="55"/>
      <x:c r="S203" s="55"/>
      <x:c r="T203" s="55"/>
      <x:c r="U203" s="56"/>
      <x:c r="V203" s="55"/>
      <x:c r="X203" t="n">
        <x:f>IF(OR(A203="",D203=""),0,IF(COUNTIFS($A$17:A203,A203,$D$17:D203,D203)=1,1,0))</x:f>
        <x:v>0</x:v>
      </x:c>
      <x:c r="Y203" t="n">
        <x:f>IF(X203=0,0,IF(OR(ISNUMBER(J203),K203="Submitted",K203="Under review",K203="Comments received",K203="Resubmitted",K203="Approved"),1,0))</x:f>
        <x:v>0</x:v>
      </x:c>
      <x:c r="Z203" t="n">
        <x:f>IF(X203=0,0,IF(K203="Approved",1,0))</x:f>
        <x:v>0</x:v>
      </x:c>
      <x:c r="AA203" t="n">
        <x:f>IF(X203=0,0,1-Y203)</x:f>
        <x:v>0</x:v>
      </x:c>
    </x:row>
    <x:row r="204" ht="28" customHeight="1">
      <x:c r="A204" s="55"/>
      <x:c r="B204" s="55"/>
      <x:c r="C204" s="60"/>
      <x:c r="D204" s="55"/>
      <x:c r="E204" s="55"/>
      <x:c r="F204" s="55"/>
      <x:c r="G204" s="55"/>
      <x:c r="H204" s="56"/>
      <x:c r="I204" s="56"/>
      <x:c r="J204" s="56"/>
      <x:c r="K204" s="55"/>
      <x:c r="L204" s="55"/>
      <x:c r="M204" s="56"/>
      <x:c r="N204" s="56"/>
      <x:c r="O204" s="56"/>
      <x:c r="P204" s="55"/>
      <x:c r="Q204" s="55"/>
      <x:c r="R204" s="55"/>
      <x:c r="S204" s="55"/>
      <x:c r="T204" s="55"/>
      <x:c r="U204" s="56"/>
      <x:c r="V204" s="55"/>
      <x:c r="X204" t="n">
        <x:f>IF(OR(A204="",D204=""),0,IF(COUNTIFS($A$17:A204,A204,$D$17:D204,D204)=1,1,0))</x:f>
        <x:v>0</x:v>
      </x:c>
      <x:c r="Y204" t="n">
        <x:f>IF(X204=0,0,IF(OR(ISNUMBER(J204),K204="Submitted",K204="Under review",K204="Comments received",K204="Resubmitted",K204="Approved"),1,0))</x:f>
        <x:v>0</x:v>
      </x:c>
      <x:c r="Z204" t="n">
        <x:f>IF(X204=0,0,IF(K204="Approved",1,0))</x:f>
        <x:v>0</x:v>
      </x:c>
      <x:c r="AA204" t="n">
        <x:f>IF(X204=0,0,1-Y204)</x:f>
        <x:v>0</x:v>
      </x:c>
    </x:row>
    <x:row r="205" ht="28" customHeight="1">
      <x:c r="A205" s="55"/>
      <x:c r="B205" s="55"/>
      <x:c r="C205" s="60"/>
      <x:c r="D205" s="55"/>
      <x:c r="E205" s="55"/>
      <x:c r="F205" s="55"/>
      <x:c r="G205" s="55"/>
      <x:c r="H205" s="56"/>
      <x:c r="I205" s="56"/>
      <x:c r="J205" s="56"/>
      <x:c r="K205" s="55"/>
      <x:c r="L205" s="55"/>
      <x:c r="M205" s="56"/>
      <x:c r="N205" s="56"/>
      <x:c r="O205" s="56"/>
      <x:c r="P205" s="55"/>
      <x:c r="Q205" s="55"/>
      <x:c r="R205" s="55"/>
      <x:c r="S205" s="55"/>
      <x:c r="T205" s="55"/>
      <x:c r="U205" s="56"/>
      <x:c r="V205" s="55"/>
      <x:c r="X205" t="n">
        <x:f>IF(OR(A205="",D205=""),0,IF(COUNTIFS($A$17:A205,A205,$D$17:D205,D205)=1,1,0))</x:f>
        <x:v>0</x:v>
      </x:c>
      <x:c r="Y205" t="n">
        <x:f>IF(X205=0,0,IF(OR(ISNUMBER(J205),K205="Submitted",K205="Under review",K205="Comments received",K205="Resubmitted",K205="Approved"),1,0))</x:f>
        <x:v>0</x:v>
      </x:c>
      <x:c r="Z205" t="n">
        <x:f>IF(X205=0,0,IF(K205="Approved",1,0))</x:f>
        <x:v>0</x:v>
      </x:c>
      <x:c r="AA205" t="n">
        <x:f>IF(X205=0,0,1-Y205)</x:f>
        <x:v>0</x:v>
      </x:c>
    </x:row>
    <x:row r="206" ht="28" customHeight="1">
      <x:c r="A206" s="55"/>
      <x:c r="B206" s="55"/>
      <x:c r="C206" s="60"/>
      <x:c r="D206" s="55"/>
      <x:c r="E206" s="55"/>
      <x:c r="F206" s="55"/>
      <x:c r="G206" s="55"/>
      <x:c r="H206" s="56"/>
      <x:c r="I206" s="56"/>
      <x:c r="J206" s="56"/>
      <x:c r="K206" s="55"/>
      <x:c r="L206" s="55"/>
      <x:c r="M206" s="56"/>
      <x:c r="N206" s="56"/>
      <x:c r="O206" s="56"/>
      <x:c r="P206" s="55"/>
      <x:c r="Q206" s="55"/>
      <x:c r="R206" s="55"/>
      <x:c r="S206" s="55"/>
      <x:c r="T206" s="55"/>
      <x:c r="U206" s="56"/>
      <x:c r="V206" s="55"/>
      <x:c r="X206" t="n">
        <x:f>IF(OR(A206="",D206=""),0,IF(COUNTIFS($A$17:A206,A206,$D$17:D206,D206)=1,1,0))</x:f>
        <x:v>0</x:v>
      </x:c>
      <x:c r="Y206" t="n">
        <x:f>IF(X206=0,0,IF(OR(ISNUMBER(J206),K206="Submitted",K206="Under review",K206="Comments received",K206="Resubmitted",K206="Approved"),1,0))</x:f>
        <x:v>0</x:v>
      </x:c>
      <x:c r="Z206" t="n">
        <x:f>IF(X206=0,0,IF(K206="Approved",1,0))</x:f>
        <x:v>0</x:v>
      </x:c>
      <x:c r="AA206" t="n">
        <x:f>IF(X206=0,0,1-Y206)</x:f>
        <x:v>0</x:v>
      </x:c>
    </x:row>
    <x:row r="207" ht="28" customHeight="1">
      <x:c r="A207" s="55"/>
      <x:c r="B207" s="55"/>
      <x:c r="C207" s="60"/>
      <x:c r="D207" s="55"/>
      <x:c r="E207" s="55"/>
      <x:c r="F207" s="55"/>
      <x:c r="G207" s="55"/>
      <x:c r="H207" s="56"/>
      <x:c r="I207" s="56"/>
      <x:c r="J207" s="56"/>
      <x:c r="K207" s="55"/>
      <x:c r="L207" s="55"/>
      <x:c r="M207" s="56"/>
      <x:c r="N207" s="56"/>
      <x:c r="O207" s="56"/>
      <x:c r="P207" s="55"/>
      <x:c r="Q207" s="55"/>
      <x:c r="R207" s="55"/>
      <x:c r="S207" s="55"/>
      <x:c r="T207" s="55"/>
      <x:c r="U207" s="56"/>
      <x:c r="V207" s="55"/>
      <x:c r="X207" t="n">
        <x:f>IF(OR(A207="",D207=""),0,IF(COUNTIFS($A$17:A207,A207,$D$17:D207,D207)=1,1,0))</x:f>
        <x:v>0</x:v>
      </x:c>
      <x:c r="Y207" t="n">
        <x:f>IF(X207=0,0,IF(OR(ISNUMBER(J207),K207="Submitted",K207="Under review",K207="Comments received",K207="Resubmitted",K207="Approved"),1,0))</x:f>
        <x:v>0</x:v>
      </x:c>
      <x:c r="Z207" t="n">
        <x:f>IF(X207=0,0,IF(K207="Approved",1,0))</x:f>
        <x:v>0</x:v>
      </x:c>
      <x:c r="AA207" t="n">
        <x:f>IF(X207=0,0,1-Y207)</x:f>
        <x:v>0</x:v>
      </x:c>
    </x:row>
    <x:row r="208" ht="28" customHeight="1">
      <x:c r="A208" s="55"/>
      <x:c r="B208" s="55"/>
      <x:c r="C208" s="60"/>
      <x:c r="D208" s="55"/>
      <x:c r="E208" s="55"/>
      <x:c r="F208" s="55"/>
      <x:c r="G208" s="55"/>
      <x:c r="H208" s="56"/>
      <x:c r="I208" s="56"/>
      <x:c r="J208" s="56"/>
      <x:c r="K208" s="55"/>
      <x:c r="L208" s="55"/>
      <x:c r="M208" s="56"/>
      <x:c r="N208" s="56"/>
      <x:c r="O208" s="56"/>
      <x:c r="P208" s="55"/>
      <x:c r="Q208" s="55"/>
      <x:c r="R208" s="55"/>
      <x:c r="S208" s="55"/>
      <x:c r="T208" s="55"/>
      <x:c r="U208" s="56"/>
      <x:c r="V208" s="55"/>
      <x:c r="X208" t="n">
        <x:f>IF(OR(A208="",D208=""),0,IF(COUNTIFS($A$17:A208,A208,$D$17:D208,D208)=1,1,0))</x:f>
        <x:v>0</x:v>
      </x:c>
      <x:c r="Y208" t="n">
        <x:f>IF(X208=0,0,IF(OR(ISNUMBER(J208),K208="Submitted",K208="Under review",K208="Comments received",K208="Resubmitted",K208="Approved"),1,0))</x:f>
        <x:v>0</x:v>
      </x:c>
      <x:c r="Z208" t="n">
        <x:f>IF(X208=0,0,IF(K208="Approved",1,0))</x:f>
        <x:v>0</x:v>
      </x:c>
      <x:c r="AA208" t="n">
        <x:f>IF(X208=0,0,1-Y208)</x:f>
        <x:v>0</x:v>
      </x:c>
    </x:row>
    <x:row r="209" ht="28" customHeight="1">
      <x:c r="A209" s="55"/>
      <x:c r="B209" s="55"/>
      <x:c r="C209" s="60"/>
      <x:c r="D209" s="55"/>
      <x:c r="E209" s="55"/>
      <x:c r="F209" s="55"/>
      <x:c r="G209" s="55"/>
      <x:c r="H209" s="56"/>
      <x:c r="I209" s="56"/>
      <x:c r="J209" s="56"/>
      <x:c r="K209" s="55"/>
      <x:c r="L209" s="55"/>
      <x:c r="M209" s="56"/>
      <x:c r="N209" s="56"/>
      <x:c r="O209" s="56"/>
      <x:c r="P209" s="55"/>
      <x:c r="Q209" s="55"/>
      <x:c r="R209" s="55"/>
      <x:c r="S209" s="55"/>
      <x:c r="T209" s="55"/>
      <x:c r="U209" s="56"/>
      <x:c r="V209" s="55"/>
      <x:c r="X209" t="n">
        <x:f>IF(OR(A209="",D209=""),0,IF(COUNTIFS($A$17:A209,A209,$D$17:D209,D209)=1,1,0))</x:f>
        <x:v>0</x:v>
      </x:c>
      <x:c r="Y209" t="n">
        <x:f>IF(X209=0,0,IF(OR(ISNUMBER(J209),K209="Submitted",K209="Under review",K209="Comments received",K209="Resubmitted",K209="Approved"),1,0))</x:f>
        <x:v>0</x:v>
      </x:c>
      <x:c r="Z209" t="n">
        <x:f>IF(X209=0,0,IF(K209="Approved",1,0))</x:f>
        <x:v>0</x:v>
      </x:c>
      <x:c r="AA209" t="n">
        <x:f>IF(X209=0,0,1-Y209)</x:f>
        <x:v>0</x:v>
      </x:c>
    </x:row>
    <x:row r="210" ht="28" customHeight="1">
      <x:c r="A210" s="55"/>
      <x:c r="B210" s="55"/>
      <x:c r="C210" s="60"/>
      <x:c r="D210" s="55"/>
      <x:c r="E210" s="55"/>
      <x:c r="F210" s="55"/>
      <x:c r="G210" s="55"/>
      <x:c r="H210" s="56"/>
      <x:c r="I210" s="56"/>
      <x:c r="J210" s="56"/>
      <x:c r="K210" s="55"/>
      <x:c r="L210" s="55"/>
      <x:c r="M210" s="56"/>
      <x:c r="N210" s="56"/>
      <x:c r="O210" s="56"/>
      <x:c r="P210" s="55"/>
      <x:c r="Q210" s="55"/>
      <x:c r="R210" s="55"/>
      <x:c r="S210" s="55"/>
      <x:c r="T210" s="55"/>
      <x:c r="U210" s="56"/>
      <x:c r="V210" s="55"/>
      <x:c r="X210" t="n">
        <x:f>IF(OR(A210="",D210=""),0,IF(COUNTIFS($A$17:A210,A210,$D$17:D210,D210)=1,1,0))</x:f>
        <x:v>0</x:v>
      </x:c>
      <x:c r="Y210" t="n">
        <x:f>IF(X210=0,0,IF(OR(ISNUMBER(J210),K210="Submitted",K210="Under review",K210="Comments received",K210="Resubmitted",K210="Approved"),1,0))</x:f>
        <x:v>0</x:v>
      </x:c>
      <x:c r="Z210" t="n">
        <x:f>IF(X210=0,0,IF(K210="Approved",1,0))</x:f>
        <x:v>0</x:v>
      </x:c>
      <x:c r="AA210" t="n">
        <x:f>IF(X210=0,0,1-Y210)</x:f>
        <x:v>0</x:v>
      </x:c>
    </x:row>
    <x:row r="211" ht="28" customHeight="1">
      <x:c r="A211" s="55"/>
      <x:c r="B211" s="55"/>
      <x:c r="C211" s="60"/>
      <x:c r="D211" s="55"/>
      <x:c r="E211" s="55"/>
      <x:c r="F211" s="55"/>
      <x:c r="G211" s="55"/>
      <x:c r="H211" s="56"/>
      <x:c r="I211" s="56"/>
      <x:c r="J211" s="56"/>
      <x:c r="K211" s="55"/>
      <x:c r="L211" s="55"/>
      <x:c r="M211" s="56"/>
      <x:c r="N211" s="56"/>
      <x:c r="O211" s="56"/>
      <x:c r="P211" s="55"/>
      <x:c r="Q211" s="55"/>
      <x:c r="R211" s="55"/>
      <x:c r="S211" s="55"/>
      <x:c r="T211" s="55"/>
      <x:c r="U211" s="56"/>
      <x:c r="V211" s="55"/>
      <x:c r="X211" t="n">
        <x:f>IF(OR(A211="",D211=""),0,IF(COUNTIFS($A$17:A211,A211,$D$17:D211,D211)=1,1,0))</x:f>
        <x:v>0</x:v>
      </x:c>
      <x:c r="Y211" t="n">
        <x:f>IF(X211=0,0,IF(OR(ISNUMBER(J211),K211="Submitted",K211="Under review",K211="Comments received",K211="Resubmitted",K211="Approved"),1,0))</x:f>
        <x:v>0</x:v>
      </x:c>
      <x:c r="Z211" t="n">
        <x:f>IF(X211=0,0,IF(K211="Approved",1,0))</x:f>
        <x:v>0</x:v>
      </x:c>
      <x:c r="AA211" t="n">
        <x:f>IF(X211=0,0,1-Y211)</x:f>
        <x:v>0</x:v>
      </x:c>
    </x:row>
    <x:row r="212" ht="28" customHeight="1">
      <x:c r="A212" s="55"/>
      <x:c r="B212" s="55"/>
      <x:c r="C212" s="60"/>
      <x:c r="D212" s="55"/>
      <x:c r="E212" s="55"/>
      <x:c r="F212" s="55"/>
      <x:c r="G212" s="55"/>
      <x:c r="H212" s="56"/>
      <x:c r="I212" s="56"/>
      <x:c r="J212" s="56"/>
      <x:c r="K212" s="55"/>
      <x:c r="L212" s="55"/>
      <x:c r="M212" s="56"/>
      <x:c r="N212" s="56"/>
      <x:c r="O212" s="56"/>
      <x:c r="P212" s="55"/>
      <x:c r="Q212" s="55"/>
      <x:c r="R212" s="55"/>
      <x:c r="S212" s="55"/>
      <x:c r="T212" s="55"/>
      <x:c r="U212" s="56"/>
      <x:c r="V212" s="55"/>
      <x:c r="X212" t="n">
        <x:f>IF(OR(A212="",D212=""),0,IF(COUNTIFS($A$17:A212,A212,$D$17:D212,D212)=1,1,0))</x:f>
        <x:v>0</x:v>
      </x:c>
      <x:c r="Y212" t="n">
        <x:f>IF(X212=0,0,IF(OR(ISNUMBER(J212),K212="Submitted",K212="Under review",K212="Comments received",K212="Resubmitted",K212="Approved"),1,0))</x:f>
        <x:v>0</x:v>
      </x:c>
      <x:c r="Z212" t="n">
        <x:f>IF(X212=0,0,IF(K212="Approved",1,0))</x:f>
        <x:v>0</x:v>
      </x:c>
      <x:c r="AA212" t="n">
        <x:f>IF(X212=0,0,1-Y212)</x:f>
        <x:v>0</x:v>
      </x:c>
    </x:row>
    <x:row r="213" ht="28" customHeight="1">
      <x:c r="A213" s="55"/>
      <x:c r="B213" s="55"/>
      <x:c r="C213" s="60"/>
      <x:c r="D213" s="55"/>
      <x:c r="E213" s="55"/>
      <x:c r="F213" s="55"/>
      <x:c r="G213" s="55"/>
      <x:c r="H213" s="56"/>
      <x:c r="I213" s="56"/>
      <x:c r="J213" s="56"/>
      <x:c r="K213" s="55"/>
      <x:c r="L213" s="55"/>
      <x:c r="M213" s="56"/>
      <x:c r="N213" s="56"/>
      <x:c r="O213" s="56"/>
      <x:c r="P213" s="55"/>
      <x:c r="Q213" s="55"/>
      <x:c r="R213" s="55"/>
      <x:c r="S213" s="55"/>
      <x:c r="T213" s="55"/>
      <x:c r="U213" s="56"/>
      <x:c r="V213" s="55"/>
      <x:c r="X213" t="n">
        <x:f>IF(OR(A213="",D213=""),0,IF(COUNTIFS($A$17:A213,A213,$D$17:D213,D213)=1,1,0))</x:f>
        <x:v>0</x:v>
      </x:c>
      <x:c r="Y213" t="n">
        <x:f>IF(X213=0,0,IF(OR(ISNUMBER(J213),K213="Submitted",K213="Under review",K213="Comments received",K213="Resubmitted",K213="Approved"),1,0))</x:f>
        <x:v>0</x:v>
      </x:c>
      <x:c r="Z213" t="n">
        <x:f>IF(X213=0,0,IF(K213="Approved",1,0))</x:f>
        <x:v>0</x:v>
      </x:c>
      <x:c r="AA213" t="n">
        <x:f>IF(X213=0,0,1-Y213)</x:f>
        <x:v>0</x:v>
      </x:c>
    </x:row>
    <x:row r="214" ht="28" customHeight="1">
      <x:c r="A214" s="55"/>
      <x:c r="B214" s="55"/>
      <x:c r="C214" s="60"/>
      <x:c r="D214" s="55"/>
      <x:c r="E214" s="55"/>
      <x:c r="F214" s="55"/>
      <x:c r="G214" s="55"/>
      <x:c r="H214" s="56"/>
      <x:c r="I214" s="56"/>
      <x:c r="J214" s="56"/>
      <x:c r="K214" s="55"/>
      <x:c r="L214" s="55"/>
      <x:c r="M214" s="56"/>
      <x:c r="N214" s="56"/>
      <x:c r="O214" s="56"/>
      <x:c r="P214" s="55"/>
      <x:c r="Q214" s="55"/>
      <x:c r="R214" s="55"/>
      <x:c r="S214" s="55"/>
      <x:c r="T214" s="55"/>
      <x:c r="U214" s="56"/>
      <x:c r="V214" s="55"/>
      <x:c r="X214" t="n">
        <x:f>IF(OR(A214="",D214=""),0,IF(COUNTIFS($A$17:A214,A214,$D$17:D214,D214)=1,1,0))</x:f>
        <x:v>0</x:v>
      </x:c>
      <x:c r="Y214" t="n">
        <x:f>IF(X214=0,0,IF(OR(ISNUMBER(J214),K214="Submitted",K214="Under review",K214="Comments received",K214="Resubmitted",K214="Approved"),1,0))</x:f>
        <x:v>0</x:v>
      </x:c>
      <x:c r="Z214" t="n">
        <x:f>IF(X214=0,0,IF(K214="Approved",1,0))</x:f>
        <x:v>0</x:v>
      </x:c>
      <x:c r="AA214" t="n">
        <x:f>IF(X214=0,0,1-Y214)</x:f>
        <x:v>0</x:v>
      </x:c>
    </x:row>
    <x:row r="215" ht="28" customHeight="1">
      <x:c r="A215" s="55"/>
      <x:c r="B215" s="55"/>
      <x:c r="C215" s="60"/>
      <x:c r="D215" s="55"/>
      <x:c r="E215" s="55"/>
      <x:c r="F215" s="55"/>
      <x:c r="G215" s="55"/>
      <x:c r="H215" s="56"/>
      <x:c r="I215" s="56"/>
      <x:c r="J215" s="56"/>
      <x:c r="K215" s="55"/>
      <x:c r="L215" s="55"/>
      <x:c r="M215" s="56"/>
      <x:c r="N215" s="56"/>
      <x:c r="O215" s="56"/>
      <x:c r="P215" s="55"/>
      <x:c r="Q215" s="55"/>
      <x:c r="R215" s="55"/>
      <x:c r="S215" s="55"/>
      <x:c r="T215" s="55"/>
      <x:c r="U215" s="56"/>
      <x:c r="V215" s="55"/>
      <x:c r="X215" t="n">
        <x:f>IF(OR(A215="",D215=""),0,IF(COUNTIFS($A$17:A215,A215,$D$17:D215,D215)=1,1,0))</x:f>
        <x:v>0</x:v>
      </x:c>
      <x:c r="Y215" t="n">
        <x:f>IF(X215=0,0,IF(OR(ISNUMBER(J215),K215="Submitted",K215="Under review",K215="Comments received",K215="Resubmitted",K215="Approved"),1,0))</x:f>
        <x:v>0</x:v>
      </x:c>
      <x:c r="Z215" t="n">
        <x:f>IF(X215=0,0,IF(K215="Approved",1,0))</x:f>
        <x:v>0</x:v>
      </x:c>
      <x:c r="AA215" t="n">
        <x:f>IF(X215=0,0,1-Y215)</x:f>
        <x:v>0</x:v>
      </x:c>
    </x:row>
    <x:row r="216" ht="28" customHeight="1">
      <x:c r="A216" s="55"/>
      <x:c r="B216" s="55"/>
      <x:c r="C216" s="60"/>
      <x:c r="D216" s="55"/>
      <x:c r="E216" s="55"/>
      <x:c r="F216" s="55"/>
      <x:c r="G216" s="55"/>
      <x:c r="H216" s="56"/>
      <x:c r="I216" s="56"/>
      <x:c r="J216" s="56"/>
      <x:c r="K216" s="55"/>
      <x:c r="L216" s="55"/>
      <x:c r="M216" s="56"/>
      <x:c r="N216" s="56"/>
      <x:c r="O216" s="56"/>
      <x:c r="P216" s="55"/>
      <x:c r="Q216" s="55"/>
      <x:c r="R216" s="55"/>
      <x:c r="S216" s="55"/>
      <x:c r="T216" s="55"/>
      <x:c r="U216" s="56"/>
      <x:c r="V216" s="55"/>
      <x:c r="X216" t="n">
        <x:f>IF(OR(A216="",D216=""),0,IF(COUNTIFS($A$17:A216,A216,$D$17:D216,D216)=1,1,0))</x:f>
        <x:v>0</x:v>
      </x:c>
      <x:c r="Y216" t="n">
        <x:f>IF(X216=0,0,IF(OR(ISNUMBER(J216),K216="Submitted",K216="Under review",K216="Comments received",K216="Resubmitted",K216="Approved"),1,0))</x:f>
        <x:v>0</x:v>
      </x:c>
      <x:c r="Z216" t="n">
        <x:f>IF(X216=0,0,IF(K216="Approved",1,0))</x:f>
        <x:v>0</x:v>
      </x:c>
      <x:c r="AA216" t="n">
        <x:f>IF(X216=0,0,1-Y216)</x:f>
        <x:v>0</x:v>
      </x:c>
    </x:row>
  </x:sheetData>
  <x:conditionalFormatting sqref="D17:D216">
    <x:cfRule type="expression" dxfId="33" priority="1">
      <x:formula>AND(D17&lt;&gt;"",COUNTIFS($A$17:$A$216,$A17,$D$17:$D$216,D17)&gt;1)</x:formula>
    </x:cfRule>
  </x:conditionalFormatting>
  <x:dataValidations count="5">
    <x:dataValidation type="list" sqref="B4">
      <x:formula1>INDIRECT("'Project Status &amp; EVM'!$A$17:$A$216")</x:formula1>
    </x:dataValidation>
    <x:dataValidation type="list" sqref="K17:K216">
      <x:formula1>"Not started,Under preparation,Submitted,Under review,Comments received,Resubmitted,Approved,On hold,Not applicable"</x:formula1>
    </x:dataValidation>
    <x:dataValidation type="list" sqref="L17:L216">
      <x:formula1>"Not started,Under preparation,Submitted,Under review,Comments received,Resubmitted,Approved,On hold,Not applicable"</x:formula1>
    </x:dataValidation>
    <x:dataValidation type="list" sqref="A17:A216">
      <x:formula1>INDIRECT("'Project Status &amp; EVM'!$A$17:$A$216")</x:formula1>
    </x:dataValidation>
    <x:dataValidation type="list" sqref="T17:T216">
      <x:formula1>INDIRECT("'MD Decisions'!$C$17:$C$216")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f049ac551f4d65"/>
  </x:tableParts>
</x:worksheet>
</file>

<file path=xl/worksheets/sheet7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22" hidden="0" customWidth="1"/>
    <x:col min="5" max="5" width="46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7" hidden="0" customWidth="1"/>
    <x:col min="14" max="14" width="17" hidden="0" customWidth="1"/>
    <x:col min="15" max="15" width="17" hidden="0" customWidth="1"/>
    <x:col min="16" max="16" width="25" hidden="0" customWidth="1"/>
    <x:col min="17" max="17" width="25" hidden="0" customWidth="1"/>
    <x:col min="18" max="18" width="17" hidden="0" customWidth="1"/>
    <x:col min="19" max="19" width="17" hidden="0" customWidth="1"/>
    <x:col min="20" max="20" width="17" hidden="0" customWidth="1"/>
    <x:col min="21" max="21" width="46" hidden="0" customWidth="1"/>
    <x:col min="22" max="22" width="22" hidden="0" customWidth="1"/>
    <x:col min="23" max="23" width="46" hidden="0" customWidth="1"/>
    <x:col min="24" max="24" width="25" hidden="0" customWidth="1"/>
    <x:col min="25" max="25" width="22" hidden="0" customWidth="1"/>
    <x:col min="26" max="26" width="17" hidden="0" customWidth="1"/>
    <x:col min="27" max="27" width="46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30" customHeight="1">
      <x:c r="A2" s="4" t="str">
        <x:v>7. Procurement Status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Procurement plan</x:v>
      </x:c>
      <x:c r="E4" s="32" t="n">
        <x:f>IF($B$4="","",IF(COUNTIFS('Project Status &amp; EVM'!$A$17:$A$216,$B$4)=0,"",IF(COUNTIFS('Project Status &amp; EVM'!$A$17:$A$216,$B$4)&gt;1,"Duplicate project",IF(COUNT(INDEX('Project Status &amp; EVM'!$K$17:$K$216,MATCH($B$4,'Project Status &amp; EVM'!$A$17:$A$216,0)))=0,"",INDEX('Project Status &amp; EVM'!$K$17:$K$216,MATCH($B$4,'Project Status &amp; EVM'!$A$17:$A$216,0))))))</x:f>
        <x:v>0.75</x:v>
      </x:c>
      <x:c r="F4" s="2"/>
      <x:c r="G4" s="3" t="str">
        <x:v>Total packages</x:v>
      </x:c>
      <x:c r="H4" s="31" t="n">
        <x:f>IF(COUNTIFS($A$17:$A$216,$B$4,$D$17:$D$216,"&lt;&gt;")=0,"",SUMIFS($AC$17:$AC$216,$A$17:$A$216,$B$4))</x:f>
        <x:v>5</x:v>
      </x:c>
      <x:c r="I4" s="2"/>
      <x:c r="J4" s="3" t="str">
        <x:v>Yet to order</x:v>
      </x:c>
      <x:c r="K4" s="31" t="n">
        <x:f>IF(COUNTIFS($A$17:$A$216,$B$4,$D$17:$D$216,"&lt;&gt;")=0,"",SUMIFS($AF$17:$AF$216,$A$17:$A$216,$B$4))</x:f>
        <x:v>1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4" customHeight="1">
      <x:c r="A5" s="3" t="str">
        <x:v>Review date</x:v>
      </x:c>
      <x:c r="B5" s="8" t="n">
        <x:v>46285</x:v>
      </x:c>
      <x:c r="C5" s="2"/>
      <x:c r="D5" s="3" t="str">
        <x:v>Procurement actual</x:v>
      </x:c>
      <x:c r="E5" s="32" t="n">
        <x:f>IF($B$4="","",IF(COUNTIFS('Project Status &amp; EVM'!$A$17:$A$216,$B$4)=0,"",IF(COUNTIFS('Project Status &amp; EVM'!$A$17:$A$216,$B$4)&gt;1,"Duplicate project",IF(COUNT(INDEX('Project Status &amp; EVM'!$L$17:$L$216,MATCH($B$4,'Project Status &amp; EVM'!$A$17:$A$216,0)))=0,"",INDEX('Project Status &amp; EVM'!$L$17:$L$216,MATCH($B$4,'Project Status &amp; EVM'!$A$17:$A$216,0))))))</x:f>
        <x:v>0.65</x:v>
      </x:c>
      <x:c r="F5" s="2"/>
      <x:c r="G5" s="3" t="str">
        <x:v>Ordered</x:v>
      </x:c>
      <x:c r="H5" s="31" t="n">
        <x:f>IF(COUNTIFS($A$17:$A$216,$B$4,$D$17:$D$216,"&lt;&gt;")=0,"",SUMIFS($AD$17:$AD$216,$A$17:$A$216,$B$4))</x:f>
        <x:v>4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4" customHeight="1">
      <x:c r="A6" s="2"/>
      <x:c r="B6" s="2"/>
      <x:c r="C6" s="2"/>
      <x:c r="D6" s="3" t="str">
        <x:v>Progress as of</x:v>
      </x:c>
      <x:c r="E6" s="33" t="n">
        <x:f>IF($B$4="","",IF(COUNTIFS('Project Status &amp; EVM'!$A$17:$A$216,$B$4)=0,"",IF(COUNTIFS('Project Status &amp; EVM'!$A$17:$A$216,$B$4)&gt;1,"Duplicate project",IF(COUNT(INDEX('Project Status &amp; EVM'!$E$17:$E$216,MATCH($B$4,'Project Status &amp; EVM'!$A$17:$A$216,0)))=0,"",INDEX('Project Status &amp; EVM'!$E$17:$E$216,MATCH($B$4,'Project Status &amp; EVM'!$A$17:$A$216,0))))))</x:f>
        <x:v>46285</x:v>
      </x:c>
      <x:c r="F6" s="2"/>
      <x:c r="G6" s="3" t="str">
        <x:v>Fully delivered</x:v>
      </x:c>
      <x:c r="H6" s="31" t="n">
        <x:f>IF(COUNTIFS($A$17:$A$216,$B$4,$D$17:$D$216,"&lt;&gt;")=0,"",SUMIFS($AE$17:$AE$216,$A$17:$A$216,$B$4))</x:f>
        <x:v>1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24" customHeight="1">
      <x:c r="A11" s="3" t="str">
        <x:v>Counts cover entered unique references only. Use one current row per reference, updating revisions in that row. Red IDs are duplicates.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24" customHeight="1">
      <x:c r="A12" s="3" t="str">
        <x:v>Ordered includes later stages such as Partly received. Fully delivered is a subset of Ordered; counts must not be added together.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54" customHeight="1">
      <x:c r="A16" s="13" t="str">
        <x:v>Project code</x:v>
      </x:c>
      <x:c r="B16" s="13" t="str">
        <x:v>Site / location</x:v>
      </x:c>
      <x:c r="C16" s="13" t="str">
        <x:v>Plan Month</x:v>
      </x:c>
      <x:c r="D16" s="13" t="str">
        <x:v>Procurement package / item ID</x:v>
      </x:c>
      <x:c r="E16" s="13" t="str">
        <x:v>Item / package description</x:v>
      </x:c>
      <x:c r="F16" s="13" t="str">
        <x:v>Linked front / activity ID</x:v>
      </x:c>
      <x:c r="G16" s="13" t="str">
        <x:v>Vendor / supplier</x:v>
      </x:c>
      <x:c r="H16" s="13" t="str">
        <x:v>Unit</x:v>
      </x:c>
      <x:c r="I16" s="13" t="str">
        <x:v>Total required quantity</x:v>
      </x:c>
      <x:c r="J16" s="13" t="str">
        <x:v>Ordered quantity</x:v>
      </x:c>
      <x:c r="K16" s="13" t="str">
        <x:v>Quantity received at site</x:v>
      </x:c>
      <x:c r="L16" s="13" t="str">
        <x:v>Balance quantity to receive</x:v>
      </x:c>
      <x:c r="M16" s="13" t="str">
        <x:v>Required-at-site date</x:v>
      </x:c>
      <x:c r="N16" s="13" t="str">
        <x:v>Planned PO date</x:v>
      </x:c>
      <x:c r="O16" s="13" t="str">
        <x:v>Actual PO date</x:v>
      </x:c>
      <x:c r="P16" s="13" t="str">
        <x:v>Present Status</x:v>
      </x:c>
      <x:c r="Q16" s="13" t="str">
        <x:v>Next Status</x:v>
      </x:c>
      <x:c r="R16" s="13" t="str">
        <x:v>Next Status Target Date</x:v>
      </x:c>
      <x:c r="S16" s="13" t="str">
        <x:v>Committed delivery date</x:v>
      </x:c>
      <x:c r="T16" s="13" t="str">
        <x:v>Actual final delivery date</x:v>
      </x:c>
      <x:c r="U16" s="13" t="str">
        <x:v>Reason pending / blocker</x:v>
      </x:c>
      <x:c r="V16" s="13" t="str">
        <x:v>Work affected if delayed</x:v>
      </x:c>
      <x:c r="W16" s="13" t="str">
        <x:v>Action / MD support required</x:v>
      </x:c>
      <x:c r="X16" s="13" t="str">
        <x:v>Responsible owner</x:v>
      </x:c>
      <x:c r="Y16" s="13" t="str">
        <x:v>Linked Decision ID</x:v>
      </x:c>
      <x:c r="Z16" s="13" t="str">
        <x:v>Last updated</x:v>
      </x:c>
      <x:c r="AA16" s="13" t="str">
        <x:v>Source / entry notes</x:v>
      </x:c>
      <x:c r="AC16" s="50" t="str">
        <x:v>Unique reference (calc)</x:v>
      </x:c>
      <x:c r="AD16" s="50" t="str">
        <x:v>Ordered (calc)</x:v>
      </x:c>
      <x:c r="AE16" s="50" t="str">
        <x:v>Fully delivered (calc)</x:v>
      </x:c>
      <x:c r="AF16" s="50" t="str">
        <x:v>Yet to order (calc)</x:v>
      </x:c>
    </x:row>
    <x:row r="17" ht="102" customHeight="1">
      <x:c r="A17" s="55" t="str">
        <x:v>S25WRJ01</x:v>
      </x:c>
      <x:c r="B17" s="55" t="str">
        <x:v>P1-SITE-1</x:v>
      </x:c>
      <x:c r="C17" s="60" t="n">
        <x:v>46266</x:v>
      </x:c>
      <x:c r="D17" s="55" t="str">
        <x:v>S25WRJ01-PKG-001</x:v>
      </x:c>
      <x:c r="E17" s="55" t="str">
        <x:v>Reinforcement lot</x:v>
      </x:c>
      <x:c r="F17" s="55" t="str">
        <x:v>S25WRJ01-ACT-01</x:v>
      </x:c>
      <x:c r="G17" s="55" t="str">
        <x:v>Fictional Equipment Supplier P1-1</x:v>
      </x:c>
      <x:c r="H17" s="55" t="str">
        <x:v>tonnes</x:v>
      </x:c>
      <x:c r="I17" s="63" t="n">
        <x:v>100</x:v>
      </x:c>
      <x:c r="J17" s="63" t="n">
        <x:v>0</x:v>
      </x:c>
      <x:c r="K17" s="55" t="n">
        <x:v>0</x:v>
      </x:c>
      <x:c r="L17" s="65" t="n">
        <x:f>IF(COUNT(I17,K17)&lt;2,"",I17-K17)</x:f>
        <x:v>100</x:v>
      </x:c>
      <x:c r="M17" s="56" t="n">
        <x:v>46295</x:v>
      </x:c>
      <x:c r="N17" s="56" t="n">
        <x:v>46287</x:v>
      </x:c>
      <x:c r="O17" s="56" t="str">
        <x:v>Not yet occurred</x:v>
      </x:c>
      <x:c r="P17" s="55" t="str">
        <x:v>Requirement finalised</x:v>
      </x:c>
      <x:c r="Q17" s="55" t="str">
        <x:v>Enquiry issued</x:v>
      </x:c>
      <x:c r="R17" s="56" t="n">
        <x:v>46287</x:v>
      </x:c>
      <x:c r="S17" s="56" t="n">
        <x:v>46295</x:v>
      </x:c>
      <x:c r="T17" s="56" t="str">
        <x:v>Not yet occurred</x:v>
      </x:c>
      <x:c r="U17" s="55" t="str">
        <x:v>Enquiry release pending.</x:v>
      </x:c>
      <x:c r="V17" s="55" t="str">
        <x:v>Clear water reservoir execution</x:v>
      </x:c>
      <x:c r="W17" s="55" t="str">
        <x:v>Confirm vendor schedule and expedite the next stage.</x:v>
      </x:c>
      <x:c r="X17" s="55" t="str">
        <x:v>Demo Procurement Lead P1</x:v>
      </x:c>
      <x:c r="Y17" s="55" t="str">
        <x:v>S25WRJ01-DEC-01</x:v>
      </x:c>
      <x:c r="Z17" s="56" t="n">
        <x:v>46285</x:v>
      </x:c>
      <x:c r="AA17" s="55" t="str">
        <x:v>FICTIONAL TEST DATA. All people, quantities, money, dates and statuses are invented; not project records.</x:v>
      </x:c>
      <x:c r="AC17" t="n">
        <x:f>IF(OR(A17="",D17=""),0,IF(COUNTIFS($A$17:A17,A17,$D$17:D17,D17)=1,1,0))</x:f>
        <x:v>1</x:v>
      </x:c>
      <x:c r="AD17" t="n">
        <x:f>IF(AC17=0,0,IF(OR(ISNUMBER(O17),P17="PO issued",P17="Under manufacturing",P17="Inspection pending",P17="Ready for dispatch",P17="Dispatched",P17="Partly received",P17="Fully received"),1,0))</x:f>
        <x:v>0</x:v>
      </x:c>
      <x:c r="AE17" t="n">
        <x:f>IF(AC17=0,0,IF(P17="Fully received",1,0))</x:f>
        <x:v>0</x:v>
      </x:c>
      <x:c r="AF17" t="n">
        <x:f>IF(AC17=0,0,1-AD17)</x:f>
        <x:v>1</x:v>
      </x:c>
    </x:row>
    <x:row r="18" ht="102" customHeight="1">
      <x:c r="A18" s="55" t="str">
        <x:v>S25WRJ01</x:v>
      </x:c>
      <x:c r="B18" s="55" t="str">
        <x:v>P1-SITE-2</x:v>
      </x:c>
      <x:c r="C18" s="60" t="n">
        <x:v>46266</x:v>
      </x:c>
      <x:c r="D18" s="55" t="str">
        <x:v>S25WRJ01-PKG-002</x:v>
      </x:c>
      <x:c r="E18" s="55" t="str">
        <x:v>Pipe fittings lot</x:v>
      </x:c>
      <x:c r="F18" s="55" t="str">
        <x:v>S25WRJ01-ACT-02</x:v>
      </x:c>
      <x:c r="G18" s="55" t="str">
        <x:v>Fictional Equipment Supplier P1-2</x:v>
      </x:c>
      <x:c r="H18" s="55" t="str">
        <x:v>numbers</x:v>
      </x:c>
      <x:c r="I18" s="63" t="n">
        <x:v>120</x:v>
      </x:c>
      <x:c r="J18" s="63" t="n">
        <x:v>120</x:v>
      </x:c>
      <x:c r="K18" s="55" t="n">
        <x:v>0</x:v>
      </x:c>
      <x:c r="L18" s="65" t="n">
        <x:f>IF(COUNT(I18,K18)&lt;2,"",I18-K18)</x:f>
        <x:v>120</x:v>
      </x:c>
      <x:c r="M18" s="56" t="n">
        <x:v>46293</x:v>
      </x:c>
      <x:c r="N18" s="56" t="n">
        <x:v>46273</x:v>
      </x:c>
      <x:c r="O18" s="56" t="n">
        <x:v>46274</x:v>
      </x:c>
      <x:c r="P18" s="55" t="str">
        <x:v>PO issued</x:v>
      </x:c>
      <x:c r="Q18" s="55" t="str">
        <x:v>Under manufacturing</x:v>
      </x:c>
      <x:c r="R18" s="56" t="n">
        <x:v>46288</x:v>
      </x:c>
      <x:c r="S18" s="56" t="n">
        <x:v>46293</x:v>
      </x:c>
      <x:c r="T18" s="56" t="str">
        <x:v>Not yet occurred</x:v>
      </x:c>
      <x:c r="U18" s="55" t="str">
        <x:v>Vendor manufacturing and inspection sequence.</x:v>
      </x:c>
      <x:c r="V18" s="55" t="str">
        <x:v>Pipe corridor execution</x:v>
      </x:c>
      <x:c r="W18" s="55" t="str">
        <x:v>Confirm vendor schedule and expedite the next stage.</x:v>
      </x:c>
      <x:c r="X18" s="55" t="str">
        <x:v>Demo Procurement Lead P1</x:v>
      </x:c>
      <x:c r="Y18" s="55" t="str">
        <x:v>S25WRJ01-DEC-02</x:v>
      </x:c>
      <x:c r="Z18" s="56" t="n">
        <x:v>46285</x:v>
      </x:c>
      <x:c r="AA18" s="55" t="str">
        <x:v>FICTIONAL TEST DATA. All people, quantities, money, dates and statuses are invented; not project records.</x:v>
      </x:c>
      <x:c r="AC18" t="n">
        <x:f>IF(OR(A18="",D18=""),0,IF(COUNTIFS($A$17:A18,A18,$D$17:D18,D18)=1,1,0))</x:f>
        <x:v>1</x:v>
      </x:c>
      <x:c r="AD18" t="n">
        <x:f>IF(AC18=0,0,IF(OR(ISNUMBER(O18),P18="PO issued",P18="Under manufacturing",P18="Inspection pending",P18="Ready for dispatch",P18="Dispatched",P18="Partly received",P18="Fully received"),1,0))</x:f>
        <x:v>1</x:v>
      </x:c>
      <x:c r="AE18" t="n">
        <x:f>IF(AC18=0,0,IF(P18="Fully received",1,0))</x:f>
        <x:v>0</x:v>
      </x:c>
      <x:c r="AF18" t="n">
        <x:f>IF(AC18=0,0,1-AD18)</x:f>
        <x:v>0</x:v>
      </x:c>
    </x:row>
    <x:row r="19" ht="102" customHeight="1">
      <x:c r="A19" s="55" t="str">
        <x:v>S25WRJ01</x:v>
      </x:c>
      <x:c r="B19" s="55" t="str">
        <x:v>P1-SITE-1</x:v>
      </x:c>
      <x:c r="C19" s="60" t="n">
        <x:v>46266</x:v>
      </x:c>
      <x:c r="D19" s="55" t="str">
        <x:v>S25WRJ01-PKG-003</x:v>
      </x:c>
      <x:c r="E19" s="55" t="str">
        <x:v>Electrical panels lot</x:v>
      </x:c>
      <x:c r="F19" s="55" t="str">
        <x:v>S25WRJ01-ACT-03</x:v>
      </x:c>
      <x:c r="G19" s="55" t="str">
        <x:v>Fictional Equipment Supplier P1-3</x:v>
      </x:c>
      <x:c r="H19" s="55" t="str">
        <x:v>numbers</x:v>
      </x:c>
      <x:c r="I19" s="63" t="n">
        <x:v>140</x:v>
      </x:c>
      <x:c r="J19" s="63" t="n">
        <x:v>140</x:v>
      </x:c>
      <x:c r="K19" s="55" t="n">
        <x:v>0</x:v>
      </x:c>
      <x:c r="L19" s="65" t="n">
        <x:f>IF(COUNT(I19,K19)&lt;2,"",I19-K19)</x:f>
        <x:v>140</x:v>
      </x:c>
      <x:c r="M19" s="56" t="n">
        <x:v>46294</x:v>
      </x:c>
      <x:c r="N19" s="56" t="n">
        <x:v>46272</x:v>
      </x:c>
      <x:c r="O19" s="56" t="n">
        <x:v>46272</x:v>
      </x:c>
      <x:c r="P19" s="55" t="str">
        <x:v>Under manufacturing</x:v>
      </x:c>
      <x:c r="Q19" s="55" t="str">
        <x:v>Inspection pending</x:v>
      </x:c>
      <x:c r="R19" s="56" t="n">
        <x:v>46289</x:v>
      </x:c>
      <x:c r="S19" s="56" t="n">
        <x:v>46294</x:v>
      </x:c>
      <x:c r="T19" s="56" t="str">
        <x:v>Not yet occurred</x:v>
      </x:c>
      <x:c r="U19" s="55" t="str">
        <x:v>Vendor manufacturing and inspection sequence.</x:v>
      </x:c>
      <x:c r="V19" s="55" t="str">
        <x:v>Pump house execution</x:v>
      </x:c>
      <x:c r="W19" s="55" t="str">
        <x:v>Confirm vendor schedule and expedite the next stage.</x:v>
      </x:c>
      <x:c r="X19" s="55" t="str">
        <x:v>Demo Procurement Lead P1</x:v>
      </x:c>
      <x:c r="Y19" s="55" t="str">
        <x:v>S25WRJ01-DEC-03</x:v>
      </x:c>
      <x:c r="Z19" s="56" t="n">
        <x:v>46285</x:v>
      </x:c>
      <x:c r="AA19" s="55" t="str">
        <x:v>FICTIONAL TEST DATA. All people, quantities, money, dates and statuses are invented; not project records.</x:v>
      </x:c>
      <x:c r="AC19" t="n">
        <x:f>IF(OR(A19="",D19=""),0,IF(COUNTIFS($A$17:A19,A19,$D$17:D19,D19)=1,1,0))</x:f>
        <x:v>1</x:v>
      </x:c>
      <x:c r="AD19" t="n">
        <x:f>IF(AC19=0,0,IF(OR(ISNUMBER(O19),P19="PO issued",P19="Under manufacturing",P19="Inspection pending",P19="Ready for dispatch",P19="Dispatched",P19="Partly received",P19="Fully received"),1,0))</x:f>
        <x:v>1</x:v>
      </x:c>
      <x:c r="AE19" t="n">
        <x:f>IF(AC19=0,0,IF(P19="Fully received",1,0))</x:f>
        <x:v>0</x:v>
      </x:c>
      <x:c r="AF19" t="n">
        <x:f>IF(AC19=0,0,1-AD19)</x:f>
        <x:v>0</x:v>
      </x:c>
    </x:row>
    <x:row r="20" ht="102" customHeight="1">
      <x:c r="A20" s="55" t="str">
        <x:v>S25WRJ01</x:v>
      </x:c>
      <x:c r="B20" s="55" t="str">
        <x:v>P1-SITE-2</x:v>
      </x:c>
      <x:c r="C20" s="60" t="n">
        <x:v>46266</x:v>
      </x:c>
      <x:c r="D20" s="55" t="str">
        <x:v>S25WRJ01-PKG-004</x:v>
      </x:c>
      <x:c r="E20" s="55" t="str">
        <x:v>Valve assembly lot</x:v>
      </x:c>
      <x:c r="F20" s="55" t="str">
        <x:v>S25WRJ01-ACT-04</x:v>
      </x:c>
      <x:c r="G20" s="55" t="str">
        <x:v>Fictional Equipment Supplier P1-4</x:v>
      </x:c>
      <x:c r="H20" s="55" t="str">
        <x:v>numbers</x:v>
      </x:c>
      <x:c r="I20" s="63" t="n">
        <x:v>160</x:v>
      </x:c>
      <x:c r="J20" s="63" t="n">
        <x:v>160</x:v>
      </x:c>
      <x:c r="K20" s="55" t="n">
        <x:v>80</x:v>
      </x:c>
      <x:c r="L20" s="65" t="n">
        <x:f>IF(COUNT(I20,K20)&lt;2,"",I20-K20)</x:f>
        <x:v>80</x:v>
      </x:c>
      <x:c r="M20" s="56" t="n">
        <x:v>46290</x:v>
      </x:c>
      <x:c r="N20" s="56" t="n">
        <x:v>46270</x:v>
      </x:c>
      <x:c r="O20" s="56" t="n">
        <x:v>46270</x:v>
      </x:c>
      <x:c r="P20" s="55" t="str">
        <x:v>Partly received</x:v>
      </x:c>
      <x:c r="Q20" s="55" t="str">
        <x:v>Fully received</x:v>
      </x:c>
      <x:c r="R20" s="56" t="n">
        <x:v>46290</x:v>
      </x:c>
      <x:c r="S20" s="56" t="n">
        <x:v>46290</x:v>
      </x:c>
      <x:c r="T20" s="56" t="str">
        <x:v>Not yet occurred</x:v>
      </x:c>
      <x:c r="U20" s="55" t="str">
        <x:v>Balance consignment in transit.</x:v>
      </x:c>
      <x:c r="V20" s="55" t="str">
        <x:v>Treatment plant execution</x:v>
      </x:c>
      <x:c r="W20" s="55" t="str">
        <x:v>Confirm vendor schedule and expedite the next stage.</x:v>
      </x:c>
      <x:c r="X20" s="55" t="str">
        <x:v>Demo Procurement Lead P1</x:v>
      </x:c>
      <x:c r="Y20" s="55" t="str">
        <x:v>S25WRJ01-DEC-04</x:v>
      </x:c>
      <x:c r="Z20" s="56" t="n">
        <x:v>46285</x:v>
      </x:c>
      <x:c r="AA20" s="55" t="str">
        <x:v>FICTIONAL TEST DATA. All people, quantities, money, dates and statuses are invented; not project records.</x:v>
      </x:c>
      <x:c r="AC20" t="n">
        <x:f>IF(OR(A20="",D20=""),0,IF(COUNTIFS($A$17:A20,A20,$D$17:D20,D20)=1,1,0))</x:f>
        <x:v>1</x:v>
      </x:c>
      <x:c r="AD20" t="n">
        <x:f>IF(AC20=0,0,IF(OR(ISNUMBER(O20),P20="PO issued",P20="Under manufacturing",P20="Inspection pending",P20="Ready for dispatch",P20="Dispatched",P20="Partly received",P20="Fully received"),1,0))</x:f>
        <x:v>1</x:v>
      </x:c>
      <x:c r="AE20" t="n">
        <x:f>IF(AC20=0,0,IF(P20="Fully received",1,0))</x:f>
        <x:v>0</x:v>
      </x:c>
      <x:c r="AF20" t="n">
        <x:f>IF(AC20=0,0,1-AD20)</x:f>
        <x:v>0</x:v>
      </x:c>
    </x:row>
    <x:row r="21" ht="102" customHeight="1">
      <x:c r="A21" s="55" t="str">
        <x:v>S25WRJ01</x:v>
      </x:c>
      <x:c r="B21" s="55" t="str">
        <x:v>P1-SITE-1</x:v>
      </x:c>
      <x:c r="C21" s="60" t="n">
        <x:v>46266</x:v>
      </x:c>
      <x:c r="D21" s="55" t="str">
        <x:v>S25WRJ01-PKG-005</x:v>
      </x:c>
      <x:c r="E21" s="55" t="str">
        <x:v>Structural steel lot</x:v>
      </x:c>
      <x:c r="F21" s="55" t="str">
        <x:v>S25WRJ01-ACT-01</x:v>
      </x:c>
      <x:c r="G21" s="55" t="str">
        <x:v>Fictional Equipment Supplier P1-5</x:v>
      </x:c>
      <x:c r="H21" s="55" t="str">
        <x:v>tonnes</x:v>
      </x:c>
      <x:c r="I21" s="63" t="n">
        <x:v>180</x:v>
      </x:c>
      <x:c r="J21" s="63" t="n">
        <x:v>180</x:v>
      </x:c>
      <x:c r="K21" s="55" t="n">
        <x:v>180</x:v>
      </x:c>
      <x:c r="L21" s="65" t="n">
        <x:f>IF(COUNT(I21,K21)&lt;2,"",I21-K21)</x:f>
        <x:v>0</x:v>
      </x:c>
      <x:c r="M21" s="56" t="n">
        <x:v>46283</x:v>
      </x:c>
      <x:c r="N21" s="56" t="n">
        <x:v>46267</x:v>
      </x:c>
      <x:c r="O21" s="56" t="n">
        <x:v>46267</x:v>
      </x:c>
      <x:c r="P21" s="55" t="str">
        <x:v>Fully received</x:v>
      </x:c>
      <x:c r="Q21" s="55" t="str">
        <x:v>Fully received</x:v>
      </x:c>
      <x:c r="R21" s="56" t="n">
        <x:v>46282</x:v>
      </x:c>
      <x:c r="S21" s="56" t="n">
        <x:v>46282</x:v>
      </x:c>
      <x:c r="T21" s="56" t="n">
        <x:v>46282</x:v>
      </x:c>
      <x:c r="U21" s="55" t="str">
        <x:v>None; delivery complete.</x:v>
      </x:c>
      <x:c r="V21" s="55" t="str">
        <x:v>Clear water reservoir execution</x:v>
      </x:c>
      <x:c r="W21" s="55" t="str">
        <x:v>No further intervention.</x:v>
      </x:c>
      <x:c r="X21" s="55" t="str">
        <x:v>Demo Procurement Lead P1</x:v>
      </x:c>
      <x:c r="Y21" s="55" t="str">
        <x:v>S25WRJ01-DEC-01</x:v>
      </x:c>
      <x:c r="Z21" s="56" t="n">
        <x:v>46285</x:v>
      </x:c>
      <x:c r="AA21" s="55" t="str">
        <x:v>FICTIONAL TEST DATA. All people, quantities, money, dates and statuses are invented; not project records.</x:v>
      </x:c>
      <x:c r="AC21" t="n">
        <x:f>IF(OR(A21="",D21=""),0,IF(COUNTIFS($A$17:A21,A21,$D$17:D21,D21)=1,1,0))</x:f>
        <x:v>1</x:v>
      </x:c>
      <x:c r="AD21" t="n">
        <x:f>IF(AC21=0,0,IF(OR(ISNUMBER(O21),P21="PO issued",P21="Under manufacturing",P21="Inspection pending",P21="Ready for dispatch",P21="Dispatched",P21="Partly received",P21="Fully received"),1,0))</x:f>
        <x:v>1</x:v>
      </x:c>
      <x:c r="AE21" t="n">
        <x:f>IF(AC21=0,0,IF(P21="Fully received",1,0))</x:f>
        <x:v>1</x:v>
      </x:c>
      <x:c r="AF21" t="n">
        <x:f>IF(AC21=0,0,1-AD21)</x:f>
        <x:v>0</x:v>
      </x:c>
    </x:row>
    <x:row r="22" ht="102" customHeight="1">
      <x:c r="A22" s="55" t="str">
        <x:v>S25WJH01</x:v>
      </x:c>
      <x:c r="B22" s="55" t="str">
        <x:v>P2-SITE-1</x:v>
      </x:c>
      <x:c r="C22" s="60" t="n">
        <x:v>46266</x:v>
      </x:c>
      <x:c r="D22" s="55" t="str">
        <x:v>S25WJH01-PKG-001</x:v>
      </x:c>
      <x:c r="E22" s="55" t="str">
        <x:v>Reinforcement lot</x:v>
      </x:c>
      <x:c r="F22" s="55" t="str">
        <x:v>S25WJH01-ACT-01</x:v>
      </x:c>
      <x:c r="G22" s="55" t="str">
        <x:v>Fictional Equipment Supplier P2-1</x:v>
      </x:c>
      <x:c r="H22" s="55" t="str">
        <x:v>tonnes</x:v>
      </x:c>
      <x:c r="I22" s="63" t="n">
        <x:v>110</x:v>
      </x:c>
      <x:c r="J22" s="63" t="n">
        <x:v>0</x:v>
      </x:c>
      <x:c r="K22" s="55" t="n">
        <x:v>0</x:v>
      </x:c>
      <x:c r="L22" s="65" t="n">
        <x:f>IF(COUNT(I22,K22)&lt;2,"",I22-K22)</x:f>
        <x:v>110</x:v>
      </x:c>
      <x:c r="M22" s="56" t="n">
        <x:v>46295</x:v>
      </x:c>
      <x:c r="N22" s="56" t="n">
        <x:v>46287</x:v>
      </x:c>
      <x:c r="O22" s="56" t="str">
        <x:v>Not yet occurred</x:v>
      </x:c>
      <x:c r="P22" s="55" t="str">
        <x:v>Requirement finalised</x:v>
      </x:c>
      <x:c r="Q22" s="55" t="str">
        <x:v>Enquiry issued</x:v>
      </x:c>
      <x:c r="R22" s="56" t="n">
        <x:v>46287</x:v>
      </x:c>
      <x:c r="S22" s="56" t="n">
        <x:v>46295</x:v>
      </x:c>
      <x:c r="T22" s="56" t="str">
        <x:v>Not yet occurred</x:v>
      </x:c>
      <x:c r="U22" s="55" t="str">
        <x:v>Enquiry release pending.</x:v>
      </x:c>
      <x:c r="V22" s="55" t="str">
        <x:v>Canal headworks execution</x:v>
      </x:c>
      <x:c r="W22" s="55" t="str">
        <x:v>Confirm vendor schedule and expedite the next stage.</x:v>
      </x:c>
      <x:c r="X22" s="55" t="str">
        <x:v>Demo Procurement Lead P2</x:v>
      </x:c>
      <x:c r="Y22" s="55" t="str">
        <x:v>S25WJH01-DEC-01</x:v>
      </x:c>
      <x:c r="Z22" s="56" t="n">
        <x:v>46285</x:v>
      </x:c>
      <x:c r="AA22" s="55" t="str">
        <x:v>FICTIONAL TEST DATA. All people, quantities, money, dates and statuses are invented; not project records.</x:v>
      </x:c>
      <x:c r="AC22" t="n">
        <x:f>IF(OR(A22="",D22=""),0,IF(COUNTIFS($A$17:A22,A22,$D$17:D22,D22)=1,1,0))</x:f>
        <x:v>1</x:v>
      </x:c>
      <x:c r="AD22" t="n">
        <x:f>IF(AC22=0,0,IF(OR(ISNUMBER(O22),P22="PO issued",P22="Under manufacturing",P22="Inspection pending",P22="Ready for dispatch",P22="Dispatched",P22="Partly received",P22="Fully received"),1,0))</x:f>
        <x:v>0</x:v>
      </x:c>
      <x:c r="AE22" t="n">
        <x:f>IF(AC22=0,0,IF(P22="Fully received",1,0))</x:f>
        <x:v>0</x:v>
      </x:c>
      <x:c r="AF22" t="n">
        <x:f>IF(AC22=0,0,1-AD22)</x:f>
        <x:v>1</x:v>
      </x:c>
    </x:row>
    <x:row r="23" ht="102" customHeight="1">
      <x:c r="A23" s="55" t="str">
        <x:v>S25WJH01</x:v>
      </x:c>
      <x:c r="B23" s="55" t="str">
        <x:v>P2-SITE-2</x:v>
      </x:c>
      <x:c r="C23" s="60" t="n">
        <x:v>46266</x:v>
      </x:c>
      <x:c r="D23" s="55" t="str">
        <x:v>S25WJH01-PKG-002</x:v>
      </x:c>
      <x:c r="E23" s="55" t="str">
        <x:v>Pipe fittings lot</x:v>
      </x:c>
      <x:c r="F23" s="55" t="str">
        <x:v>S25WJH01-ACT-02</x:v>
      </x:c>
      <x:c r="G23" s="55" t="str">
        <x:v>Fictional Equipment Supplier P2-2</x:v>
      </x:c>
      <x:c r="H23" s="55" t="str">
        <x:v>numbers</x:v>
      </x:c>
      <x:c r="I23" s="63" t="n">
        <x:v>130</x:v>
      </x:c>
      <x:c r="J23" s="63" t="n">
        <x:v>130</x:v>
      </x:c>
      <x:c r="K23" s="55" t="n">
        <x:v>0</x:v>
      </x:c>
      <x:c r="L23" s="65" t="n">
        <x:f>IF(COUNT(I23,K23)&lt;2,"",I23-K23)</x:f>
        <x:v>130</x:v>
      </x:c>
      <x:c r="M23" s="56" t="n">
        <x:v>46293</x:v>
      </x:c>
      <x:c r="N23" s="56" t="n">
        <x:v>46273</x:v>
      </x:c>
      <x:c r="O23" s="56" t="n">
        <x:v>46274</x:v>
      </x:c>
      <x:c r="P23" s="55" t="str">
        <x:v>PO issued</x:v>
      </x:c>
      <x:c r="Q23" s="55" t="str">
        <x:v>Under manufacturing</x:v>
      </x:c>
      <x:c r="R23" s="56" t="n">
        <x:v>46288</x:v>
      </x:c>
      <x:c r="S23" s="56" t="n">
        <x:v>46293</x:v>
      </x:c>
      <x:c r="T23" s="56" t="str">
        <x:v>Not yet occurred</x:v>
      </x:c>
      <x:c r="U23" s="55" t="str">
        <x:v>Vendor manufacturing and inspection sequence.</x:v>
      </x:c>
      <x:c r="V23" s="55" t="str">
        <x:v>Canal reach execution</x:v>
      </x:c>
      <x:c r="W23" s="55" t="str">
        <x:v>Confirm vendor schedule and expedite the next stage.</x:v>
      </x:c>
      <x:c r="X23" s="55" t="str">
        <x:v>Demo Procurement Lead P2</x:v>
      </x:c>
      <x:c r="Y23" s="55" t="str">
        <x:v>S25WJH01-DEC-02</x:v>
      </x:c>
      <x:c r="Z23" s="56" t="n">
        <x:v>46285</x:v>
      </x:c>
      <x:c r="AA23" s="55" t="str">
        <x:v>FICTIONAL TEST DATA. All people, quantities, money, dates and statuses are invented; not project records.</x:v>
      </x:c>
      <x:c r="AC23" t="n">
        <x:f>IF(OR(A23="",D23=""),0,IF(COUNTIFS($A$17:A23,A23,$D$17:D23,D23)=1,1,0))</x:f>
        <x:v>1</x:v>
      </x:c>
      <x:c r="AD23" t="n">
        <x:f>IF(AC23=0,0,IF(OR(ISNUMBER(O23),P23="PO issued",P23="Under manufacturing",P23="Inspection pending",P23="Ready for dispatch",P23="Dispatched",P23="Partly received",P23="Fully received"),1,0))</x:f>
        <x:v>1</x:v>
      </x:c>
      <x:c r="AE23" t="n">
        <x:f>IF(AC23=0,0,IF(P23="Fully received",1,0))</x:f>
        <x:v>0</x:v>
      </x:c>
      <x:c r="AF23" t="n">
        <x:f>IF(AC23=0,0,1-AD23)</x:f>
        <x:v>0</x:v>
      </x:c>
    </x:row>
    <x:row r="24" ht="102" customHeight="1">
      <x:c r="A24" s="55" t="str">
        <x:v>S25WJH01</x:v>
      </x:c>
      <x:c r="B24" s="55" t="str">
        <x:v>P2-SITE-1</x:v>
      </x:c>
      <x:c r="C24" s="60" t="n">
        <x:v>46266</x:v>
      </x:c>
      <x:c r="D24" s="55" t="str">
        <x:v>S25WJH01-PKG-003</x:v>
      </x:c>
      <x:c r="E24" s="55" t="str">
        <x:v>Electrical panels lot</x:v>
      </x:c>
      <x:c r="F24" s="55" t="str">
        <x:v>S25WJH01-ACT-03</x:v>
      </x:c>
      <x:c r="G24" s="55" t="str">
        <x:v>Fictional Equipment Supplier P2-3</x:v>
      </x:c>
      <x:c r="H24" s="55" t="str">
        <x:v>numbers</x:v>
      </x:c>
      <x:c r="I24" s="63" t="n">
        <x:v>150</x:v>
      </x:c>
      <x:c r="J24" s="63" t="n">
        <x:v>150</x:v>
      </x:c>
      <x:c r="K24" s="55" t="n">
        <x:v>0</x:v>
      </x:c>
      <x:c r="L24" s="65" t="n">
        <x:f>IF(COUNT(I24,K24)&lt;2,"",I24-K24)</x:f>
        <x:v>150</x:v>
      </x:c>
      <x:c r="M24" s="56" t="n">
        <x:v>46294</x:v>
      </x:c>
      <x:c r="N24" s="56" t="n">
        <x:v>46272</x:v>
      </x:c>
      <x:c r="O24" s="56" t="n">
        <x:v>46272</x:v>
      </x:c>
      <x:c r="P24" s="55" t="str">
        <x:v>Under manufacturing</x:v>
      </x:c>
      <x:c r="Q24" s="55" t="str">
        <x:v>Inspection pending</x:v>
      </x:c>
      <x:c r="R24" s="56" t="n">
        <x:v>46289</x:v>
      </x:c>
      <x:c r="S24" s="56" t="n">
        <x:v>46294</x:v>
      </x:c>
      <x:c r="T24" s="56" t="str">
        <x:v>Not yet occurred</x:v>
      </x:c>
      <x:c r="U24" s="55" t="str">
        <x:v>Vendor manufacturing and inspection sequence.</x:v>
      </x:c>
      <x:c r="V24" s="55" t="str">
        <x:v>Cross regulator execution</x:v>
      </x:c>
      <x:c r="W24" s="55" t="str">
        <x:v>Confirm vendor schedule and expedite the next stage.</x:v>
      </x:c>
      <x:c r="X24" s="55" t="str">
        <x:v>Demo Procurement Lead P2</x:v>
      </x:c>
      <x:c r="Y24" s="55" t="str">
        <x:v>S25WJH01-DEC-03</x:v>
      </x:c>
      <x:c r="Z24" s="56" t="n">
        <x:v>46285</x:v>
      </x:c>
      <x:c r="AA24" s="55" t="str">
        <x:v>FICTIONAL TEST DATA. All people, quantities, money, dates and statuses are invented; not project records.</x:v>
      </x:c>
      <x:c r="AC24" t="n">
        <x:f>IF(OR(A24="",D24=""),0,IF(COUNTIFS($A$17:A24,A24,$D$17:D24,D24)=1,1,0))</x:f>
        <x:v>1</x:v>
      </x:c>
      <x:c r="AD24" t="n">
        <x:f>IF(AC24=0,0,IF(OR(ISNUMBER(O24),P24="PO issued",P24="Under manufacturing",P24="Inspection pending",P24="Ready for dispatch",P24="Dispatched",P24="Partly received",P24="Fully received"),1,0))</x:f>
        <x:v>1</x:v>
      </x:c>
      <x:c r="AE24" t="n">
        <x:f>IF(AC24=0,0,IF(P24="Fully received",1,0))</x:f>
        <x:v>0</x:v>
      </x:c>
      <x:c r="AF24" t="n">
        <x:f>IF(AC24=0,0,1-AD24)</x:f>
        <x:v>0</x:v>
      </x:c>
    </x:row>
    <x:row r="25" ht="102" customHeight="1">
      <x:c r="A25" s="55" t="str">
        <x:v>S25WJH01</x:v>
      </x:c>
      <x:c r="B25" s="55" t="str">
        <x:v>P2-SITE-2</x:v>
      </x:c>
      <x:c r="C25" s="60" t="n">
        <x:v>46266</x:v>
      </x:c>
      <x:c r="D25" s="55" t="str">
        <x:v>S25WJH01-PKG-004</x:v>
      </x:c>
      <x:c r="E25" s="55" t="str">
        <x:v>Valve assembly lot</x:v>
      </x:c>
      <x:c r="F25" s="55" t="str">
        <x:v>S25WJH01-ACT-04</x:v>
      </x:c>
      <x:c r="G25" s="55" t="str">
        <x:v>Fictional Equipment Supplier P2-4</x:v>
      </x:c>
      <x:c r="H25" s="55" t="str">
        <x:v>numbers</x:v>
      </x:c>
      <x:c r="I25" s="63" t="n">
        <x:v>170</x:v>
      </x:c>
      <x:c r="J25" s="63" t="n">
        <x:v>170</x:v>
      </x:c>
      <x:c r="K25" s="55" t="n">
        <x:v>85</x:v>
      </x:c>
      <x:c r="L25" s="65" t="n">
        <x:f>IF(COUNT(I25,K25)&lt;2,"",I25-K25)</x:f>
        <x:v>85</x:v>
      </x:c>
      <x:c r="M25" s="56" t="n">
        <x:v>46290</x:v>
      </x:c>
      <x:c r="N25" s="56" t="n">
        <x:v>46270</x:v>
      </x:c>
      <x:c r="O25" s="56" t="n">
        <x:v>46270</x:v>
      </x:c>
      <x:c r="P25" s="55" t="str">
        <x:v>Partly received</x:v>
      </x:c>
      <x:c r="Q25" s="55" t="str">
        <x:v>Fully received</x:v>
      </x:c>
      <x:c r="R25" s="56" t="n">
        <x:v>46290</x:v>
      </x:c>
      <x:c r="S25" s="56" t="n">
        <x:v>46290</x:v>
      </x:c>
      <x:c r="T25" s="56" t="str">
        <x:v>Not yet occurred</x:v>
      </x:c>
      <x:c r="U25" s="55" t="str">
        <x:v>Balance consignment in transit.</x:v>
      </x:c>
      <x:c r="V25" s="55" t="str">
        <x:v>Pump station execution</x:v>
      </x:c>
      <x:c r="W25" s="55" t="str">
        <x:v>Confirm vendor schedule and expedite the next stage.</x:v>
      </x:c>
      <x:c r="X25" s="55" t="str">
        <x:v>Demo Procurement Lead P2</x:v>
      </x:c>
      <x:c r="Y25" s="55" t="str">
        <x:v>S25WJH01-DEC-04</x:v>
      </x:c>
      <x:c r="Z25" s="56" t="n">
        <x:v>46285</x:v>
      </x:c>
      <x:c r="AA25" s="55" t="str">
        <x:v>FICTIONAL TEST DATA. All people, quantities, money, dates and statuses are invented; not project records.</x:v>
      </x:c>
      <x:c r="AC25" t="n">
        <x:f>IF(OR(A25="",D25=""),0,IF(COUNTIFS($A$17:A25,A25,$D$17:D25,D25)=1,1,0))</x:f>
        <x:v>1</x:v>
      </x:c>
      <x:c r="AD25" t="n">
        <x:f>IF(AC25=0,0,IF(OR(ISNUMBER(O25),P25="PO issued",P25="Under manufacturing",P25="Inspection pending",P25="Ready for dispatch",P25="Dispatched",P25="Partly received",P25="Fully received"),1,0))</x:f>
        <x:v>1</x:v>
      </x:c>
      <x:c r="AE25" t="n">
        <x:f>IF(AC25=0,0,IF(P25="Fully received",1,0))</x:f>
        <x:v>0</x:v>
      </x:c>
      <x:c r="AF25" t="n">
        <x:f>IF(AC25=0,0,1-AD25)</x:f>
        <x:v>0</x:v>
      </x:c>
    </x:row>
    <x:row r="26" ht="102" customHeight="1">
      <x:c r="A26" s="55" t="str">
        <x:v>S25WJH01</x:v>
      </x:c>
      <x:c r="B26" s="55" t="str">
        <x:v>P2-SITE-1</x:v>
      </x:c>
      <x:c r="C26" s="60" t="n">
        <x:v>46266</x:v>
      </x:c>
      <x:c r="D26" s="55" t="str">
        <x:v>S25WJH01-PKG-005</x:v>
      </x:c>
      <x:c r="E26" s="55" t="str">
        <x:v>Structural steel lot</x:v>
      </x:c>
      <x:c r="F26" s="55" t="str">
        <x:v>S25WJH01-ACT-01</x:v>
      </x:c>
      <x:c r="G26" s="55" t="str">
        <x:v>Fictional Equipment Supplier P2-5</x:v>
      </x:c>
      <x:c r="H26" s="55" t="str">
        <x:v>tonnes</x:v>
      </x:c>
      <x:c r="I26" s="63" t="n">
        <x:v>190</x:v>
      </x:c>
      <x:c r="J26" s="63" t="n">
        <x:v>190</x:v>
      </x:c>
      <x:c r="K26" s="55" t="n">
        <x:v>190</x:v>
      </x:c>
      <x:c r="L26" s="65" t="n">
        <x:f>IF(COUNT(I26,K26)&lt;2,"",I26-K26)</x:f>
        <x:v>0</x:v>
      </x:c>
      <x:c r="M26" s="56" t="n">
        <x:v>46283</x:v>
      </x:c>
      <x:c r="N26" s="56" t="n">
        <x:v>46267</x:v>
      </x:c>
      <x:c r="O26" s="56" t="n">
        <x:v>46267</x:v>
      </x:c>
      <x:c r="P26" s="55" t="str">
        <x:v>Fully received</x:v>
      </x:c>
      <x:c r="Q26" s="55" t="str">
        <x:v>Fully received</x:v>
      </x:c>
      <x:c r="R26" s="56" t="n">
        <x:v>46282</x:v>
      </x:c>
      <x:c r="S26" s="56" t="n">
        <x:v>46282</x:v>
      </x:c>
      <x:c r="T26" s="56" t="n">
        <x:v>46282</x:v>
      </x:c>
      <x:c r="U26" s="55" t="str">
        <x:v>None; delivery complete.</x:v>
      </x:c>
      <x:c r="V26" s="55" t="str">
        <x:v>Canal headworks execution</x:v>
      </x:c>
      <x:c r="W26" s="55" t="str">
        <x:v>No further intervention.</x:v>
      </x:c>
      <x:c r="X26" s="55" t="str">
        <x:v>Demo Procurement Lead P2</x:v>
      </x:c>
      <x:c r="Y26" s="55" t="str">
        <x:v>S25WJH01-DEC-01</x:v>
      </x:c>
      <x:c r="Z26" s="56" t="n">
        <x:v>46285</x:v>
      </x:c>
      <x:c r="AA26" s="55" t="str">
        <x:v>FICTIONAL TEST DATA. All people, quantities, money, dates and statuses are invented; not project records.</x:v>
      </x:c>
      <x:c r="AC26" t="n">
        <x:f>IF(OR(A26="",D26=""),0,IF(COUNTIFS($A$17:A26,A26,$D$17:D26,D26)=1,1,0))</x:f>
        <x:v>1</x:v>
      </x:c>
      <x:c r="AD26" t="n">
        <x:f>IF(AC26=0,0,IF(OR(ISNUMBER(O26),P26="PO issued",P26="Under manufacturing",P26="Inspection pending",P26="Ready for dispatch",P26="Dispatched",P26="Partly received",P26="Fully received"),1,0))</x:f>
        <x:v>1</x:v>
      </x:c>
      <x:c r="AE26" t="n">
        <x:f>IF(AC26=0,0,IF(P26="Fully received",1,0))</x:f>
        <x:v>1</x:v>
      </x:c>
      <x:c r="AF26" t="n">
        <x:f>IF(AC26=0,0,1-AD26)</x:f>
        <x:v>0</x:v>
      </x:c>
    </x:row>
    <x:row r="27" ht="102" customHeight="1">
      <x:c r="A27" s="55" t="str">
        <x:v>S25WMP01</x:v>
      </x:c>
      <x:c r="B27" s="55" t="str">
        <x:v>P3-SITE-1</x:v>
      </x:c>
      <x:c r="C27" s="60" t="n">
        <x:v>46266</x:v>
      </x:c>
      <x:c r="D27" s="55" t="str">
        <x:v>S25WMP01-PKG-001</x:v>
      </x:c>
      <x:c r="E27" s="55" t="str">
        <x:v>Reinforcement lot</x:v>
      </x:c>
      <x:c r="F27" s="55" t="str">
        <x:v>S25WMP01-ACT-01</x:v>
      </x:c>
      <x:c r="G27" s="55" t="str">
        <x:v>Fictional Equipment Supplier P3-1</x:v>
      </x:c>
      <x:c r="H27" s="55" t="str">
        <x:v>tonnes</x:v>
      </x:c>
      <x:c r="I27" s="63" t="n">
        <x:v>120</x:v>
      </x:c>
      <x:c r="J27" s="63" t="n">
        <x:v>0</x:v>
      </x:c>
      <x:c r="K27" s="55" t="n">
        <x:v>0</x:v>
      </x:c>
      <x:c r="L27" s="65" t="n">
        <x:f>IF(COUNT(I27,K27)&lt;2,"",I27-K27)</x:f>
        <x:v>120</x:v>
      </x:c>
      <x:c r="M27" s="56" t="n">
        <x:v>46295</x:v>
      </x:c>
      <x:c r="N27" s="56" t="n">
        <x:v>46287</x:v>
      </x:c>
      <x:c r="O27" s="56" t="str">
        <x:v>Not yet occurred</x:v>
      </x:c>
      <x:c r="P27" s="55" t="str">
        <x:v>Requirement finalised</x:v>
      </x:c>
      <x:c r="Q27" s="55" t="str">
        <x:v>Enquiry issued</x:v>
      </x:c>
      <x:c r="R27" s="56" t="n">
        <x:v>46287</x:v>
      </x:c>
      <x:c r="S27" s="56" t="n">
        <x:v>46295</x:v>
      </x:c>
      <x:c r="T27" s="56" t="str">
        <x:v>Not yet occurred</x:v>
      </x:c>
      <x:c r="U27" s="55" t="str">
        <x:v>Enquiry release pending.</x:v>
      </x:c>
      <x:c r="V27" s="55" t="str">
        <x:v>Service reservoir execution</x:v>
      </x:c>
      <x:c r="W27" s="55" t="str">
        <x:v>Confirm vendor schedule and expedite the next stage.</x:v>
      </x:c>
      <x:c r="X27" s="55" t="str">
        <x:v>Demo Procurement Lead P3</x:v>
      </x:c>
      <x:c r="Y27" s="55" t="str">
        <x:v>S25WMP01-DEC-01</x:v>
      </x:c>
      <x:c r="Z27" s="56" t="n">
        <x:v>46285</x:v>
      </x:c>
      <x:c r="AA27" s="55" t="str">
        <x:v>FICTIONAL TEST DATA. All people, quantities, money, dates and statuses are invented; not project records.</x:v>
      </x:c>
      <x:c r="AC27" t="n">
        <x:f>IF(OR(A27="",D27=""),0,IF(COUNTIFS($A$17:A27,A27,$D$17:D27,D27)=1,1,0))</x:f>
        <x:v>1</x:v>
      </x:c>
      <x:c r="AD27" t="n">
        <x:f>IF(AC27=0,0,IF(OR(ISNUMBER(O27),P27="PO issued",P27="Under manufacturing",P27="Inspection pending",P27="Ready for dispatch",P27="Dispatched",P27="Partly received",P27="Fully received"),1,0))</x:f>
        <x:v>0</x:v>
      </x:c>
      <x:c r="AE27" t="n">
        <x:f>IF(AC27=0,0,IF(P27="Fully received",1,0))</x:f>
        <x:v>0</x:v>
      </x:c>
      <x:c r="AF27" t="n">
        <x:f>IF(AC27=0,0,1-AD27)</x:f>
        <x:v>1</x:v>
      </x:c>
    </x:row>
    <x:row r="28" ht="102" customHeight="1">
      <x:c r="A28" s="55" t="str">
        <x:v>S25WMP01</x:v>
      </x:c>
      <x:c r="B28" s="55" t="str">
        <x:v>P3-SITE-2</x:v>
      </x:c>
      <x:c r="C28" s="60" t="n">
        <x:v>46266</x:v>
      </x:c>
      <x:c r="D28" s="55" t="str">
        <x:v>S25WMP01-PKG-002</x:v>
      </x:c>
      <x:c r="E28" s="55" t="str">
        <x:v>Pipe fittings lot</x:v>
      </x:c>
      <x:c r="F28" s="55" t="str">
        <x:v>S25WMP01-ACT-02</x:v>
      </x:c>
      <x:c r="G28" s="55" t="str">
        <x:v>Fictional Equipment Supplier P3-2</x:v>
      </x:c>
      <x:c r="H28" s="55" t="str">
        <x:v>numbers</x:v>
      </x:c>
      <x:c r="I28" s="63" t="n">
        <x:v>140</x:v>
      </x:c>
      <x:c r="J28" s="63" t="n">
        <x:v>140</x:v>
      </x:c>
      <x:c r="K28" s="55" t="n">
        <x:v>0</x:v>
      </x:c>
      <x:c r="L28" s="65" t="n">
        <x:f>IF(COUNT(I28,K28)&lt;2,"",I28-K28)</x:f>
        <x:v>140</x:v>
      </x:c>
      <x:c r="M28" s="56" t="n">
        <x:v>46293</x:v>
      </x:c>
      <x:c r="N28" s="56" t="n">
        <x:v>46273</x:v>
      </x:c>
      <x:c r="O28" s="56" t="n">
        <x:v>46274</x:v>
      </x:c>
      <x:c r="P28" s="55" t="str">
        <x:v>PO issued</x:v>
      </x:c>
      <x:c r="Q28" s="55" t="str">
        <x:v>Under manufacturing</x:v>
      </x:c>
      <x:c r="R28" s="56" t="n">
        <x:v>46288</x:v>
      </x:c>
      <x:c r="S28" s="56" t="n">
        <x:v>46293</x:v>
      </x:c>
      <x:c r="T28" s="56" t="str">
        <x:v>Not yet occurred</x:v>
      </x:c>
      <x:c r="U28" s="55" t="str">
        <x:v>Vendor manufacturing and inspection sequence.</x:v>
      </x:c>
      <x:c r="V28" s="55" t="str">
        <x:v>Distribution zone execution</x:v>
      </x:c>
      <x:c r="W28" s="55" t="str">
        <x:v>Confirm vendor schedule and expedite the next stage.</x:v>
      </x:c>
      <x:c r="X28" s="55" t="str">
        <x:v>Demo Procurement Lead P3</x:v>
      </x:c>
      <x:c r="Y28" s="55" t="str">
        <x:v>S25WMP01-DEC-02</x:v>
      </x:c>
      <x:c r="Z28" s="56" t="n">
        <x:v>46285</x:v>
      </x:c>
      <x:c r="AA28" s="55" t="str">
        <x:v>FICTIONAL TEST DATA. All people, quantities, money, dates and statuses are invented; not project records.</x:v>
      </x:c>
      <x:c r="AC28" t="n">
        <x:f>IF(OR(A28="",D28=""),0,IF(COUNTIFS($A$17:A28,A28,$D$17:D28,D28)=1,1,0))</x:f>
        <x:v>1</x:v>
      </x:c>
      <x:c r="AD28" t="n">
        <x:f>IF(AC28=0,0,IF(OR(ISNUMBER(O28),P28="PO issued",P28="Under manufacturing",P28="Inspection pending",P28="Ready for dispatch",P28="Dispatched",P28="Partly received",P28="Fully received"),1,0))</x:f>
        <x:v>1</x:v>
      </x:c>
      <x:c r="AE28" t="n">
        <x:f>IF(AC28=0,0,IF(P28="Fully received",1,0))</x:f>
        <x:v>0</x:v>
      </x:c>
      <x:c r="AF28" t="n">
        <x:f>IF(AC28=0,0,1-AD28)</x:f>
        <x:v>0</x:v>
      </x:c>
    </x:row>
    <x:row r="29" ht="102" customHeight="1">
      <x:c r="A29" s="55" t="str">
        <x:v>S25WMP01</x:v>
      </x:c>
      <x:c r="B29" s="55" t="str">
        <x:v>P3-SITE-1</x:v>
      </x:c>
      <x:c r="C29" s="60" t="n">
        <x:v>46266</x:v>
      </x:c>
      <x:c r="D29" s="55" t="str">
        <x:v>S25WMP01-PKG-003</x:v>
      </x:c>
      <x:c r="E29" s="55" t="str">
        <x:v>Electrical panels lot</x:v>
      </x:c>
      <x:c r="F29" s="55" t="str">
        <x:v>S25WMP01-ACT-03</x:v>
      </x:c>
      <x:c r="G29" s="55" t="str">
        <x:v>Fictional Equipment Supplier P3-3</x:v>
      </x:c>
      <x:c r="H29" s="55" t="str">
        <x:v>numbers</x:v>
      </x:c>
      <x:c r="I29" s="63" t="n">
        <x:v>160</x:v>
      </x:c>
      <x:c r="J29" s="63" t="n">
        <x:v>160</x:v>
      </x:c>
      <x:c r="K29" s="55" t="n">
        <x:v>0</x:v>
      </x:c>
      <x:c r="L29" s="65" t="n">
        <x:f>IF(COUNT(I29,K29)&lt;2,"",I29-K29)</x:f>
        <x:v>160</x:v>
      </x:c>
      <x:c r="M29" s="56" t="n">
        <x:v>46294</x:v>
      </x:c>
      <x:c r="N29" s="56" t="n">
        <x:v>46272</x:v>
      </x:c>
      <x:c r="O29" s="56" t="n">
        <x:v>46272</x:v>
      </x:c>
      <x:c r="P29" s="55" t="str">
        <x:v>Under manufacturing</x:v>
      </x:c>
      <x:c r="Q29" s="55" t="str">
        <x:v>Inspection pending</x:v>
      </x:c>
      <x:c r="R29" s="56" t="n">
        <x:v>46289</x:v>
      </x:c>
      <x:c r="S29" s="56" t="n">
        <x:v>46294</x:v>
      </x:c>
      <x:c r="T29" s="56" t="str">
        <x:v>Not yet occurred</x:v>
      </x:c>
      <x:c r="U29" s="55" t="str">
        <x:v>Vendor manufacturing and inspection sequence.</x:v>
      </x:c>
      <x:c r="V29" s="55" t="str">
        <x:v>Pump house execution</x:v>
      </x:c>
      <x:c r="W29" s="55" t="str">
        <x:v>Confirm vendor schedule and expedite the next stage.</x:v>
      </x:c>
      <x:c r="X29" s="55" t="str">
        <x:v>Demo Procurement Lead P3</x:v>
      </x:c>
      <x:c r="Y29" s="55" t="str">
        <x:v>S25WMP01-DEC-03</x:v>
      </x:c>
      <x:c r="Z29" s="56" t="n">
        <x:v>46285</x:v>
      </x:c>
      <x:c r="AA29" s="55" t="str">
        <x:v>FICTIONAL TEST DATA. All people, quantities, money, dates and statuses are invented; not project records.</x:v>
      </x:c>
      <x:c r="AC29" t="n">
        <x:f>IF(OR(A29="",D29=""),0,IF(COUNTIFS($A$17:A29,A29,$D$17:D29,D29)=1,1,0))</x:f>
        <x:v>1</x:v>
      </x:c>
      <x:c r="AD29" t="n">
        <x:f>IF(AC29=0,0,IF(OR(ISNUMBER(O29),P29="PO issued",P29="Under manufacturing",P29="Inspection pending",P29="Ready for dispatch",P29="Dispatched",P29="Partly received",P29="Fully received"),1,0))</x:f>
        <x:v>1</x:v>
      </x:c>
      <x:c r="AE29" t="n">
        <x:f>IF(AC29=0,0,IF(P29="Fully received",1,0))</x:f>
        <x:v>0</x:v>
      </x:c>
      <x:c r="AF29" t="n">
        <x:f>IF(AC29=0,0,1-AD29)</x:f>
        <x:v>0</x:v>
      </x:c>
    </x:row>
    <x:row r="30" ht="102" customHeight="1">
      <x:c r="A30" s="55" t="str">
        <x:v>S25WMP01</x:v>
      </x:c>
      <x:c r="B30" s="55" t="str">
        <x:v>P3-SITE-2</x:v>
      </x:c>
      <x:c r="C30" s="60" t="n">
        <x:v>46266</x:v>
      </x:c>
      <x:c r="D30" s="55" t="str">
        <x:v>S25WMP01-PKG-004</x:v>
      </x:c>
      <x:c r="E30" s="55" t="str">
        <x:v>Valve assembly lot</x:v>
      </x:c>
      <x:c r="F30" s="55" t="str">
        <x:v>S25WMP01-ACT-04</x:v>
      </x:c>
      <x:c r="G30" s="55" t="str">
        <x:v>Fictional Equipment Supplier P3-4</x:v>
      </x:c>
      <x:c r="H30" s="55" t="str">
        <x:v>numbers</x:v>
      </x:c>
      <x:c r="I30" s="63" t="n">
        <x:v>180</x:v>
      </x:c>
      <x:c r="J30" s="63" t="n">
        <x:v>180</x:v>
      </x:c>
      <x:c r="K30" s="55" t="n">
        <x:v>90</x:v>
      </x:c>
      <x:c r="L30" s="65" t="n">
        <x:f>IF(COUNT(I30,K30)&lt;2,"",I30-K30)</x:f>
        <x:v>90</x:v>
      </x:c>
      <x:c r="M30" s="56" t="n">
        <x:v>46290</x:v>
      </x:c>
      <x:c r="N30" s="56" t="n">
        <x:v>46270</x:v>
      </x:c>
      <x:c r="O30" s="56" t="n">
        <x:v>46270</x:v>
      </x:c>
      <x:c r="P30" s="55" t="str">
        <x:v>Partly received</x:v>
      </x:c>
      <x:c r="Q30" s="55" t="str">
        <x:v>Fully received</x:v>
      </x:c>
      <x:c r="R30" s="56" t="n">
        <x:v>46290</x:v>
      </x:c>
      <x:c r="S30" s="56" t="n">
        <x:v>46290</x:v>
      </x:c>
      <x:c r="T30" s="56" t="str">
        <x:v>Not yet occurred</x:v>
      </x:c>
      <x:c r="U30" s="55" t="str">
        <x:v>Balance consignment in transit.</x:v>
      </x:c>
      <x:c r="V30" s="55" t="str">
        <x:v>Water treatment plant execution</x:v>
      </x:c>
      <x:c r="W30" s="55" t="str">
        <x:v>Confirm vendor schedule and expedite the next stage.</x:v>
      </x:c>
      <x:c r="X30" s="55" t="str">
        <x:v>Demo Procurement Lead P3</x:v>
      </x:c>
      <x:c r="Y30" s="55" t="str">
        <x:v>S25WMP01-DEC-04</x:v>
      </x:c>
      <x:c r="Z30" s="56" t="n">
        <x:v>46285</x:v>
      </x:c>
      <x:c r="AA30" s="55" t="str">
        <x:v>FICTIONAL TEST DATA. All people, quantities, money, dates and statuses are invented; not project records.</x:v>
      </x:c>
      <x:c r="AC30" t="n">
        <x:f>IF(OR(A30="",D30=""),0,IF(COUNTIFS($A$17:A30,A30,$D$17:D30,D30)=1,1,0))</x:f>
        <x:v>1</x:v>
      </x:c>
      <x:c r="AD30" t="n">
        <x:f>IF(AC30=0,0,IF(OR(ISNUMBER(O30),P30="PO issued",P30="Under manufacturing",P30="Inspection pending",P30="Ready for dispatch",P30="Dispatched",P30="Partly received",P30="Fully received"),1,0))</x:f>
        <x:v>1</x:v>
      </x:c>
      <x:c r="AE30" t="n">
        <x:f>IF(AC30=0,0,IF(P30="Fully received",1,0))</x:f>
        <x:v>0</x:v>
      </x:c>
      <x:c r="AF30" t="n">
        <x:f>IF(AC30=0,0,1-AD30)</x:f>
        <x:v>0</x:v>
      </x:c>
    </x:row>
    <x:row r="31" ht="102" customHeight="1">
      <x:c r="A31" s="55" t="str">
        <x:v>S25WMP01</x:v>
      </x:c>
      <x:c r="B31" s="55" t="str">
        <x:v>P3-SITE-1</x:v>
      </x:c>
      <x:c r="C31" s="60" t="n">
        <x:v>46266</x:v>
      </x:c>
      <x:c r="D31" s="55" t="str">
        <x:v>S25WMP01-PKG-005</x:v>
      </x:c>
      <x:c r="E31" s="55" t="str">
        <x:v>Structural steel lot</x:v>
      </x:c>
      <x:c r="F31" s="55" t="str">
        <x:v>S25WMP01-ACT-01</x:v>
      </x:c>
      <x:c r="G31" s="55" t="str">
        <x:v>Fictional Equipment Supplier P3-5</x:v>
      </x:c>
      <x:c r="H31" s="55" t="str">
        <x:v>tonnes</x:v>
      </x:c>
      <x:c r="I31" s="63" t="n">
        <x:v>200</x:v>
      </x:c>
      <x:c r="J31" s="63" t="n">
        <x:v>200</x:v>
      </x:c>
      <x:c r="K31" s="55" t="n">
        <x:v>200</x:v>
      </x:c>
      <x:c r="L31" s="65" t="n">
        <x:f>IF(COUNT(I31,K31)&lt;2,"",I31-K31)</x:f>
        <x:v>0</x:v>
      </x:c>
      <x:c r="M31" s="56" t="n">
        <x:v>46283</x:v>
      </x:c>
      <x:c r="N31" s="56" t="n">
        <x:v>46267</x:v>
      </x:c>
      <x:c r="O31" s="56" t="n">
        <x:v>46267</x:v>
      </x:c>
      <x:c r="P31" s="55" t="str">
        <x:v>Fully received</x:v>
      </x:c>
      <x:c r="Q31" s="55" t="str">
        <x:v>Fully received</x:v>
      </x:c>
      <x:c r="R31" s="56" t="n">
        <x:v>46282</x:v>
      </x:c>
      <x:c r="S31" s="56" t="n">
        <x:v>46282</x:v>
      </x:c>
      <x:c r="T31" s="56" t="n">
        <x:v>46282</x:v>
      </x:c>
      <x:c r="U31" s="55" t="str">
        <x:v>None; delivery complete.</x:v>
      </x:c>
      <x:c r="V31" s="55" t="str">
        <x:v>Service reservoir execution</x:v>
      </x:c>
      <x:c r="W31" s="55" t="str">
        <x:v>No further intervention.</x:v>
      </x:c>
      <x:c r="X31" s="55" t="str">
        <x:v>Demo Procurement Lead P3</x:v>
      </x:c>
      <x:c r="Y31" s="55" t="str">
        <x:v>S25WMP01-DEC-01</x:v>
      </x:c>
      <x:c r="Z31" s="56" t="n">
        <x:v>46285</x:v>
      </x:c>
      <x:c r="AA31" s="55" t="str">
        <x:v>FICTIONAL TEST DATA. All people, quantities, money, dates and statuses are invented; not project records.</x:v>
      </x:c>
      <x:c r="AC31" t="n">
        <x:f>IF(OR(A31="",D31=""),0,IF(COUNTIFS($A$17:A31,A31,$D$17:D31,D31)=1,1,0))</x:f>
        <x:v>1</x:v>
      </x:c>
      <x:c r="AD31" t="n">
        <x:f>IF(AC31=0,0,IF(OR(ISNUMBER(O31),P31="PO issued",P31="Under manufacturing",P31="Inspection pending",P31="Ready for dispatch",P31="Dispatched",P31="Partly received",P31="Fully received"),1,0))</x:f>
        <x:v>1</x:v>
      </x:c>
      <x:c r="AE31" t="n">
        <x:f>IF(AC31=0,0,IF(P31="Fully received",1,0))</x:f>
        <x:v>1</x:v>
      </x:c>
      <x:c r="AF31" t="n">
        <x:f>IF(AC31=0,0,1-AD31)</x:f>
        <x:v>0</x:v>
      </x:c>
    </x:row>
    <x:row r="32" ht="102" customHeight="1">
      <x:c r="A32" s="55" t="str">
        <x:v>S26BBI01</x:v>
      </x:c>
      <x:c r="B32" s="55" t="str">
        <x:v>P4-SITE-1</x:v>
      </x:c>
      <x:c r="C32" s="60" t="n">
        <x:v>46266</x:v>
      </x:c>
      <x:c r="D32" s="55" t="str">
        <x:v>S26BBI01-PKG-001</x:v>
      </x:c>
      <x:c r="E32" s="55" t="str">
        <x:v>Reinforcement lot</x:v>
      </x:c>
      <x:c r="F32" s="55" t="str">
        <x:v>S26BBI01-ACT-01</x:v>
      </x:c>
      <x:c r="G32" s="55" t="str">
        <x:v>Fictional Equipment Supplier P4-1</x:v>
      </x:c>
      <x:c r="H32" s="55" t="str">
        <x:v>tonnes</x:v>
      </x:c>
      <x:c r="I32" s="63" t="n">
        <x:v>130</x:v>
      </x:c>
      <x:c r="J32" s="63" t="n">
        <x:v>0</x:v>
      </x:c>
      <x:c r="K32" s="55" t="n">
        <x:v>0</x:v>
      </x:c>
      <x:c r="L32" s="65" t="n">
        <x:f>IF(COUNT(I32,K32)&lt;2,"",I32-K32)</x:f>
        <x:v>130</x:v>
      </x:c>
      <x:c r="M32" s="56" t="n">
        <x:v>46295</x:v>
      </x:c>
      <x:c r="N32" s="56" t="n">
        <x:v>46287</x:v>
      </x:c>
      <x:c r="O32" s="56" t="str">
        <x:v>Not yet occurred</x:v>
      </x:c>
      <x:c r="P32" s="55" t="str">
        <x:v>Requirement finalised</x:v>
      </x:c>
      <x:c r="Q32" s="55" t="str">
        <x:v>Enquiry issued</x:v>
      </x:c>
      <x:c r="R32" s="56" t="n">
        <x:v>46287</x:v>
      </x:c>
      <x:c r="S32" s="56" t="n">
        <x:v>46295</x:v>
      </x:c>
      <x:c r="T32" s="56" t="str">
        <x:v>Not yet occurred</x:v>
      </x:c>
      <x:c r="U32" s="55" t="str">
        <x:v>Enquiry release pending.</x:v>
      </x:c>
      <x:c r="V32" s="55" t="str">
        <x:v>Cooling water structure execution</x:v>
      </x:c>
      <x:c r="W32" s="55" t="str">
        <x:v>Confirm vendor schedule and expedite the next stage.</x:v>
      </x:c>
      <x:c r="X32" s="55" t="str">
        <x:v>Demo Procurement Lead P4</x:v>
      </x:c>
      <x:c r="Y32" s="55" t="str">
        <x:v>S26BBI01-DEC-01</x:v>
      </x:c>
      <x:c r="Z32" s="56" t="n">
        <x:v>46285</x:v>
      </x:c>
      <x:c r="AA32" s="55" t="str">
        <x:v>FICTIONAL TEST DATA. All people, quantities, money, dates and statuses are invented; not project records.</x:v>
      </x:c>
      <x:c r="AC32" t="n">
        <x:f>IF(OR(A32="",D32=""),0,IF(COUNTIFS($A$17:A32,A32,$D$17:D32,D32)=1,1,0))</x:f>
        <x:v>1</x:v>
      </x:c>
      <x:c r="AD32" t="n">
        <x:f>IF(AC32=0,0,IF(OR(ISNUMBER(O32),P32="PO issued",P32="Under manufacturing",P32="Inspection pending",P32="Ready for dispatch",P32="Dispatched",P32="Partly received",P32="Fully received"),1,0))</x:f>
        <x:v>0</x:v>
      </x:c>
      <x:c r="AE32" t="n">
        <x:f>IF(AC32=0,0,IF(P32="Fully received",1,0))</x:f>
        <x:v>0</x:v>
      </x:c>
      <x:c r="AF32" t="n">
        <x:f>IF(AC32=0,0,1-AD32)</x:f>
        <x:v>1</x:v>
      </x:c>
    </x:row>
    <x:row r="33" ht="102" customHeight="1">
      <x:c r="A33" s="55" t="str">
        <x:v>S26BBI01</x:v>
      </x:c>
      <x:c r="B33" s="55" t="str">
        <x:v>P4-SITE-2</x:v>
      </x:c>
      <x:c r="C33" s="60" t="n">
        <x:v>46266</x:v>
      </x:c>
      <x:c r="D33" s="55" t="str">
        <x:v>S26BBI01-PKG-002</x:v>
      </x:c>
      <x:c r="E33" s="55" t="str">
        <x:v>Pipe fittings lot</x:v>
      </x:c>
      <x:c r="F33" s="55" t="str">
        <x:v>S26BBI01-ACT-02</x:v>
      </x:c>
      <x:c r="G33" s="55" t="str">
        <x:v>Fictional Equipment Supplier P4-2</x:v>
      </x:c>
      <x:c r="H33" s="55" t="str">
        <x:v>numbers</x:v>
      </x:c>
      <x:c r="I33" s="63" t="n">
        <x:v>150</x:v>
      </x:c>
      <x:c r="J33" s="63" t="n">
        <x:v>150</x:v>
      </x:c>
      <x:c r="K33" s="55" t="n">
        <x:v>0</x:v>
      </x:c>
      <x:c r="L33" s="65" t="n">
        <x:f>IF(COUNT(I33,K33)&lt;2,"",I33-K33)</x:f>
        <x:v>150</x:v>
      </x:c>
      <x:c r="M33" s="56" t="n">
        <x:v>46293</x:v>
      </x:c>
      <x:c r="N33" s="56" t="n">
        <x:v>46273</x:v>
      </x:c>
      <x:c r="O33" s="56" t="n">
        <x:v>46274</x:v>
      </x:c>
      <x:c r="P33" s="55" t="str">
        <x:v>PO issued</x:v>
      </x:c>
      <x:c r="Q33" s="55" t="str">
        <x:v>Under manufacturing</x:v>
      </x:c>
      <x:c r="R33" s="56" t="n">
        <x:v>46288</x:v>
      </x:c>
      <x:c r="S33" s="56" t="n">
        <x:v>46293</x:v>
      </x:c>
      <x:c r="T33" s="56" t="str">
        <x:v>Not yet occurred</x:v>
      </x:c>
      <x:c r="U33" s="55" t="str">
        <x:v>Vendor manufacturing and inspection sequence.</x:v>
      </x:c>
      <x:c r="V33" s="55" t="str">
        <x:v>Utility corridor execution</x:v>
      </x:c>
      <x:c r="W33" s="55" t="str">
        <x:v>Confirm vendor schedule and expedite the next stage.</x:v>
      </x:c>
      <x:c r="X33" s="55" t="str">
        <x:v>Demo Procurement Lead P4</x:v>
      </x:c>
      <x:c r="Y33" s="55" t="str">
        <x:v>S26BBI01-DEC-02</x:v>
      </x:c>
      <x:c r="Z33" s="56" t="n">
        <x:v>46285</x:v>
      </x:c>
      <x:c r="AA33" s="55" t="str">
        <x:v>FICTIONAL TEST DATA. All people, quantities, money, dates and statuses are invented; not project records.</x:v>
      </x:c>
      <x:c r="AC33" t="n">
        <x:f>IF(OR(A33="",D33=""),0,IF(COUNTIFS($A$17:A33,A33,$D$17:D33,D33)=1,1,0))</x:f>
        <x:v>1</x:v>
      </x:c>
      <x:c r="AD33" t="n">
        <x:f>IF(AC33=0,0,IF(OR(ISNUMBER(O33),P33="PO issued",P33="Under manufacturing",P33="Inspection pending",P33="Ready for dispatch",P33="Dispatched",P33="Partly received",P33="Fully received"),1,0))</x:f>
        <x:v>1</x:v>
      </x:c>
      <x:c r="AE33" t="n">
        <x:f>IF(AC33=0,0,IF(P33="Fully received",1,0))</x:f>
        <x:v>0</x:v>
      </x:c>
      <x:c r="AF33" t="n">
        <x:f>IF(AC33=0,0,1-AD33)</x:f>
        <x:v>0</x:v>
      </x:c>
    </x:row>
    <x:row r="34" ht="102" customHeight="1">
      <x:c r="A34" s="55" t="str">
        <x:v>S26BBI01</x:v>
      </x:c>
      <x:c r="B34" s="55" t="str">
        <x:v>P4-SITE-1</x:v>
      </x:c>
      <x:c r="C34" s="60" t="n">
        <x:v>46266</x:v>
      </x:c>
      <x:c r="D34" s="55" t="str">
        <x:v>S26BBI01-PKG-003</x:v>
      </x:c>
      <x:c r="E34" s="55" t="str">
        <x:v>Electrical panels lot</x:v>
      </x:c>
      <x:c r="F34" s="55" t="str">
        <x:v>S26BBI01-ACT-03</x:v>
      </x:c>
      <x:c r="G34" s="55" t="str">
        <x:v>Fictional Equipment Supplier P4-3</x:v>
      </x:c>
      <x:c r="H34" s="55" t="str">
        <x:v>numbers</x:v>
      </x:c>
      <x:c r="I34" s="63" t="n">
        <x:v>170</x:v>
      </x:c>
      <x:c r="J34" s="63" t="n">
        <x:v>170</x:v>
      </x:c>
      <x:c r="K34" s="55" t="n">
        <x:v>0</x:v>
      </x:c>
      <x:c r="L34" s="65" t="n">
        <x:f>IF(COUNT(I34,K34)&lt;2,"",I34-K34)</x:f>
        <x:v>170</x:v>
      </x:c>
      <x:c r="M34" s="56" t="n">
        <x:v>46294</x:v>
      </x:c>
      <x:c r="N34" s="56" t="n">
        <x:v>46272</x:v>
      </x:c>
      <x:c r="O34" s="56" t="n">
        <x:v>46272</x:v>
      </x:c>
      <x:c r="P34" s="55" t="str">
        <x:v>Under manufacturing</x:v>
      </x:c>
      <x:c r="Q34" s="55" t="str">
        <x:v>Inspection pending</x:v>
      </x:c>
      <x:c r="R34" s="56" t="n">
        <x:v>46289</x:v>
      </x:c>
      <x:c r="S34" s="56" t="n">
        <x:v>46294</x:v>
      </x:c>
      <x:c r="T34" s="56" t="str">
        <x:v>Not yet occurred</x:v>
      </x:c>
      <x:c r="U34" s="55" t="str">
        <x:v>Vendor manufacturing and inspection sequence.</x:v>
      </x:c>
      <x:c r="V34" s="55" t="str">
        <x:v>Pump foundation execution</x:v>
      </x:c>
      <x:c r="W34" s="55" t="str">
        <x:v>Confirm vendor schedule and expedite the next stage.</x:v>
      </x:c>
      <x:c r="X34" s="55" t="str">
        <x:v>Demo Procurement Lead P4</x:v>
      </x:c>
      <x:c r="Y34" s="55" t="str">
        <x:v>S26BBI01-DEC-03</x:v>
      </x:c>
      <x:c r="Z34" s="56" t="n">
        <x:v>46285</x:v>
      </x:c>
      <x:c r="AA34" s="55" t="str">
        <x:v>FICTIONAL TEST DATA. All people, quantities, money, dates and statuses are invented; not project records.</x:v>
      </x:c>
      <x:c r="AC34" t="n">
        <x:f>IF(OR(A34="",D34=""),0,IF(COUNTIFS($A$17:A34,A34,$D$17:D34,D34)=1,1,0))</x:f>
        <x:v>1</x:v>
      </x:c>
      <x:c r="AD34" t="n">
        <x:f>IF(AC34=0,0,IF(OR(ISNUMBER(O34),P34="PO issued",P34="Under manufacturing",P34="Inspection pending",P34="Ready for dispatch",P34="Dispatched",P34="Partly received",P34="Fully received"),1,0))</x:f>
        <x:v>1</x:v>
      </x:c>
      <x:c r="AE34" t="n">
        <x:f>IF(AC34=0,0,IF(P34="Fully received",1,0))</x:f>
        <x:v>0</x:v>
      </x:c>
      <x:c r="AF34" t="n">
        <x:f>IF(AC34=0,0,1-AD34)</x:f>
        <x:v>0</x:v>
      </x:c>
    </x:row>
    <x:row r="35" ht="102" customHeight="1">
      <x:c r="A35" s="55" t="str">
        <x:v>S26BBI01</x:v>
      </x:c>
      <x:c r="B35" s="55" t="str">
        <x:v>P4-SITE-2</x:v>
      </x:c>
      <x:c r="C35" s="60" t="n">
        <x:v>46266</x:v>
      </x:c>
      <x:c r="D35" s="55" t="str">
        <x:v>S26BBI01-PKG-004</x:v>
      </x:c>
      <x:c r="E35" s="55" t="str">
        <x:v>Valve assembly lot</x:v>
      </x:c>
      <x:c r="F35" s="55" t="str">
        <x:v>S26BBI01-ACT-04</x:v>
      </x:c>
      <x:c r="G35" s="55" t="str">
        <x:v>Fictional Equipment Supplier P4-4</x:v>
      </x:c>
      <x:c r="H35" s="55" t="str">
        <x:v>numbers</x:v>
      </x:c>
      <x:c r="I35" s="63" t="n">
        <x:v>190</x:v>
      </x:c>
      <x:c r="J35" s="63" t="n">
        <x:v>190</x:v>
      </x:c>
      <x:c r="K35" s="55" t="n">
        <x:v>95</x:v>
      </x:c>
      <x:c r="L35" s="65" t="n">
        <x:f>IF(COUNT(I35,K35)&lt;2,"",I35-K35)</x:f>
        <x:v>95</x:v>
      </x:c>
      <x:c r="M35" s="56" t="n">
        <x:v>46290</x:v>
      </x:c>
      <x:c r="N35" s="56" t="n">
        <x:v>46270</x:v>
      </x:c>
      <x:c r="O35" s="56" t="n">
        <x:v>46270</x:v>
      </x:c>
      <x:c r="P35" s="55" t="str">
        <x:v>Partly received</x:v>
      </x:c>
      <x:c r="Q35" s="55" t="str">
        <x:v>Fully received</x:v>
      </x:c>
      <x:c r="R35" s="56" t="n">
        <x:v>46290</x:v>
      </x:c>
      <x:c r="S35" s="56" t="n">
        <x:v>46290</x:v>
      </x:c>
      <x:c r="T35" s="56" t="str">
        <x:v>Not yet occurred</x:v>
      </x:c>
      <x:c r="U35" s="55" t="str">
        <x:v>Balance consignment in transit.</x:v>
      </x:c>
      <x:c r="V35" s="55" t="str">
        <x:v>Service building execution</x:v>
      </x:c>
      <x:c r="W35" s="55" t="str">
        <x:v>Confirm vendor schedule and expedite the next stage.</x:v>
      </x:c>
      <x:c r="X35" s="55" t="str">
        <x:v>Demo Procurement Lead P4</x:v>
      </x:c>
      <x:c r="Y35" s="55" t="str">
        <x:v>S26BBI01-DEC-04</x:v>
      </x:c>
      <x:c r="Z35" s="56" t="n">
        <x:v>46285</x:v>
      </x:c>
      <x:c r="AA35" s="55" t="str">
        <x:v>FICTIONAL TEST DATA. All people, quantities, money, dates and statuses are invented; not project records.</x:v>
      </x:c>
      <x:c r="AC35" t="n">
        <x:f>IF(OR(A35="",D35=""),0,IF(COUNTIFS($A$17:A35,A35,$D$17:D35,D35)=1,1,0))</x:f>
        <x:v>1</x:v>
      </x:c>
      <x:c r="AD35" t="n">
        <x:f>IF(AC35=0,0,IF(OR(ISNUMBER(O35),P35="PO issued",P35="Under manufacturing",P35="Inspection pending",P35="Ready for dispatch",P35="Dispatched",P35="Partly received",P35="Fully received"),1,0))</x:f>
        <x:v>1</x:v>
      </x:c>
      <x:c r="AE35" t="n">
        <x:f>IF(AC35=0,0,IF(P35="Fully received",1,0))</x:f>
        <x:v>0</x:v>
      </x:c>
      <x:c r="AF35" t="n">
        <x:f>IF(AC35=0,0,1-AD35)</x:f>
        <x:v>0</x:v>
      </x:c>
    </x:row>
    <x:row r="36" ht="102" customHeight="1">
      <x:c r="A36" s="55" t="str">
        <x:v>S26BBI01</x:v>
      </x:c>
      <x:c r="B36" s="55" t="str">
        <x:v>P4-SITE-1</x:v>
      </x:c>
      <x:c r="C36" s="60" t="n">
        <x:v>46266</x:v>
      </x:c>
      <x:c r="D36" s="55" t="str">
        <x:v>S26BBI01-PKG-005</x:v>
      </x:c>
      <x:c r="E36" s="55" t="str">
        <x:v>Structural steel lot</x:v>
      </x:c>
      <x:c r="F36" s="55" t="str">
        <x:v>S26BBI01-ACT-01</x:v>
      </x:c>
      <x:c r="G36" s="55" t="str">
        <x:v>Fictional Equipment Supplier P4-5</x:v>
      </x:c>
      <x:c r="H36" s="55" t="str">
        <x:v>tonnes</x:v>
      </x:c>
      <x:c r="I36" s="63" t="n">
        <x:v>210</x:v>
      </x:c>
      <x:c r="J36" s="63" t="n">
        <x:v>210</x:v>
      </x:c>
      <x:c r="K36" s="55" t="n">
        <x:v>210</x:v>
      </x:c>
      <x:c r="L36" s="65" t="n">
        <x:f>IF(COUNT(I36,K36)&lt;2,"",I36-K36)</x:f>
        <x:v>0</x:v>
      </x:c>
      <x:c r="M36" s="56" t="n">
        <x:v>46283</x:v>
      </x:c>
      <x:c r="N36" s="56" t="n">
        <x:v>46267</x:v>
      </x:c>
      <x:c r="O36" s="56" t="n">
        <x:v>46267</x:v>
      </x:c>
      <x:c r="P36" s="55" t="str">
        <x:v>Fully received</x:v>
      </x:c>
      <x:c r="Q36" s="55" t="str">
        <x:v>Fully received</x:v>
      </x:c>
      <x:c r="R36" s="56" t="n">
        <x:v>46282</x:v>
      </x:c>
      <x:c r="S36" s="56" t="n">
        <x:v>46282</x:v>
      </x:c>
      <x:c r="T36" s="56" t="n">
        <x:v>46282</x:v>
      </x:c>
      <x:c r="U36" s="55" t="str">
        <x:v>None; delivery complete.</x:v>
      </x:c>
      <x:c r="V36" s="55" t="str">
        <x:v>Cooling water structure execution</x:v>
      </x:c>
      <x:c r="W36" s="55" t="str">
        <x:v>No further intervention.</x:v>
      </x:c>
      <x:c r="X36" s="55" t="str">
        <x:v>Demo Procurement Lead P4</x:v>
      </x:c>
      <x:c r="Y36" s="55" t="str">
        <x:v>S26BBI01-DEC-01</x:v>
      </x:c>
      <x:c r="Z36" s="56" t="n">
        <x:v>46285</x:v>
      </x:c>
      <x:c r="AA36" s="55" t="str">
        <x:v>FICTIONAL TEST DATA. All people, quantities, money, dates and statuses are invented; not project records.</x:v>
      </x:c>
      <x:c r="AC36" t="n">
        <x:f>IF(OR(A36="",D36=""),0,IF(COUNTIFS($A$17:A36,A36,$D$17:D36,D36)=1,1,0))</x:f>
        <x:v>1</x:v>
      </x:c>
      <x:c r="AD36" t="n">
        <x:f>IF(AC36=0,0,IF(OR(ISNUMBER(O36),P36="PO issued",P36="Under manufacturing",P36="Inspection pending",P36="Ready for dispatch",P36="Dispatched",P36="Partly received",P36="Fully received"),1,0))</x:f>
        <x:v>1</x:v>
      </x:c>
      <x:c r="AE36" t="n">
        <x:f>IF(AC36=0,0,IF(P36="Fully received",1,0))</x:f>
        <x:v>1</x:v>
      </x:c>
      <x:c r="AF36" t="n">
        <x:f>IF(AC36=0,0,1-AD36)</x:f>
        <x:v>0</x:v>
      </x:c>
    </x:row>
    <x:row r="37" ht="102" customHeight="1">
      <x:c r="A37" s="55" t="str">
        <x:v>S26PRJ01</x:v>
      </x:c>
      <x:c r="B37" s="55" t="str">
        <x:v>P5-SITE-1</x:v>
      </x:c>
      <x:c r="C37" s="60" t="n">
        <x:v>46266</x:v>
      </x:c>
      <x:c r="D37" s="55" t="str">
        <x:v>S26PRJ01-PKG-001</x:v>
      </x:c>
      <x:c r="E37" s="55" t="str">
        <x:v>Reinforcement lot</x:v>
      </x:c>
      <x:c r="F37" s="55" t="str">
        <x:v>S26PRJ01-ACT-01</x:v>
      </x:c>
      <x:c r="G37" s="55" t="str">
        <x:v>Fictional Equipment Supplier P5-1</x:v>
      </x:c>
      <x:c r="H37" s="55" t="str">
        <x:v>tonnes</x:v>
      </x:c>
      <x:c r="I37" s="63" t="n">
        <x:v>140</x:v>
      </x:c>
      <x:c r="J37" s="63" t="n">
        <x:v>0</x:v>
      </x:c>
      <x:c r="K37" s="55" t="n">
        <x:v>0</x:v>
      </x:c>
      <x:c r="L37" s="65" t="n">
        <x:f>IF(COUNT(I37,K37)&lt;2,"",I37-K37)</x:f>
        <x:v>140</x:v>
      </x:c>
      <x:c r="M37" s="56" t="n">
        <x:v>46295</x:v>
      </x:c>
      <x:c r="N37" s="56" t="n">
        <x:v>46287</x:v>
      </x:c>
      <x:c r="O37" s="56" t="str">
        <x:v>Not yet occurred</x:v>
      </x:c>
      <x:c r="P37" s="55" t="str">
        <x:v>Requirement finalised</x:v>
      </x:c>
      <x:c r="Q37" s="55" t="str">
        <x:v>Enquiry issued</x:v>
      </x:c>
      <x:c r="R37" s="56" t="n">
        <x:v>46287</x:v>
      </x:c>
      <x:c r="S37" s="56" t="n">
        <x:v>46295</x:v>
      </x:c>
      <x:c r="T37" s="56" t="str">
        <x:v>Not yet occurred</x:v>
      </x:c>
      <x:c r="U37" s="55" t="str">
        <x:v>Enquiry release pending.</x:v>
      </x:c>
      <x:c r="V37" s="55" t="str">
        <x:v>Transformer foundation execution</x:v>
      </x:c>
      <x:c r="W37" s="55" t="str">
        <x:v>Confirm vendor schedule and expedite the next stage.</x:v>
      </x:c>
      <x:c r="X37" s="55" t="str">
        <x:v>Demo Procurement Lead P5</x:v>
      </x:c>
      <x:c r="Y37" s="55" t="str">
        <x:v>S26PRJ01-DEC-01</x:v>
      </x:c>
      <x:c r="Z37" s="56" t="n">
        <x:v>46285</x:v>
      </x:c>
      <x:c r="AA37" s="55" t="str">
        <x:v>FICTIONAL TEST DATA. All people, quantities, money, dates and statuses are invented; not project records.</x:v>
      </x:c>
      <x:c r="AC37" t="n">
        <x:f>IF(OR(A37="",D37=""),0,IF(COUNTIFS($A$17:A37,A37,$D$17:D37,D37)=1,1,0))</x:f>
        <x:v>1</x:v>
      </x:c>
      <x:c r="AD37" t="n">
        <x:f>IF(AC37=0,0,IF(OR(ISNUMBER(O37),P37="PO issued",P37="Under manufacturing",P37="Inspection pending",P37="Ready for dispatch",P37="Dispatched",P37="Partly received",P37="Fully received"),1,0))</x:f>
        <x:v>0</x:v>
      </x:c>
      <x:c r="AE37" t="n">
        <x:f>IF(AC37=0,0,IF(P37="Fully received",1,0))</x:f>
        <x:v>0</x:v>
      </x:c>
      <x:c r="AF37" t="n">
        <x:f>IF(AC37=0,0,1-AD37)</x:f>
        <x:v>1</x:v>
      </x:c>
    </x:row>
    <x:row r="38" ht="102" customHeight="1">
      <x:c r="A38" s="55" t="str">
        <x:v>S26PRJ01</x:v>
      </x:c>
      <x:c r="B38" s="55" t="str">
        <x:v>P5-SITE-2</x:v>
      </x:c>
      <x:c r="C38" s="60" t="n">
        <x:v>46266</x:v>
      </x:c>
      <x:c r="D38" s="55" t="str">
        <x:v>S26PRJ01-PKG-002</x:v>
      </x:c>
      <x:c r="E38" s="55" t="str">
        <x:v>Pipe fittings lot</x:v>
      </x:c>
      <x:c r="F38" s="55" t="str">
        <x:v>S26PRJ01-ACT-02</x:v>
      </x:c>
      <x:c r="G38" s="55" t="str">
        <x:v>Fictional Equipment Supplier P5-2</x:v>
      </x:c>
      <x:c r="H38" s="55" t="str">
        <x:v>numbers</x:v>
      </x:c>
      <x:c r="I38" s="63" t="n">
        <x:v>160</x:v>
      </x:c>
      <x:c r="J38" s="63" t="n">
        <x:v>160</x:v>
      </x:c>
      <x:c r="K38" s="55" t="n">
        <x:v>0</x:v>
      </x:c>
      <x:c r="L38" s="65" t="n">
        <x:f>IF(COUNT(I38,K38)&lt;2,"",I38-K38)</x:f>
        <x:v>160</x:v>
      </x:c>
      <x:c r="M38" s="56" t="n">
        <x:v>46293</x:v>
      </x:c>
      <x:c r="N38" s="56" t="n">
        <x:v>46273</x:v>
      </x:c>
      <x:c r="O38" s="56" t="n">
        <x:v>46274</x:v>
      </x:c>
      <x:c r="P38" s="55" t="str">
        <x:v>PO issued</x:v>
      </x:c>
      <x:c r="Q38" s="55" t="str">
        <x:v>Under manufacturing</x:v>
      </x:c>
      <x:c r="R38" s="56" t="n">
        <x:v>46288</x:v>
      </x:c>
      <x:c r="S38" s="56" t="n">
        <x:v>46293</x:v>
      </x:c>
      <x:c r="T38" s="56" t="str">
        <x:v>Not yet occurred</x:v>
      </x:c>
      <x:c r="U38" s="55" t="str">
        <x:v>Vendor manufacturing and inspection sequence.</x:v>
      </x:c>
      <x:c r="V38" s="55" t="str">
        <x:v>Cable trench execution</x:v>
      </x:c>
      <x:c r="W38" s="55" t="str">
        <x:v>Confirm vendor schedule and expedite the next stage.</x:v>
      </x:c>
      <x:c r="X38" s="55" t="str">
        <x:v>Demo Procurement Lead P5</x:v>
      </x:c>
      <x:c r="Y38" s="55" t="str">
        <x:v>S26PRJ01-DEC-02</x:v>
      </x:c>
      <x:c r="Z38" s="56" t="n">
        <x:v>46285</x:v>
      </x:c>
      <x:c r="AA38" s="55" t="str">
        <x:v>FICTIONAL TEST DATA. All people, quantities, money, dates and statuses are invented; not project records.</x:v>
      </x:c>
      <x:c r="AC38" t="n">
        <x:f>IF(OR(A38="",D38=""),0,IF(COUNTIFS($A$17:A38,A38,$D$17:D38,D38)=1,1,0))</x:f>
        <x:v>1</x:v>
      </x:c>
      <x:c r="AD38" t="n">
        <x:f>IF(AC38=0,0,IF(OR(ISNUMBER(O38),P38="PO issued",P38="Under manufacturing",P38="Inspection pending",P38="Ready for dispatch",P38="Dispatched",P38="Partly received",P38="Fully received"),1,0))</x:f>
        <x:v>1</x:v>
      </x:c>
      <x:c r="AE38" t="n">
        <x:f>IF(AC38=0,0,IF(P38="Fully received",1,0))</x:f>
        <x:v>0</x:v>
      </x:c>
      <x:c r="AF38" t="n">
        <x:f>IF(AC38=0,0,1-AD38)</x:f>
        <x:v>0</x:v>
      </x:c>
    </x:row>
    <x:row r="39" ht="102" customHeight="1">
      <x:c r="A39" s="55" t="str">
        <x:v>S26PRJ01</x:v>
      </x:c>
      <x:c r="B39" s="55" t="str">
        <x:v>P5-SITE-1</x:v>
      </x:c>
      <x:c r="C39" s="60" t="n">
        <x:v>46266</x:v>
      </x:c>
      <x:c r="D39" s="55" t="str">
        <x:v>S26PRJ01-PKG-003</x:v>
      </x:c>
      <x:c r="E39" s="55" t="str">
        <x:v>Electrical panels lot</x:v>
      </x:c>
      <x:c r="F39" s="55" t="str">
        <x:v>S26PRJ01-ACT-03</x:v>
      </x:c>
      <x:c r="G39" s="55" t="str">
        <x:v>Fictional Equipment Supplier P5-3</x:v>
      </x:c>
      <x:c r="H39" s="55" t="str">
        <x:v>numbers</x:v>
      </x:c>
      <x:c r="I39" s="63" t="n">
        <x:v>180</x:v>
      </x:c>
      <x:c r="J39" s="63" t="n">
        <x:v>180</x:v>
      </x:c>
      <x:c r="K39" s="55" t="n">
        <x:v>0</x:v>
      </x:c>
      <x:c r="L39" s="65" t="n">
        <x:f>IF(COUNT(I39,K39)&lt;2,"",I39-K39)</x:f>
        <x:v>180</x:v>
      </x:c>
      <x:c r="M39" s="56" t="n">
        <x:v>46294</x:v>
      </x:c>
      <x:c r="N39" s="56" t="n">
        <x:v>46272</x:v>
      </x:c>
      <x:c r="O39" s="56" t="n">
        <x:v>46272</x:v>
      </x:c>
      <x:c r="P39" s="55" t="str">
        <x:v>Under manufacturing</x:v>
      </x:c>
      <x:c r="Q39" s="55" t="str">
        <x:v>Inspection pending</x:v>
      </x:c>
      <x:c r="R39" s="56" t="n">
        <x:v>46289</x:v>
      </x:c>
      <x:c r="S39" s="56" t="n">
        <x:v>46294</x:v>
      </x:c>
      <x:c r="T39" s="56" t="str">
        <x:v>Not yet occurred</x:v>
      </x:c>
      <x:c r="U39" s="55" t="str">
        <x:v>Vendor manufacturing and inspection sequence.</x:v>
      </x:c>
      <x:c r="V39" s="55" t="str">
        <x:v>Control room execution</x:v>
      </x:c>
      <x:c r="W39" s="55" t="str">
        <x:v>Confirm vendor schedule and expedite the next stage.</x:v>
      </x:c>
      <x:c r="X39" s="55" t="str">
        <x:v>Demo Procurement Lead P5</x:v>
      </x:c>
      <x:c r="Y39" s="55" t="str">
        <x:v>S26PRJ01-DEC-03</x:v>
      </x:c>
      <x:c r="Z39" s="56" t="n">
        <x:v>46285</x:v>
      </x:c>
      <x:c r="AA39" s="55" t="str">
        <x:v>FICTIONAL TEST DATA. All people, quantities, money, dates and statuses are invented; not project records.</x:v>
      </x:c>
      <x:c r="AC39" t="n">
        <x:f>IF(OR(A39="",D39=""),0,IF(COUNTIFS($A$17:A39,A39,$D$17:D39,D39)=1,1,0))</x:f>
        <x:v>1</x:v>
      </x:c>
      <x:c r="AD39" t="n">
        <x:f>IF(AC39=0,0,IF(OR(ISNUMBER(O39),P39="PO issued",P39="Under manufacturing",P39="Inspection pending",P39="Ready for dispatch",P39="Dispatched",P39="Partly received",P39="Fully received"),1,0))</x:f>
        <x:v>1</x:v>
      </x:c>
      <x:c r="AE39" t="n">
        <x:f>IF(AC39=0,0,IF(P39="Fully received",1,0))</x:f>
        <x:v>0</x:v>
      </x:c>
      <x:c r="AF39" t="n">
        <x:f>IF(AC39=0,0,1-AD39)</x:f>
        <x:v>0</x:v>
      </x:c>
    </x:row>
    <x:row r="40" ht="102" customHeight="1">
      <x:c r="A40" s="55" t="str">
        <x:v>S26PRJ01</x:v>
      </x:c>
      <x:c r="B40" s="55" t="str">
        <x:v>P5-SITE-2</x:v>
      </x:c>
      <x:c r="C40" s="60" t="n">
        <x:v>46266</x:v>
      </x:c>
      <x:c r="D40" s="55" t="str">
        <x:v>S26PRJ01-PKG-004</x:v>
      </x:c>
      <x:c r="E40" s="55" t="str">
        <x:v>Valve assembly lot</x:v>
      </x:c>
      <x:c r="F40" s="55" t="str">
        <x:v>S26PRJ01-ACT-04</x:v>
      </x:c>
      <x:c r="G40" s="55" t="str">
        <x:v>Fictional Equipment Supplier P5-4</x:v>
      </x:c>
      <x:c r="H40" s="55" t="str">
        <x:v>numbers</x:v>
      </x:c>
      <x:c r="I40" s="63" t="n">
        <x:v>200</x:v>
      </x:c>
      <x:c r="J40" s="63" t="n">
        <x:v>200</x:v>
      </x:c>
      <x:c r="K40" s="55" t="n">
        <x:v>100</x:v>
      </x:c>
      <x:c r="L40" s="65" t="n">
        <x:f>IF(COUNT(I40,K40)&lt;2,"",I40-K40)</x:f>
        <x:v>100</x:v>
      </x:c>
      <x:c r="M40" s="56" t="n">
        <x:v>46290</x:v>
      </x:c>
      <x:c r="N40" s="56" t="n">
        <x:v>46270</x:v>
      </x:c>
      <x:c r="O40" s="56" t="n">
        <x:v>46270</x:v>
      </x:c>
      <x:c r="P40" s="55" t="str">
        <x:v>Partly received</x:v>
      </x:c>
      <x:c r="Q40" s="55" t="str">
        <x:v>Fully received</x:v>
      </x:c>
      <x:c r="R40" s="56" t="n">
        <x:v>46290</x:v>
      </x:c>
      <x:c r="S40" s="56" t="n">
        <x:v>46290</x:v>
      </x:c>
      <x:c r="T40" s="56" t="str">
        <x:v>Not yet occurred</x:v>
      </x:c>
      <x:c r="U40" s="55" t="str">
        <x:v>Balance consignment in transit.</x:v>
      </x:c>
      <x:c r="V40" s="55" t="str">
        <x:v>Switchyard road execution</x:v>
      </x:c>
      <x:c r="W40" s="55" t="str">
        <x:v>Confirm vendor schedule and expedite the next stage.</x:v>
      </x:c>
      <x:c r="X40" s="55" t="str">
        <x:v>Demo Procurement Lead P5</x:v>
      </x:c>
      <x:c r="Y40" s="55" t="str">
        <x:v>S26PRJ01-DEC-04</x:v>
      </x:c>
      <x:c r="Z40" s="56" t="n">
        <x:v>46285</x:v>
      </x:c>
      <x:c r="AA40" s="55" t="str">
        <x:v>FICTIONAL TEST DATA. All people, quantities, money, dates and statuses are invented; not project records.</x:v>
      </x:c>
      <x:c r="AC40" t="n">
        <x:f>IF(OR(A40="",D40=""),0,IF(COUNTIFS($A$17:A40,A40,$D$17:D40,D40)=1,1,0))</x:f>
        <x:v>1</x:v>
      </x:c>
      <x:c r="AD40" t="n">
        <x:f>IF(AC40=0,0,IF(OR(ISNUMBER(O40),P40="PO issued",P40="Under manufacturing",P40="Inspection pending",P40="Ready for dispatch",P40="Dispatched",P40="Partly received",P40="Fully received"),1,0))</x:f>
        <x:v>1</x:v>
      </x:c>
      <x:c r="AE40" t="n">
        <x:f>IF(AC40=0,0,IF(P40="Fully received",1,0))</x:f>
        <x:v>0</x:v>
      </x:c>
      <x:c r="AF40" t="n">
        <x:f>IF(AC40=0,0,1-AD40)</x:f>
        <x:v>0</x:v>
      </x:c>
    </x:row>
    <x:row r="41" ht="102" customHeight="1">
      <x:c r="A41" s="55" t="str">
        <x:v>S26PRJ01</x:v>
      </x:c>
      <x:c r="B41" s="55" t="str">
        <x:v>P5-SITE-1</x:v>
      </x:c>
      <x:c r="C41" s="60" t="n">
        <x:v>46266</x:v>
      </x:c>
      <x:c r="D41" s="55" t="str">
        <x:v>S26PRJ01-PKG-005</x:v>
      </x:c>
      <x:c r="E41" s="55" t="str">
        <x:v>Structural steel lot</x:v>
      </x:c>
      <x:c r="F41" s="55" t="str">
        <x:v>S26PRJ01-ACT-01</x:v>
      </x:c>
      <x:c r="G41" s="55" t="str">
        <x:v>Fictional Equipment Supplier P5-5</x:v>
      </x:c>
      <x:c r="H41" s="55" t="str">
        <x:v>tonnes</x:v>
      </x:c>
      <x:c r="I41" s="63" t="n">
        <x:v>220</x:v>
      </x:c>
      <x:c r="J41" s="63" t="n">
        <x:v>220</x:v>
      </x:c>
      <x:c r="K41" s="55" t="n">
        <x:v>220</x:v>
      </x:c>
      <x:c r="L41" s="65" t="n">
        <x:f>IF(COUNT(I41,K41)&lt;2,"",I41-K41)</x:f>
        <x:v>0</x:v>
      </x:c>
      <x:c r="M41" s="56" t="n">
        <x:v>46283</x:v>
      </x:c>
      <x:c r="N41" s="56" t="n">
        <x:v>46267</x:v>
      </x:c>
      <x:c r="O41" s="56" t="n">
        <x:v>46267</x:v>
      </x:c>
      <x:c r="P41" s="55" t="str">
        <x:v>Fully received</x:v>
      </x:c>
      <x:c r="Q41" s="55" t="str">
        <x:v>Fully received</x:v>
      </x:c>
      <x:c r="R41" s="56" t="n">
        <x:v>46282</x:v>
      </x:c>
      <x:c r="S41" s="56" t="n">
        <x:v>46282</x:v>
      </x:c>
      <x:c r="T41" s="56" t="n">
        <x:v>46282</x:v>
      </x:c>
      <x:c r="U41" s="55" t="str">
        <x:v>None; delivery complete.</x:v>
      </x:c>
      <x:c r="V41" s="55" t="str">
        <x:v>Transformer foundation execution</x:v>
      </x:c>
      <x:c r="W41" s="55" t="str">
        <x:v>No further intervention.</x:v>
      </x:c>
      <x:c r="X41" s="55" t="str">
        <x:v>Demo Procurement Lead P5</x:v>
      </x:c>
      <x:c r="Y41" s="55" t="str">
        <x:v>S26PRJ01-DEC-01</x:v>
      </x:c>
      <x:c r="Z41" s="56" t="n">
        <x:v>46285</x:v>
      </x:c>
      <x:c r="AA41" s="55" t="str">
        <x:v>FICTIONAL TEST DATA. All people, quantities, money, dates and statuses are invented; not project records.</x:v>
      </x:c>
      <x:c r="AC41" t="n">
        <x:f>IF(OR(A41="",D41=""),0,IF(COUNTIFS($A$17:A41,A41,$D$17:D41,D41)=1,1,0))</x:f>
        <x:v>1</x:v>
      </x:c>
      <x:c r="AD41" t="n">
        <x:f>IF(AC41=0,0,IF(OR(ISNUMBER(O41),P41="PO issued",P41="Under manufacturing",P41="Inspection pending",P41="Ready for dispatch",P41="Dispatched",P41="Partly received",P41="Fully received"),1,0))</x:f>
        <x:v>1</x:v>
      </x:c>
      <x:c r="AE41" t="n">
        <x:f>IF(AC41=0,0,IF(P41="Fully received",1,0))</x:f>
        <x:v>1</x:v>
      </x:c>
      <x:c r="AF41" t="n">
        <x:f>IF(AC41=0,0,1-AD41)</x:f>
        <x:v>0</x:v>
      </x:c>
    </x:row>
    <x:row r="42" ht="28" customHeight="1">
      <x:c r="A42" s="55"/>
      <x:c r="B42" s="55"/>
      <x:c r="C42" s="60"/>
      <x:c r="D42" s="55"/>
      <x:c r="E42" s="55"/>
      <x:c r="F42" s="55"/>
      <x:c r="G42" s="55"/>
      <x:c r="H42" s="55"/>
      <x:c r="I42" s="63"/>
      <x:c r="J42" s="63"/>
      <x:c r="K42" s="55"/>
      <x:c r="L42" s="65" t="str">
        <x:f>IF(COUNT(I42,K42)&lt;2,"",I42-K42)</x:f>
      </x:c>
      <x:c r="M42" s="56"/>
      <x:c r="N42" s="56"/>
      <x:c r="O42" s="56"/>
      <x:c r="P42" s="55"/>
      <x:c r="Q42" s="55"/>
      <x:c r="R42" s="56"/>
      <x:c r="S42" s="56"/>
      <x:c r="T42" s="56"/>
      <x:c r="U42" s="55"/>
      <x:c r="V42" s="55"/>
      <x:c r="W42" s="55"/>
      <x:c r="X42" s="55"/>
      <x:c r="Y42" s="55"/>
      <x:c r="Z42" s="56"/>
      <x:c r="AA42" s="55"/>
      <x:c r="AC42" t="n">
        <x:f>IF(OR(A42="",D42=""),0,IF(COUNTIFS($A$17:A42,A42,$D$17:D42,D42)=1,1,0))</x:f>
        <x:v>0</x:v>
      </x:c>
      <x:c r="AD42" t="n">
        <x:f>IF(AC42=0,0,IF(OR(ISNUMBER(O42),P42="PO issued",P42="Under manufacturing",P42="Inspection pending",P42="Ready for dispatch",P42="Dispatched",P42="Partly received",P42="Fully received"),1,0))</x:f>
        <x:v>0</x:v>
      </x:c>
      <x:c r="AE42" t="n">
        <x:f>IF(AC42=0,0,IF(P42="Fully received",1,0))</x:f>
        <x:v>0</x:v>
      </x:c>
      <x:c r="AF42" t="n">
        <x:f>IF(AC42=0,0,1-AD42)</x:f>
        <x:v>0</x:v>
      </x:c>
    </x:row>
    <x:row r="43" ht="28" customHeight="1">
      <x:c r="A43" s="55"/>
      <x:c r="B43" s="55"/>
      <x:c r="C43" s="60"/>
      <x:c r="D43" s="55"/>
      <x:c r="E43" s="55"/>
      <x:c r="F43" s="55"/>
      <x:c r="G43" s="55"/>
      <x:c r="H43" s="55"/>
      <x:c r="I43" s="63"/>
      <x:c r="J43" s="63"/>
      <x:c r="K43" s="55"/>
      <x:c r="L43" s="65" t="str">
        <x:f>IF(COUNT(I43,K43)&lt;2,"",I43-K43)</x:f>
      </x:c>
      <x:c r="M43" s="56"/>
      <x:c r="N43" s="56"/>
      <x:c r="O43" s="56"/>
      <x:c r="P43" s="55"/>
      <x:c r="Q43" s="55"/>
      <x:c r="R43" s="56"/>
      <x:c r="S43" s="56"/>
      <x:c r="T43" s="56"/>
      <x:c r="U43" s="55"/>
      <x:c r="V43" s="55"/>
      <x:c r="W43" s="55"/>
      <x:c r="X43" s="55"/>
      <x:c r="Y43" s="55"/>
      <x:c r="Z43" s="56"/>
      <x:c r="AA43" s="55"/>
      <x:c r="AC43" t="n">
        <x:f>IF(OR(A43="",D43=""),0,IF(COUNTIFS($A$17:A43,A43,$D$17:D43,D43)=1,1,0))</x:f>
        <x:v>0</x:v>
      </x:c>
      <x:c r="AD43" t="n">
        <x:f>IF(AC43=0,0,IF(OR(ISNUMBER(O43),P43="PO issued",P43="Under manufacturing",P43="Inspection pending",P43="Ready for dispatch",P43="Dispatched",P43="Partly received",P43="Fully received"),1,0))</x:f>
        <x:v>0</x:v>
      </x:c>
      <x:c r="AE43" t="n">
        <x:f>IF(AC43=0,0,IF(P43="Fully received",1,0))</x:f>
        <x:v>0</x:v>
      </x:c>
      <x:c r="AF43" t="n">
        <x:f>IF(AC43=0,0,1-AD43)</x:f>
        <x:v>0</x:v>
      </x:c>
    </x:row>
    <x:row r="44" ht="28" customHeight="1">
      <x:c r="A44" s="55"/>
      <x:c r="B44" s="55"/>
      <x:c r="C44" s="60"/>
      <x:c r="D44" s="55"/>
      <x:c r="E44" s="55"/>
      <x:c r="F44" s="55"/>
      <x:c r="G44" s="55"/>
      <x:c r="H44" s="55"/>
      <x:c r="I44" s="63"/>
      <x:c r="J44" s="63"/>
      <x:c r="K44" s="55"/>
      <x:c r="L44" s="65" t="str">
        <x:f>IF(COUNT(I44,K44)&lt;2,"",I44-K44)</x:f>
      </x:c>
      <x:c r="M44" s="56"/>
      <x:c r="N44" s="56"/>
      <x:c r="O44" s="56"/>
      <x:c r="P44" s="55"/>
      <x:c r="Q44" s="55"/>
      <x:c r="R44" s="56"/>
      <x:c r="S44" s="56"/>
      <x:c r="T44" s="56"/>
      <x:c r="U44" s="55"/>
      <x:c r="V44" s="55"/>
      <x:c r="W44" s="55"/>
      <x:c r="X44" s="55"/>
      <x:c r="Y44" s="55"/>
      <x:c r="Z44" s="56"/>
      <x:c r="AA44" s="55"/>
      <x:c r="AC44" t="n">
        <x:f>IF(OR(A44="",D44=""),0,IF(COUNTIFS($A$17:A44,A44,$D$17:D44,D44)=1,1,0))</x:f>
        <x:v>0</x:v>
      </x:c>
      <x:c r="AD44" t="n">
        <x:f>IF(AC44=0,0,IF(OR(ISNUMBER(O44),P44="PO issued",P44="Under manufacturing",P44="Inspection pending",P44="Ready for dispatch",P44="Dispatched",P44="Partly received",P44="Fully received"),1,0))</x:f>
        <x:v>0</x:v>
      </x:c>
      <x:c r="AE44" t="n">
        <x:f>IF(AC44=0,0,IF(P44="Fully received",1,0))</x:f>
        <x:v>0</x:v>
      </x:c>
      <x:c r="AF44" t="n">
        <x:f>IF(AC44=0,0,1-AD44)</x:f>
        <x:v>0</x:v>
      </x:c>
    </x:row>
    <x:row r="45" ht="28" customHeight="1">
      <x:c r="A45" s="55"/>
      <x:c r="B45" s="55"/>
      <x:c r="C45" s="60"/>
      <x:c r="D45" s="55"/>
      <x:c r="E45" s="55"/>
      <x:c r="F45" s="55"/>
      <x:c r="G45" s="55"/>
      <x:c r="H45" s="55"/>
      <x:c r="I45" s="63"/>
      <x:c r="J45" s="63"/>
      <x:c r="K45" s="55"/>
      <x:c r="L45" s="65" t="str">
        <x:f>IF(COUNT(I45,K45)&lt;2,"",I45-K45)</x:f>
      </x:c>
      <x:c r="M45" s="56"/>
      <x:c r="N45" s="56"/>
      <x:c r="O45" s="56"/>
      <x:c r="P45" s="55"/>
      <x:c r="Q45" s="55"/>
      <x:c r="R45" s="56"/>
      <x:c r="S45" s="56"/>
      <x:c r="T45" s="56"/>
      <x:c r="U45" s="55"/>
      <x:c r="V45" s="55"/>
      <x:c r="W45" s="55"/>
      <x:c r="X45" s="55"/>
      <x:c r="Y45" s="55"/>
      <x:c r="Z45" s="56"/>
      <x:c r="AA45" s="55"/>
      <x:c r="AC45" t="n">
        <x:f>IF(OR(A45="",D45=""),0,IF(COUNTIFS($A$17:A45,A45,$D$17:D45,D45)=1,1,0))</x:f>
        <x:v>0</x:v>
      </x:c>
      <x:c r="AD45" t="n">
        <x:f>IF(AC45=0,0,IF(OR(ISNUMBER(O45),P45="PO issued",P45="Under manufacturing",P45="Inspection pending",P45="Ready for dispatch",P45="Dispatched",P45="Partly received",P45="Fully received"),1,0))</x:f>
        <x:v>0</x:v>
      </x:c>
      <x:c r="AE45" t="n">
        <x:f>IF(AC45=0,0,IF(P45="Fully received",1,0))</x:f>
        <x:v>0</x:v>
      </x:c>
      <x:c r="AF45" t="n">
        <x:f>IF(AC45=0,0,1-AD45)</x:f>
        <x:v>0</x:v>
      </x:c>
    </x:row>
    <x:row r="46" ht="28" customHeight="1">
      <x:c r="A46" s="55"/>
      <x:c r="B46" s="55"/>
      <x:c r="C46" s="60"/>
      <x:c r="D46" s="55"/>
      <x:c r="E46" s="55"/>
      <x:c r="F46" s="55"/>
      <x:c r="G46" s="55"/>
      <x:c r="H46" s="55"/>
      <x:c r="I46" s="63"/>
      <x:c r="J46" s="63"/>
      <x:c r="K46" s="55"/>
      <x:c r="L46" s="65" t="str">
        <x:f>IF(COUNT(I46,K46)&lt;2,"",I46-K46)</x:f>
      </x:c>
      <x:c r="M46" s="56"/>
      <x:c r="N46" s="56"/>
      <x:c r="O46" s="56"/>
      <x:c r="P46" s="55"/>
      <x:c r="Q46" s="55"/>
      <x:c r="R46" s="56"/>
      <x:c r="S46" s="56"/>
      <x:c r="T46" s="56"/>
      <x:c r="U46" s="55"/>
      <x:c r="V46" s="55"/>
      <x:c r="W46" s="55"/>
      <x:c r="X46" s="55"/>
      <x:c r="Y46" s="55"/>
      <x:c r="Z46" s="56"/>
      <x:c r="AA46" s="55"/>
      <x:c r="AC46" t="n">
        <x:f>IF(OR(A46="",D46=""),0,IF(COUNTIFS($A$17:A46,A46,$D$17:D46,D46)=1,1,0))</x:f>
        <x:v>0</x:v>
      </x:c>
      <x:c r="AD46" t="n">
        <x:f>IF(AC46=0,0,IF(OR(ISNUMBER(O46),P46="PO issued",P46="Under manufacturing",P46="Inspection pending",P46="Ready for dispatch",P46="Dispatched",P46="Partly received",P46="Fully received"),1,0))</x:f>
        <x:v>0</x:v>
      </x:c>
      <x:c r="AE46" t="n">
        <x:f>IF(AC46=0,0,IF(P46="Fully received",1,0))</x:f>
        <x:v>0</x:v>
      </x:c>
      <x:c r="AF46" t="n">
        <x:f>IF(AC46=0,0,1-AD46)</x:f>
        <x:v>0</x:v>
      </x:c>
    </x:row>
    <x:row r="47" ht="28" customHeight="1">
      <x:c r="A47" s="55"/>
      <x:c r="B47" s="55"/>
      <x:c r="C47" s="60"/>
      <x:c r="D47" s="55"/>
      <x:c r="E47" s="55"/>
      <x:c r="F47" s="55"/>
      <x:c r="G47" s="55"/>
      <x:c r="H47" s="55"/>
      <x:c r="I47" s="63"/>
      <x:c r="J47" s="63"/>
      <x:c r="K47" s="55"/>
      <x:c r="L47" s="65" t="str">
        <x:f>IF(COUNT(I47,K47)&lt;2,"",I47-K47)</x:f>
      </x:c>
      <x:c r="M47" s="56"/>
      <x:c r="N47" s="56"/>
      <x:c r="O47" s="56"/>
      <x:c r="P47" s="55"/>
      <x:c r="Q47" s="55"/>
      <x:c r="R47" s="56"/>
      <x:c r="S47" s="56"/>
      <x:c r="T47" s="56"/>
      <x:c r="U47" s="55"/>
      <x:c r="V47" s="55"/>
      <x:c r="W47" s="55"/>
      <x:c r="X47" s="55"/>
      <x:c r="Y47" s="55"/>
      <x:c r="Z47" s="56"/>
      <x:c r="AA47" s="55"/>
      <x:c r="AC47" t="n">
        <x:f>IF(OR(A47="",D47=""),0,IF(COUNTIFS($A$17:A47,A47,$D$17:D47,D47)=1,1,0))</x:f>
        <x:v>0</x:v>
      </x:c>
      <x:c r="AD47" t="n">
        <x:f>IF(AC47=0,0,IF(OR(ISNUMBER(O47),P47="PO issued",P47="Under manufacturing",P47="Inspection pending",P47="Ready for dispatch",P47="Dispatched",P47="Partly received",P47="Fully received"),1,0))</x:f>
        <x:v>0</x:v>
      </x:c>
      <x:c r="AE47" t="n">
        <x:f>IF(AC47=0,0,IF(P47="Fully received",1,0))</x:f>
        <x:v>0</x:v>
      </x:c>
      <x:c r="AF47" t="n">
        <x:f>IF(AC47=0,0,1-AD47)</x:f>
        <x:v>0</x:v>
      </x:c>
    </x:row>
    <x:row r="48" ht="28" customHeight="1">
      <x:c r="A48" s="55"/>
      <x:c r="B48" s="55"/>
      <x:c r="C48" s="60"/>
      <x:c r="D48" s="55"/>
      <x:c r="E48" s="55"/>
      <x:c r="F48" s="55"/>
      <x:c r="G48" s="55"/>
      <x:c r="H48" s="55"/>
      <x:c r="I48" s="63"/>
      <x:c r="J48" s="63"/>
      <x:c r="K48" s="55"/>
      <x:c r="L48" s="65" t="str">
        <x:f>IF(COUNT(I48,K48)&lt;2,"",I48-K48)</x:f>
      </x:c>
      <x:c r="M48" s="56"/>
      <x:c r="N48" s="56"/>
      <x:c r="O48" s="56"/>
      <x:c r="P48" s="55"/>
      <x:c r="Q48" s="55"/>
      <x:c r="R48" s="56"/>
      <x:c r="S48" s="56"/>
      <x:c r="T48" s="56"/>
      <x:c r="U48" s="55"/>
      <x:c r="V48" s="55"/>
      <x:c r="W48" s="55"/>
      <x:c r="X48" s="55"/>
      <x:c r="Y48" s="55"/>
      <x:c r="Z48" s="56"/>
      <x:c r="AA48" s="55"/>
      <x:c r="AC48" t="n">
        <x:f>IF(OR(A48="",D48=""),0,IF(COUNTIFS($A$17:A48,A48,$D$17:D48,D48)=1,1,0))</x:f>
        <x:v>0</x:v>
      </x:c>
      <x:c r="AD48" t="n">
        <x:f>IF(AC48=0,0,IF(OR(ISNUMBER(O48),P48="PO issued",P48="Under manufacturing",P48="Inspection pending",P48="Ready for dispatch",P48="Dispatched",P48="Partly received",P48="Fully received"),1,0))</x:f>
        <x:v>0</x:v>
      </x:c>
      <x:c r="AE48" t="n">
        <x:f>IF(AC48=0,0,IF(P48="Fully received",1,0))</x:f>
        <x:v>0</x:v>
      </x:c>
      <x:c r="AF48" t="n">
        <x:f>IF(AC48=0,0,1-AD48)</x:f>
        <x:v>0</x:v>
      </x:c>
    </x:row>
    <x:row r="49" ht="28" customHeight="1">
      <x:c r="A49" s="55"/>
      <x:c r="B49" s="55"/>
      <x:c r="C49" s="60"/>
      <x:c r="D49" s="55"/>
      <x:c r="E49" s="55"/>
      <x:c r="F49" s="55"/>
      <x:c r="G49" s="55"/>
      <x:c r="H49" s="55"/>
      <x:c r="I49" s="63"/>
      <x:c r="J49" s="63"/>
      <x:c r="K49" s="55"/>
      <x:c r="L49" s="65" t="str">
        <x:f>IF(COUNT(I49,K49)&lt;2,"",I49-K49)</x:f>
      </x:c>
      <x:c r="M49" s="56"/>
      <x:c r="N49" s="56"/>
      <x:c r="O49" s="56"/>
      <x:c r="P49" s="55"/>
      <x:c r="Q49" s="55"/>
      <x:c r="R49" s="56"/>
      <x:c r="S49" s="56"/>
      <x:c r="T49" s="56"/>
      <x:c r="U49" s="55"/>
      <x:c r="V49" s="55"/>
      <x:c r="W49" s="55"/>
      <x:c r="X49" s="55"/>
      <x:c r="Y49" s="55"/>
      <x:c r="Z49" s="56"/>
      <x:c r="AA49" s="55"/>
      <x:c r="AC49" t="n">
        <x:f>IF(OR(A49="",D49=""),0,IF(COUNTIFS($A$17:A49,A49,$D$17:D49,D49)=1,1,0))</x:f>
        <x:v>0</x:v>
      </x:c>
      <x:c r="AD49" t="n">
        <x:f>IF(AC49=0,0,IF(OR(ISNUMBER(O49),P49="PO issued",P49="Under manufacturing",P49="Inspection pending",P49="Ready for dispatch",P49="Dispatched",P49="Partly received",P49="Fully received"),1,0))</x:f>
        <x:v>0</x:v>
      </x:c>
      <x:c r="AE49" t="n">
        <x:f>IF(AC49=0,0,IF(P49="Fully received",1,0))</x:f>
        <x:v>0</x:v>
      </x:c>
      <x:c r="AF49" t="n">
        <x:f>IF(AC49=0,0,1-AD49)</x:f>
        <x:v>0</x:v>
      </x:c>
    </x:row>
    <x:row r="50" ht="28" customHeight="1">
      <x:c r="A50" s="55"/>
      <x:c r="B50" s="55"/>
      <x:c r="C50" s="60"/>
      <x:c r="D50" s="55"/>
      <x:c r="E50" s="55"/>
      <x:c r="F50" s="55"/>
      <x:c r="G50" s="55"/>
      <x:c r="H50" s="55"/>
      <x:c r="I50" s="63"/>
      <x:c r="J50" s="63"/>
      <x:c r="K50" s="55"/>
      <x:c r="L50" s="65" t="str">
        <x:f>IF(COUNT(I50,K50)&lt;2,"",I50-K50)</x:f>
      </x:c>
      <x:c r="M50" s="56"/>
      <x:c r="N50" s="56"/>
      <x:c r="O50" s="56"/>
      <x:c r="P50" s="55"/>
      <x:c r="Q50" s="55"/>
      <x:c r="R50" s="56"/>
      <x:c r="S50" s="56"/>
      <x:c r="T50" s="56"/>
      <x:c r="U50" s="55"/>
      <x:c r="V50" s="55"/>
      <x:c r="W50" s="55"/>
      <x:c r="X50" s="55"/>
      <x:c r="Y50" s="55"/>
      <x:c r="Z50" s="56"/>
      <x:c r="AA50" s="55"/>
      <x:c r="AC50" t="n">
        <x:f>IF(OR(A50="",D50=""),0,IF(COUNTIFS($A$17:A50,A50,$D$17:D50,D50)=1,1,0))</x:f>
        <x:v>0</x:v>
      </x:c>
      <x:c r="AD50" t="n">
        <x:f>IF(AC50=0,0,IF(OR(ISNUMBER(O50),P50="PO issued",P50="Under manufacturing",P50="Inspection pending",P50="Ready for dispatch",P50="Dispatched",P50="Partly received",P50="Fully received"),1,0))</x:f>
        <x:v>0</x:v>
      </x:c>
      <x:c r="AE50" t="n">
        <x:f>IF(AC50=0,0,IF(P50="Fully received",1,0))</x:f>
        <x:v>0</x:v>
      </x:c>
      <x:c r="AF50" t="n">
        <x:f>IF(AC50=0,0,1-AD50)</x:f>
        <x:v>0</x:v>
      </x:c>
    </x:row>
    <x:row r="51" ht="28" customHeight="1">
      <x:c r="A51" s="55"/>
      <x:c r="B51" s="55"/>
      <x:c r="C51" s="60"/>
      <x:c r="D51" s="55"/>
      <x:c r="E51" s="55"/>
      <x:c r="F51" s="55"/>
      <x:c r="G51" s="55"/>
      <x:c r="H51" s="55"/>
      <x:c r="I51" s="63"/>
      <x:c r="J51" s="63"/>
      <x:c r="K51" s="55"/>
      <x:c r="L51" s="65" t="str">
        <x:f>IF(COUNT(I51,K51)&lt;2,"",I51-K51)</x:f>
      </x:c>
      <x:c r="M51" s="56"/>
      <x:c r="N51" s="56"/>
      <x:c r="O51" s="56"/>
      <x:c r="P51" s="55"/>
      <x:c r="Q51" s="55"/>
      <x:c r="R51" s="56"/>
      <x:c r="S51" s="56"/>
      <x:c r="T51" s="56"/>
      <x:c r="U51" s="55"/>
      <x:c r="V51" s="55"/>
      <x:c r="W51" s="55"/>
      <x:c r="X51" s="55"/>
      <x:c r="Y51" s="55"/>
      <x:c r="Z51" s="56"/>
      <x:c r="AA51" s="55"/>
      <x:c r="AC51" t="n">
        <x:f>IF(OR(A51="",D51=""),0,IF(COUNTIFS($A$17:A51,A51,$D$17:D51,D51)=1,1,0))</x:f>
        <x:v>0</x:v>
      </x:c>
      <x:c r="AD51" t="n">
        <x:f>IF(AC51=0,0,IF(OR(ISNUMBER(O51),P51="PO issued",P51="Under manufacturing",P51="Inspection pending",P51="Ready for dispatch",P51="Dispatched",P51="Partly received",P51="Fully received"),1,0))</x:f>
        <x:v>0</x:v>
      </x:c>
      <x:c r="AE51" t="n">
        <x:f>IF(AC51=0,0,IF(P51="Fully received",1,0))</x:f>
        <x:v>0</x:v>
      </x:c>
      <x:c r="AF51" t="n">
        <x:f>IF(AC51=0,0,1-AD51)</x:f>
        <x:v>0</x:v>
      </x:c>
    </x:row>
    <x:row r="52" ht="28" customHeight="1">
      <x:c r="A52" s="55"/>
      <x:c r="B52" s="55"/>
      <x:c r="C52" s="60"/>
      <x:c r="D52" s="55"/>
      <x:c r="E52" s="55"/>
      <x:c r="F52" s="55"/>
      <x:c r="G52" s="55"/>
      <x:c r="H52" s="55"/>
      <x:c r="I52" s="63"/>
      <x:c r="J52" s="63"/>
      <x:c r="K52" s="55"/>
      <x:c r="L52" s="65" t="str">
        <x:f>IF(COUNT(I52,K52)&lt;2,"",I52-K52)</x:f>
      </x:c>
      <x:c r="M52" s="56"/>
      <x:c r="N52" s="56"/>
      <x:c r="O52" s="56"/>
      <x:c r="P52" s="55"/>
      <x:c r="Q52" s="55"/>
      <x:c r="R52" s="56"/>
      <x:c r="S52" s="56"/>
      <x:c r="T52" s="56"/>
      <x:c r="U52" s="55"/>
      <x:c r="V52" s="55"/>
      <x:c r="W52" s="55"/>
      <x:c r="X52" s="55"/>
      <x:c r="Y52" s="55"/>
      <x:c r="Z52" s="56"/>
      <x:c r="AA52" s="55"/>
      <x:c r="AC52" t="n">
        <x:f>IF(OR(A52="",D52=""),0,IF(COUNTIFS($A$17:A52,A52,$D$17:D52,D52)=1,1,0))</x:f>
        <x:v>0</x:v>
      </x:c>
      <x:c r="AD52" t="n">
        <x:f>IF(AC52=0,0,IF(OR(ISNUMBER(O52),P52="PO issued",P52="Under manufacturing",P52="Inspection pending",P52="Ready for dispatch",P52="Dispatched",P52="Partly received",P52="Fully received"),1,0))</x:f>
        <x:v>0</x:v>
      </x:c>
      <x:c r="AE52" t="n">
        <x:f>IF(AC52=0,0,IF(P52="Fully received",1,0))</x:f>
        <x:v>0</x:v>
      </x:c>
      <x:c r="AF52" t="n">
        <x:f>IF(AC52=0,0,1-AD52)</x:f>
        <x:v>0</x:v>
      </x:c>
    </x:row>
    <x:row r="53" ht="28" customHeight="1">
      <x:c r="A53" s="55"/>
      <x:c r="B53" s="55"/>
      <x:c r="C53" s="60"/>
      <x:c r="D53" s="55"/>
      <x:c r="E53" s="55"/>
      <x:c r="F53" s="55"/>
      <x:c r="G53" s="55"/>
      <x:c r="H53" s="55"/>
      <x:c r="I53" s="63"/>
      <x:c r="J53" s="63"/>
      <x:c r="K53" s="55"/>
      <x:c r="L53" s="65" t="str">
        <x:f>IF(COUNT(I53,K53)&lt;2,"",I53-K53)</x:f>
      </x:c>
      <x:c r="M53" s="56"/>
      <x:c r="N53" s="56"/>
      <x:c r="O53" s="56"/>
      <x:c r="P53" s="55"/>
      <x:c r="Q53" s="55"/>
      <x:c r="R53" s="56"/>
      <x:c r="S53" s="56"/>
      <x:c r="T53" s="56"/>
      <x:c r="U53" s="55"/>
      <x:c r="V53" s="55"/>
      <x:c r="W53" s="55"/>
      <x:c r="X53" s="55"/>
      <x:c r="Y53" s="55"/>
      <x:c r="Z53" s="56"/>
      <x:c r="AA53" s="55"/>
      <x:c r="AC53" t="n">
        <x:f>IF(OR(A53="",D53=""),0,IF(COUNTIFS($A$17:A53,A53,$D$17:D53,D53)=1,1,0))</x:f>
        <x:v>0</x:v>
      </x:c>
      <x:c r="AD53" t="n">
        <x:f>IF(AC53=0,0,IF(OR(ISNUMBER(O53),P53="PO issued",P53="Under manufacturing",P53="Inspection pending",P53="Ready for dispatch",P53="Dispatched",P53="Partly received",P53="Fully received"),1,0))</x:f>
        <x:v>0</x:v>
      </x:c>
      <x:c r="AE53" t="n">
        <x:f>IF(AC53=0,0,IF(P53="Fully received",1,0))</x:f>
        <x:v>0</x:v>
      </x:c>
      <x:c r="AF53" t="n">
        <x:f>IF(AC53=0,0,1-AD53)</x:f>
        <x:v>0</x:v>
      </x:c>
    </x:row>
    <x:row r="54" ht="28" customHeight="1">
      <x:c r="A54" s="55"/>
      <x:c r="B54" s="55"/>
      <x:c r="C54" s="60"/>
      <x:c r="D54" s="55"/>
      <x:c r="E54" s="55"/>
      <x:c r="F54" s="55"/>
      <x:c r="G54" s="55"/>
      <x:c r="H54" s="55"/>
      <x:c r="I54" s="63"/>
      <x:c r="J54" s="63"/>
      <x:c r="K54" s="55"/>
      <x:c r="L54" s="65" t="str">
        <x:f>IF(COUNT(I54,K54)&lt;2,"",I54-K54)</x:f>
      </x:c>
      <x:c r="M54" s="56"/>
      <x:c r="N54" s="56"/>
      <x:c r="O54" s="56"/>
      <x:c r="P54" s="55"/>
      <x:c r="Q54" s="55"/>
      <x:c r="R54" s="56"/>
      <x:c r="S54" s="56"/>
      <x:c r="T54" s="56"/>
      <x:c r="U54" s="55"/>
      <x:c r="V54" s="55"/>
      <x:c r="W54" s="55"/>
      <x:c r="X54" s="55"/>
      <x:c r="Y54" s="55"/>
      <x:c r="Z54" s="56"/>
      <x:c r="AA54" s="55"/>
      <x:c r="AC54" t="n">
        <x:f>IF(OR(A54="",D54=""),0,IF(COUNTIFS($A$17:A54,A54,$D$17:D54,D54)=1,1,0))</x:f>
        <x:v>0</x:v>
      </x:c>
      <x:c r="AD54" t="n">
        <x:f>IF(AC54=0,0,IF(OR(ISNUMBER(O54),P54="PO issued",P54="Under manufacturing",P54="Inspection pending",P54="Ready for dispatch",P54="Dispatched",P54="Partly received",P54="Fully received"),1,0))</x:f>
        <x:v>0</x:v>
      </x:c>
      <x:c r="AE54" t="n">
        <x:f>IF(AC54=0,0,IF(P54="Fully received",1,0))</x:f>
        <x:v>0</x:v>
      </x:c>
      <x:c r="AF54" t="n">
        <x:f>IF(AC54=0,0,1-AD54)</x:f>
        <x:v>0</x:v>
      </x:c>
    </x:row>
    <x:row r="55" ht="28" customHeight="1">
      <x:c r="A55" s="55"/>
      <x:c r="B55" s="55"/>
      <x:c r="C55" s="60"/>
      <x:c r="D55" s="55"/>
      <x:c r="E55" s="55"/>
      <x:c r="F55" s="55"/>
      <x:c r="G55" s="55"/>
      <x:c r="H55" s="55"/>
      <x:c r="I55" s="63"/>
      <x:c r="J55" s="63"/>
      <x:c r="K55" s="55"/>
      <x:c r="L55" s="65" t="str">
        <x:f>IF(COUNT(I55,K55)&lt;2,"",I55-K55)</x:f>
      </x:c>
      <x:c r="M55" s="56"/>
      <x:c r="N55" s="56"/>
      <x:c r="O55" s="56"/>
      <x:c r="P55" s="55"/>
      <x:c r="Q55" s="55"/>
      <x:c r="R55" s="56"/>
      <x:c r="S55" s="56"/>
      <x:c r="T55" s="56"/>
      <x:c r="U55" s="55"/>
      <x:c r="V55" s="55"/>
      <x:c r="W55" s="55"/>
      <x:c r="X55" s="55"/>
      <x:c r="Y55" s="55"/>
      <x:c r="Z55" s="56"/>
      <x:c r="AA55" s="55"/>
      <x:c r="AC55" t="n">
        <x:f>IF(OR(A55="",D55=""),0,IF(COUNTIFS($A$17:A55,A55,$D$17:D55,D55)=1,1,0))</x:f>
        <x:v>0</x:v>
      </x:c>
      <x:c r="AD55" t="n">
        <x:f>IF(AC55=0,0,IF(OR(ISNUMBER(O55),P55="PO issued",P55="Under manufacturing",P55="Inspection pending",P55="Ready for dispatch",P55="Dispatched",P55="Partly received",P55="Fully received"),1,0))</x:f>
        <x:v>0</x:v>
      </x:c>
      <x:c r="AE55" t="n">
        <x:f>IF(AC55=0,0,IF(P55="Fully received",1,0))</x:f>
        <x:v>0</x:v>
      </x:c>
      <x:c r="AF55" t="n">
        <x:f>IF(AC55=0,0,1-AD55)</x:f>
        <x:v>0</x:v>
      </x:c>
    </x:row>
    <x:row r="56" ht="28" customHeight="1">
      <x:c r="A56" s="55"/>
      <x:c r="B56" s="55"/>
      <x:c r="C56" s="60"/>
      <x:c r="D56" s="55"/>
      <x:c r="E56" s="55"/>
      <x:c r="F56" s="55"/>
      <x:c r="G56" s="55"/>
      <x:c r="H56" s="55"/>
      <x:c r="I56" s="63"/>
      <x:c r="J56" s="63"/>
      <x:c r="K56" s="55"/>
      <x:c r="L56" s="65" t="str">
        <x:f>IF(COUNT(I56,K56)&lt;2,"",I56-K56)</x:f>
      </x:c>
      <x:c r="M56" s="56"/>
      <x:c r="N56" s="56"/>
      <x:c r="O56" s="56"/>
      <x:c r="P56" s="55"/>
      <x:c r="Q56" s="55"/>
      <x:c r="R56" s="56"/>
      <x:c r="S56" s="56"/>
      <x:c r="T56" s="56"/>
      <x:c r="U56" s="55"/>
      <x:c r="V56" s="55"/>
      <x:c r="W56" s="55"/>
      <x:c r="X56" s="55"/>
      <x:c r="Y56" s="55"/>
      <x:c r="Z56" s="56"/>
      <x:c r="AA56" s="55"/>
      <x:c r="AC56" t="n">
        <x:f>IF(OR(A56="",D56=""),0,IF(COUNTIFS($A$17:A56,A56,$D$17:D56,D56)=1,1,0))</x:f>
        <x:v>0</x:v>
      </x:c>
      <x:c r="AD56" t="n">
        <x:f>IF(AC56=0,0,IF(OR(ISNUMBER(O56),P56="PO issued",P56="Under manufacturing",P56="Inspection pending",P56="Ready for dispatch",P56="Dispatched",P56="Partly received",P56="Fully received"),1,0))</x:f>
        <x:v>0</x:v>
      </x:c>
      <x:c r="AE56" t="n">
        <x:f>IF(AC56=0,0,IF(P56="Fully received",1,0))</x:f>
        <x:v>0</x:v>
      </x:c>
      <x:c r="AF56" t="n">
        <x:f>IF(AC56=0,0,1-AD56)</x:f>
        <x:v>0</x:v>
      </x:c>
    </x:row>
    <x:row r="57" ht="28" customHeight="1">
      <x:c r="A57" s="55"/>
      <x:c r="B57" s="55"/>
      <x:c r="C57" s="60"/>
      <x:c r="D57" s="55"/>
      <x:c r="E57" s="55"/>
      <x:c r="F57" s="55"/>
      <x:c r="G57" s="55"/>
      <x:c r="H57" s="55"/>
      <x:c r="I57" s="63"/>
      <x:c r="J57" s="63"/>
      <x:c r="K57" s="55"/>
      <x:c r="L57" s="65" t="str">
        <x:f>IF(COUNT(I57,K57)&lt;2,"",I57-K57)</x:f>
      </x:c>
      <x:c r="M57" s="56"/>
      <x:c r="N57" s="56"/>
      <x:c r="O57" s="56"/>
      <x:c r="P57" s="55"/>
      <x:c r="Q57" s="55"/>
      <x:c r="R57" s="56"/>
      <x:c r="S57" s="56"/>
      <x:c r="T57" s="56"/>
      <x:c r="U57" s="55"/>
      <x:c r="V57" s="55"/>
      <x:c r="W57" s="55"/>
      <x:c r="X57" s="55"/>
      <x:c r="Y57" s="55"/>
      <x:c r="Z57" s="56"/>
      <x:c r="AA57" s="55"/>
      <x:c r="AC57" t="n">
        <x:f>IF(OR(A57="",D57=""),0,IF(COUNTIFS($A$17:A57,A57,$D$17:D57,D57)=1,1,0))</x:f>
        <x:v>0</x:v>
      </x:c>
      <x:c r="AD57" t="n">
        <x:f>IF(AC57=0,0,IF(OR(ISNUMBER(O57),P57="PO issued",P57="Under manufacturing",P57="Inspection pending",P57="Ready for dispatch",P57="Dispatched",P57="Partly received",P57="Fully received"),1,0))</x:f>
        <x:v>0</x:v>
      </x:c>
      <x:c r="AE57" t="n">
        <x:f>IF(AC57=0,0,IF(P57="Fully received",1,0))</x:f>
        <x:v>0</x:v>
      </x:c>
      <x:c r="AF57" t="n">
        <x:f>IF(AC57=0,0,1-AD57)</x:f>
        <x:v>0</x:v>
      </x:c>
    </x:row>
    <x:row r="58" ht="28" customHeight="1">
      <x:c r="A58" s="55"/>
      <x:c r="B58" s="55"/>
      <x:c r="C58" s="60"/>
      <x:c r="D58" s="55"/>
      <x:c r="E58" s="55"/>
      <x:c r="F58" s="55"/>
      <x:c r="G58" s="55"/>
      <x:c r="H58" s="55"/>
      <x:c r="I58" s="63"/>
      <x:c r="J58" s="63"/>
      <x:c r="K58" s="55"/>
      <x:c r="L58" s="65" t="str">
        <x:f>IF(COUNT(I58,K58)&lt;2,"",I58-K58)</x:f>
      </x:c>
      <x:c r="M58" s="56"/>
      <x:c r="N58" s="56"/>
      <x:c r="O58" s="56"/>
      <x:c r="P58" s="55"/>
      <x:c r="Q58" s="55"/>
      <x:c r="R58" s="56"/>
      <x:c r="S58" s="56"/>
      <x:c r="T58" s="56"/>
      <x:c r="U58" s="55"/>
      <x:c r="V58" s="55"/>
      <x:c r="W58" s="55"/>
      <x:c r="X58" s="55"/>
      <x:c r="Y58" s="55"/>
      <x:c r="Z58" s="56"/>
      <x:c r="AA58" s="55"/>
      <x:c r="AC58" t="n">
        <x:f>IF(OR(A58="",D58=""),0,IF(COUNTIFS($A$17:A58,A58,$D$17:D58,D58)=1,1,0))</x:f>
        <x:v>0</x:v>
      </x:c>
      <x:c r="AD58" t="n">
        <x:f>IF(AC58=0,0,IF(OR(ISNUMBER(O58),P58="PO issued",P58="Under manufacturing",P58="Inspection pending",P58="Ready for dispatch",P58="Dispatched",P58="Partly received",P58="Fully received"),1,0))</x:f>
        <x:v>0</x:v>
      </x:c>
      <x:c r="AE58" t="n">
        <x:f>IF(AC58=0,0,IF(P58="Fully received",1,0))</x:f>
        <x:v>0</x:v>
      </x:c>
      <x:c r="AF58" t="n">
        <x:f>IF(AC58=0,0,1-AD58)</x:f>
        <x:v>0</x:v>
      </x:c>
    </x:row>
    <x:row r="59" ht="28" customHeight="1">
      <x:c r="A59" s="55"/>
      <x:c r="B59" s="55"/>
      <x:c r="C59" s="60"/>
      <x:c r="D59" s="55"/>
      <x:c r="E59" s="55"/>
      <x:c r="F59" s="55"/>
      <x:c r="G59" s="55"/>
      <x:c r="H59" s="55"/>
      <x:c r="I59" s="63"/>
      <x:c r="J59" s="63"/>
      <x:c r="K59" s="55"/>
      <x:c r="L59" s="65" t="str">
        <x:f>IF(COUNT(I59,K59)&lt;2,"",I59-K59)</x:f>
      </x:c>
      <x:c r="M59" s="56"/>
      <x:c r="N59" s="56"/>
      <x:c r="O59" s="56"/>
      <x:c r="P59" s="55"/>
      <x:c r="Q59" s="55"/>
      <x:c r="R59" s="56"/>
      <x:c r="S59" s="56"/>
      <x:c r="T59" s="56"/>
      <x:c r="U59" s="55"/>
      <x:c r="V59" s="55"/>
      <x:c r="W59" s="55"/>
      <x:c r="X59" s="55"/>
      <x:c r="Y59" s="55"/>
      <x:c r="Z59" s="56"/>
      <x:c r="AA59" s="55"/>
      <x:c r="AC59" t="n">
        <x:f>IF(OR(A59="",D59=""),0,IF(COUNTIFS($A$17:A59,A59,$D$17:D59,D59)=1,1,0))</x:f>
        <x:v>0</x:v>
      </x:c>
      <x:c r="AD59" t="n">
        <x:f>IF(AC59=0,0,IF(OR(ISNUMBER(O59),P59="PO issued",P59="Under manufacturing",P59="Inspection pending",P59="Ready for dispatch",P59="Dispatched",P59="Partly received",P59="Fully received"),1,0))</x:f>
        <x:v>0</x:v>
      </x:c>
      <x:c r="AE59" t="n">
        <x:f>IF(AC59=0,0,IF(P59="Fully received",1,0))</x:f>
        <x:v>0</x:v>
      </x:c>
      <x:c r="AF59" t="n">
        <x:f>IF(AC59=0,0,1-AD59)</x:f>
        <x:v>0</x:v>
      </x:c>
    </x:row>
    <x:row r="60" ht="28" customHeight="1">
      <x:c r="A60" s="55"/>
      <x:c r="B60" s="55"/>
      <x:c r="C60" s="60"/>
      <x:c r="D60" s="55"/>
      <x:c r="E60" s="55"/>
      <x:c r="F60" s="55"/>
      <x:c r="G60" s="55"/>
      <x:c r="H60" s="55"/>
      <x:c r="I60" s="63"/>
      <x:c r="J60" s="63"/>
      <x:c r="K60" s="55"/>
      <x:c r="L60" s="65" t="str">
        <x:f>IF(COUNT(I60,K60)&lt;2,"",I60-K60)</x:f>
      </x:c>
      <x:c r="M60" s="56"/>
      <x:c r="N60" s="56"/>
      <x:c r="O60" s="56"/>
      <x:c r="P60" s="55"/>
      <x:c r="Q60" s="55"/>
      <x:c r="R60" s="56"/>
      <x:c r="S60" s="56"/>
      <x:c r="T60" s="56"/>
      <x:c r="U60" s="55"/>
      <x:c r="V60" s="55"/>
      <x:c r="W60" s="55"/>
      <x:c r="X60" s="55"/>
      <x:c r="Y60" s="55"/>
      <x:c r="Z60" s="56"/>
      <x:c r="AA60" s="55"/>
      <x:c r="AC60" t="n">
        <x:f>IF(OR(A60="",D60=""),0,IF(COUNTIFS($A$17:A60,A60,$D$17:D60,D60)=1,1,0))</x:f>
        <x:v>0</x:v>
      </x:c>
      <x:c r="AD60" t="n">
        <x:f>IF(AC60=0,0,IF(OR(ISNUMBER(O60),P60="PO issued",P60="Under manufacturing",P60="Inspection pending",P60="Ready for dispatch",P60="Dispatched",P60="Partly received",P60="Fully received"),1,0))</x:f>
        <x:v>0</x:v>
      </x:c>
      <x:c r="AE60" t="n">
        <x:f>IF(AC60=0,0,IF(P60="Fully received",1,0))</x:f>
        <x:v>0</x:v>
      </x:c>
      <x:c r="AF60" t="n">
        <x:f>IF(AC60=0,0,1-AD60)</x:f>
        <x:v>0</x:v>
      </x:c>
    </x:row>
    <x:row r="61" ht="28" customHeight="1">
      <x:c r="A61" s="55"/>
      <x:c r="B61" s="55"/>
      <x:c r="C61" s="60"/>
      <x:c r="D61" s="55"/>
      <x:c r="E61" s="55"/>
      <x:c r="F61" s="55"/>
      <x:c r="G61" s="55"/>
      <x:c r="H61" s="55"/>
      <x:c r="I61" s="63"/>
      <x:c r="J61" s="63"/>
      <x:c r="K61" s="55"/>
      <x:c r="L61" s="65" t="str">
        <x:f>IF(COUNT(I61,K61)&lt;2,"",I61-K61)</x:f>
      </x:c>
      <x:c r="M61" s="56"/>
      <x:c r="N61" s="56"/>
      <x:c r="O61" s="56"/>
      <x:c r="P61" s="55"/>
      <x:c r="Q61" s="55"/>
      <x:c r="R61" s="56"/>
      <x:c r="S61" s="56"/>
      <x:c r="T61" s="56"/>
      <x:c r="U61" s="55"/>
      <x:c r="V61" s="55"/>
      <x:c r="W61" s="55"/>
      <x:c r="X61" s="55"/>
      <x:c r="Y61" s="55"/>
      <x:c r="Z61" s="56"/>
      <x:c r="AA61" s="55"/>
      <x:c r="AC61" t="n">
        <x:f>IF(OR(A61="",D61=""),0,IF(COUNTIFS($A$17:A61,A61,$D$17:D61,D61)=1,1,0))</x:f>
        <x:v>0</x:v>
      </x:c>
      <x:c r="AD61" t="n">
        <x:f>IF(AC61=0,0,IF(OR(ISNUMBER(O61),P61="PO issued",P61="Under manufacturing",P61="Inspection pending",P61="Ready for dispatch",P61="Dispatched",P61="Partly received",P61="Fully received"),1,0))</x:f>
        <x:v>0</x:v>
      </x:c>
      <x:c r="AE61" t="n">
        <x:f>IF(AC61=0,0,IF(P61="Fully received",1,0))</x:f>
        <x:v>0</x:v>
      </x:c>
      <x:c r="AF61" t="n">
        <x:f>IF(AC61=0,0,1-AD61)</x:f>
        <x:v>0</x:v>
      </x:c>
    </x:row>
    <x:row r="62" ht="28" customHeight="1">
      <x:c r="A62" s="55"/>
      <x:c r="B62" s="55"/>
      <x:c r="C62" s="60"/>
      <x:c r="D62" s="55"/>
      <x:c r="E62" s="55"/>
      <x:c r="F62" s="55"/>
      <x:c r="G62" s="55"/>
      <x:c r="H62" s="55"/>
      <x:c r="I62" s="63"/>
      <x:c r="J62" s="63"/>
      <x:c r="K62" s="55"/>
      <x:c r="L62" s="65" t="str">
        <x:f>IF(COUNT(I62,K62)&lt;2,"",I62-K62)</x:f>
      </x:c>
      <x:c r="M62" s="56"/>
      <x:c r="N62" s="56"/>
      <x:c r="O62" s="56"/>
      <x:c r="P62" s="55"/>
      <x:c r="Q62" s="55"/>
      <x:c r="R62" s="56"/>
      <x:c r="S62" s="56"/>
      <x:c r="T62" s="56"/>
      <x:c r="U62" s="55"/>
      <x:c r="V62" s="55"/>
      <x:c r="W62" s="55"/>
      <x:c r="X62" s="55"/>
      <x:c r="Y62" s="55"/>
      <x:c r="Z62" s="56"/>
      <x:c r="AA62" s="55"/>
      <x:c r="AC62" t="n">
        <x:f>IF(OR(A62="",D62=""),0,IF(COUNTIFS($A$17:A62,A62,$D$17:D62,D62)=1,1,0))</x:f>
        <x:v>0</x:v>
      </x:c>
      <x:c r="AD62" t="n">
        <x:f>IF(AC62=0,0,IF(OR(ISNUMBER(O62),P62="PO issued",P62="Under manufacturing",P62="Inspection pending",P62="Ready for dispatch",P62="Dispatched",P62="Partly received",P62="Fully received"),1,0))</x:f>
        <x:v>0</x:v>
      </x:c>
      <x:c r="AE62" t="n">
        <x:f>IF(AC62=0,0,IF(P62="Fully received",1,0))</x:f>
        <x:v>0</x:v>
      </x:c>
      <x:c r="AF62" t="n">
        <x:f>IF(AC62=0,0,1-AD62)</x:f>
        <x:v>0</x:v>
      </x:c>
    </x:row>
    <x:row r="63" ht="28" customHeight="1">
      <x:c r="A63" s="55"/>
      <x:c r="B63" s="55"/>
      <x:c r="C63" s="60"/>
      <x:c r="D63" s="55"/>
      <x:c r="E63" s="55"/>
      <x:c r="F63" s="55"/>
      <x:c r="G63" s="55"/>
      <x:c r="H63" s="55"/>
      <x:c r="I63" s="63"/>
      <x:c r="J63" s="63"/>
      <x:c r="K63" s="55"/>
      <x:c r="L63" s="65" t="str">
        <x:f>IF(COUNT(I63,K63)&lt;2,"",I63-K63)</x:f>
      </x:c>
      <x:c r="M63" s="56"/>
      <x:c r="N63" s="56"/>
      <x:c r="O63" s="56"/>
      <x:c r="P63" s="55"/>
      <x:c r="Q63" s="55"/>
      <x:c r="R63" s="56"/>
      <x:c r="S63" s="56"/>
      <x:c r="T63" s="56"/>
      <x:c r="U63" s="55"/>
      <x:c r="V63" s="55"/>
      <x:c r="W63" s="55"/>
      <x:c r="X63" s="55"/>
      <x:c r="Y63" s="55"/>
      <x:c r="Z63" s="56"/>
      <x:c r="AA63" s="55"/>
      <x:c r="AC63" t="n">
        <x:f>IF(OR(A63="",D63=""),0,IF(COUNTIFS($A$17:A63,A63,$D$17:D63,D63)=1,1,0))</x:f>
        <x:v>0</x:v>
      </x:c>
      <x:c r="AD63" t="n">
        <x:f>IF(AC63=0,0,IF(OR(ISNUMBER(O63),P63="PO issued",P63="Under manufacturing",P63="Inspection pending",P63="Ready for dispatch",P63="Dispatched",P63="Partly received",P63="Fully received"),1,0))</x:f>
        <x:v>0</x:v>
      </x:c>
      <x:c r="AE63" t="n">
        <x:f>IF(AC63=0,0,IF(P63="Fully received",1,0))</x:f>
        <x:v>0</x:v>
      </x:c>
      <x:c r="AF63" t="n">
        <x:f>IF(AC63=0,0,1-AD63)</x:f>
        <x:v>0</x:v>
      </x:c>
    </x:row>
    <x:row r="64" ht="28" customHeight="1">
      <x:c r="A64" s="55"/>
      <x:c r="B64" s="55"/>
      <x:c r="C64" s="60"/>
      <x:c r="D64" s="55"/>
      <x:c r="E64" s="55"/>
      <x:c r="F64" s="55"/>
      <x:c r="G64" s="55"/>
      <x:c r="H64" s="55"/>
      <x:c r="I64" s="63"/>
      <x:c r="J64" s="63"/>
      <x:c r="K64" s="55"/>
      <x:c r="L64" s="65" t="str">
        <x:f>IF(COUNT(I64,K64)&lt;2,"",I64-K64)</x:f>
      </x:c>
      <x:c r="M64" s="56"/>
      <x:c r="N64" s="56"/>
      <x:c r="O64" s="56"/>
      <x:c r="P64" s="55"/>
      <x:c r="Q64" s="55"/>
      <x:c r="R64" s="56"/>
      <x:c r="S64" s="56"/>
      <x:c r="T64" s="56"/>
      <x:c r="U64" s="55"/>
      <x:c r="V64" s="55"/>
      <x:c r="W64" s="55"/>
      <x:c r="X64" s="55"/>
      <x:c r="Y64" s="55"/>
      <x:c r="Z64" s="56"/>
      <x:c r="AA64" s="55"/>
      <x:c r="AC64" t="n">
        <x:f>IF(OR(A64="",D64=""),0,IF(COUNTIFS($A$17:A64,A64,$D$17:D64,D64)=1,1,0))</x:f>
        <x:v>0</x:v>
      </x:c>
      <x:c r="AD64" t="n">
        <x:f>IF(AC64=0,0,IF(OR(ISNUMBER(O64),P64="PO issued",P64="Under manufacturing",P64="Inspection pending",P64="Ready for dispatch",P64="Dispatched",P64="Partly received",P64="Fully received"),1,0))</x:f>
        <x:v>0</x:v>
      </x:c>
      <x:c r="AE64" t="n">
        <x:f>IF(AC64=0,0,IF(P64="Fully received",1,0))</x:f>
        <x:v>0</x:v>
      </x:c>
      <x:c r="AF64" t="n">
        <x:f>IF(AC64=0,0,1-AD64)</x:f>
        <x:v>0</x:v>
      </x:c>
    </x:row>
    <x:row r="65" ht="28" customHeight="1">
      <x:c r="A65" s="55"/>
      <x:c r="B65" s="55"/>
      <x:c r="C65" s="60"/>
      <x:c r="D65" s="55"/>
      <x:c r="E65" s="55"/>
      <x:c r="F65" s="55"/>
      <x:c r="G65" s="55"/>
      <x:c r="H65" s="55"/>
      <x:c r="I65" s="63"/>
      <x:c r="J65" s="63"/>
      <x:c r="K65" s="55"/>
      <x:c r="L65" s="65" t="str">
        <x:f>IF(COUNT(I65,K65)&lt;2,"",I65-K65)</x:f>
      </x:c>
      <x:c r="M65" s="56"/>
      <x:c r="N65" s="56"/>
      <x:c r="O65" s="56"/>
      <x:c r="P65" s="55"/>
      <x:c r="Q65" s="55"/>
      <x:c r="R65" s="56"/>
      <x:c r="S65" s="56"/>
      <x:c r="T65" s="56"/>
      <x:c r="U65" s="55"/>
      <x:c r="V65" s="55"/>
      <x:c r="W65" s="55"/>
      <x:c r="X65" s="55"/>
      <x:c r="Y65" s="55"/>
      <x:c r="Z65" s="56"/>
      <x:c r="AA65" s="55"/>
      <x:c r="AC65" t="n">
        <x:f>IF(OR(A65="",D65=""),0,IF(COUNTIFS($A$17:A65,A65,$D$17:D65,D65)=1,1,0))</x:f>
        <x:v>0</x:v>
      </x:c>
      <x:c r="AD65" t="n">
        <x:f>IF(AC65=0,0,IF(OR(ISNUMBER(O65),P65="PO issued",P65="Under manufacturing",P65="Inspection pending",P65="Ready for dispatch",P65="Dispatched",P65="Partly received",P65="Fully received"),1,0))</x:f>
        <x:v>0</x:v>
      </x:c>
      <x:c r="AE65" t="n">
        <x:f>IF(AC65=0,0,IF(P65="Fully received",1,0))</x:f>
        <x:v>0</x:v>
      </x:c>
      <x:c r="AF65" t="n">
        <x:f>IF(AC65=0,0,1-AD65)</x:f>
        <x:v>0</x:v>
      </x:c>
    </x:row>
    <x:row r="66" ht="28" customHeight="1">
      <x:c r="A66" s="55"/>
      <x:c r="B66" s="55"/>
      <x:c r="C66" s="60"/>
      <x:c r="D66" s="55"/>
      <x:c r="E66" s="55"/>
      <x:c r="F66" s="55"/>
      <x:c r="G66" s="55"/>
      <x:c r="H66" s="55"/>
      <x:c r="I66" s="63"/>
      <x:c r="J66" s="63"/>
      <x:c r="K66" s="55"/>
      <x:c r="L66" s="65" t="str">
        <x:f>IF(COUNT(I66,K66)&lt;2,"",I66-K66)</x:f>
      </x:c>
      <x:c r="M66" s="56"/>
      <x:c r="N66" s="56"/>
      <x:c r="O66" s="56"/>
      <x:c r="P66" s="55"/>
      <x:c r="Q66" s="55"/>
      <x:c r="R66" s="56"/>
      <x:c r="S66" s="56"/>
      <x:c r="T66" s="56"/>
      <x:c r="U66" s="55"/>
      <x:c r="V66" s="55"/>
      <x:c r="W66" s="55"/>
      <x:c r="X66" s="55"/>
      <x:c r="Y66" s="55"/>
      <x:c r="Z66" s="56"/>
      <x:c r="AA66" s="55"/>
      <x:c r="AC66" t="n">
        <x:f>IF(OR(A66="",D66=""),0,IF(COUNTIFS($A$17:A66,A66,$D$17:D66,D66)=1,1,0))</x:f>
        <x:v>0</x:v>
      </x:c>
      <x:c r="AD66" t="n">
        <x:f>IF(AC66=0,0,IF(OR(ISNUMBER(O66),P66="PO issued",P66="Under manufacturing",P66="Inspection pending",P66="Ready for dispatch",P66="Dispatched",P66="Partly received",P66="Fully received"),1,0))</x:f>
        <x:v>0</x:v>
      </x:c>
      <x:c r="AE66" t="n">
        <x:f>IF(AC66=0,0,IF(P66="Fully received",1,0))</x:f>
        <x:v>0</x:v>
      </x:c>
      <x:c r="AF66" t="n">
        <x:f>IF(AC66=0,0,1-AD66)</x:f>
        <x:v>0</x:v>
      </x:c>
    </x:row>
    <x:row r="67" ht="28" customHeight="1">
      <x:c r="A67" s="55"/>
      <x:c r="B67" s="55"/>
      <x:c r="C67" s="60"/>
      <x:c r="D67" s="55"/>
      <x:c r="E67" s="55"/>
      <x:c r="F67" s="55"/>
      <x:c r="G67" s="55"/>
      <x:c r="H67" s="55"/>
      <x:c r="I67" s="63"/>
      <x:c r="J67" s="63"/>
      <x:c r="K67" s="55"/>
      <x:c r="L67" s="65" t="str">
        <x:f>IF(COUNT(I67,K67)&lt;2,"",I67-K67)</x:f>
      </x:c>
      <x:c r="M67" s="56"/>
      <x:c r="N67" s="56"/>
      <x:c r="O67" s="56"/>
      <x:c r="P67" s="55"/>
      <x:c r="Q67" s="55"/>
      <x:c r="R67" s="56"/>
      <x:c r="S67" s="56"/>
      <x:c r="T67" s="56"/>
      <x:c r="U67" s="55"/>
      <x:c r="V67" s="55"/>
      <x:c r="W67" s="55"/>
      <x:c r="X67" s="55"/>
      <x:c r="Y67" s="55"/>
      <x:c r="Z67" s="56"/>
      <x:c r="AA67" s="55"/>
      <x:c r="AC67" t="n">
        <x:f>IF(OR(A67="",D67=""),0,IF(COUNTIFS($A$17:A67,A67,$D$17:D67,D67)=1,1,0))</x:f>
        <x:v>0</x:v>
      </x:c>
      <x:c r="AD67" t="n">
        <x:f>IF(AC67=0,0,IF(OR(ISNUMBER(O67),P67="PO issued",P67="Under manufacturing",P67="Inspection pending",P67="Ready for dispatch",P67="Dispatched",P67="Partly received",P67="Fully received"),1,0))</x:f>
        <x:v>0</x:v>
      </x:c>
      <x:c r="AE67" t="n">
        <x:f>IF(AC67=0,0,IF(P67="Fully received",1,0))</x:f>
        <x:v>0</x:v>
      </x:c>
      <x:c r="AF67" t="n">
        <x:f>IF(AC67=0,0,1-AD67)</x:f>
        <x:v>0</x:v>
      </x:c>
    </x:row>
    <x:row r="68" ht="28" customHeight="1">
      <x:c r="A68" s="55"/>
      <x:c r="B68" s="55"/>
      <x:c r="C68" s="60"/>
      <x:c r="D68" s="55"/>
      <x:c r="E68" s="55"/>
      <x:c r="F68" s="55"/>
      <x:c r="G68" s="55"/>
      <x:c r="H68" s="55"/>
      <x:c r="I68" s="63"/>
      <x:c r="J68" s="63"/>
      <x:c r="K68" s="55"/>
      <x:c r="L68" s="65" t="str">
        <x:f>IF(COUNT(I68,K68)&lt;2,"",I68-K68)</x:f>
      </x:c>
      <x:c r="M68" s="56"/>
      <x:c r="N68" s="56"/>
      <x:c r="O68" s="56"/>
      <x:c r="P68" s="55"/>
      <x:c r="Q68" s="55"/>
      <x:c r="R68" s="56"/>
      <x:c r="S68" s="56"/>
      <x:c r="T68" s="56"/>
      <x:c r="U68" s="55"/>
      <x:c r="V68" s="55"/>
      <x:c r="W68" s="55"/>
      <x:c r="X68" s="55"/>
      <x:c r="Y68" s="55"/>
      <x:c r="Z68" s="56"/>
      <x:c r="AA68" s="55"/>
      <x:c r="AC68" t="n">
        <x:f>IF(OR(A68="",D68=""),0,IF(COUNTIFS($A$17:A68,A68,$D$17:D68,D68)=1,1,0))</x:f>
        <x:v>0</x:v>
      </x:c>
      <x:c r="AD68" t="n">
        <x:f>IF(AC68=0,0,IF(OR(ISNUMBER(O68),P68="PO issued",P68="Under manufacturing",P68="Inspection pending",P68="Ready for dispatch",P68="Dispatched",P68="Partly received",P68="Fully received"),1,0))</x:f>
        <x:v>0</x:v>
      </x:c>
      <x:c r="AE68" t="n">
        <x:f>IF(AC68=0,0,IF(P68="Fully received",1,0))</x:f>
        <x:v>0</x:v>
      </x:c>
      <x:c r="AF68" t="n">
        <x:f>IF(AC68=0,0,1-AD68)</x:f>
        <x:v>0</x:v>
      </x:c>
    </x:row>
    <x:row r="69" ht="28" customHeight="1">
      <x:c r="A69" s="55"/>
      <x:c r="B69" s="55"/>
      <x:c r="C69" s="60"/>
      <x:c r="D69" s="55"/>
      <x:c r="E69" s="55"/>
      <x:c r="F69" s="55"/>
      <x:c r="G69" s="55"/>
      <x:c r="H69" s="55"/>
      <x:c r="I69" s="63"/>
      <x:c r="J69" s="63"/>
      <x:c r="K69" s="55"/>
      <x:c r="L69" s="65" t="str">
        <x:f>IF(COUNT(I69,K69)&lt;2,"",I69-K69)</x:f>
      </x:c>
      <x:c r="M69" s="56"/>
      <x:c r="N69" s="56"/>
      <x:c r="O69" s="56"/>
      <x:c r="P69" s="55"/>
      <x:c r="Q69" s="55"/>
      <x:c r="R69" s="56"/>
      <x:c r="S69" s="56"/>
      <x:c r="T69" s="56"/>
      <x:c r="U69" s="55"/>
      <x:c r="V69" s="55"/>
      <x:c r="W69" s="55"/>
      <x:c r="X69" s="55"/>
      <x:c r="Y69" s="55"/>
      <x:c r="Z69" s="56"/>
      <x:c r="AA69" s="55"/>
      <x:c r="AC69" t="n">
        <x:f>IF(OR(A69="",D69=""),0,IF(COUNTIFS($A$17:A69,A69,$D$17:D69,D69)=1,1,0))</x:f>
        <x:v>0</x:v>
      </x:c>
      <x:c r="AD69" t="n">
        <x:f>IF(AC69=0,0,IF(OR(ISNUMBER(O69),P69="PO issued",P69="Under manufacturing",P69="Inspection pending",P69="Ready for dispatch",P69="Dispatched",P69="Partly received",P69="Fully received"),1,0))</x:f>
        <x:v>0</x:v>
      </x:c>
      <x:c r="AE69" t="n">
        <x:f>IF(AC69=0,0,IF(P69="Fully received",1,0))</x:f>
        <x:v>0</x:v>
      </x:c>
      <x:c r="AF69" t="n">
        <x:f>IF(AC69=0,0,1-AD69)</x:f>
        <x:v>0</x:v>
      </x:c>
    </x:row>
    <x:row r="70" ht="28" customHeight="1">
      <x:c r="A70" s="55"/>
      <x:c r="B70" s="55"/>
      <x:c r="C70" s="60"/>
      <x:c r="D70" s="55"/>
      <x:c r="E70" s="55"/>
      <x:c r="F70" s="55"/>
      <x:c r="G70" s="55"/>
      <x:c r="H70" s="55"/>
      <x:c r="I70" s="63"/>
      <x:c r="J70" s="63"/>
      <x:c r="K70" s="55"/>
      <x:c r="L70" s="65" t="str">
        <x:f>IF(COUNT(I70,K70)&lt;2,"",I70-K70)</x:f>
      </x:c>
      <x:c r="M70" s="56"/>
      <x:c r="N70" s="56"/>
      <x:c r="O70" s="56"/>
      <x:c r="P70" s="55"/>
      <x:c r="Q70" s="55"/>
      <x:c r="R70" s="56"/>
      <x:c r="S70" s="56"/>
      <x:c r="T70" s="56"/>
      <x:c r="U70" s="55"/>
      <x:c r="V70" s="55"/>
      <x:c r="W70" s="55"/>
      <x:c r="X70" s="55"/>
      <x:c r="Y70" s="55"/>
      <x:c r="Z70" s="56"/>
      <x:c r="AA70" s="55"/>
      <x:c r="AC70" t="n">
        <x:f>IF(OR(A70="",D70=""),0,IF(COUNTIFS($A$17:A70,A70,$D$17:D70,D70)=1,1,0))</x:f>
        <x:v>0</x:v>
      </x:c>
      <x:c r="AD70" t="n">
        <x:f>IF(AC70=0,0,IF(OR(ISNUMBER(O70),P70="PO issued",P70="Under manufacturing",P70="Inspection pending",P70="Ready for dispatch",P70="Dispatched",P70="Partly received",P70="Fully received"),1,0))</x:f>
        <x:v>0</x:v>
      </x:c>
      <x:c r="AE70" t="n">
        <x:f>IF(AC70=0,0,IF(P70="Fully received",1,0))</x:f>
        <x:v>0</x:v>
      </x:c>
      <x:c r="AF70" t="n">
        <x:f>IF(AC70=0,0,1-AD70)</x:f>
        <x:v>0</x:v>
      </x:c>
    </x:row>
    <x:row r="71" ht="28" customHeight="1">
      <x:c r="A71" s="55"/>
      <x:c r="B71" s="55"/>
      <x:c r="C71" s="60"/>
      <x:c r="D71" s="55"/>
      <x:c r="E71" s="55"/>
      <x:c r="F71" s="55"/>
      <x:c r="G71" s="55"/>
      <x:c r="H71" s="55"/>
      <x:c r="I71" s="63"/>
      <x:c r="J71" s="63"/>
      <x:c r="K71" s="55"/>
      <x:c r="L71" s="65" t="str">
        <x:f>IF(COUNT(I71,K71)&lt;2,"",I71-K71)</x:f>
      </x:c>
      <x:c r="M71" s="56"/>
      <x:c r="N71" s="56"/>
      <x:c r="O71" s="56"/>
      <x:c r="P71" s="55"/>
      <x:c r="Q71" s="55"/>
      <x:c r="R71" s="56"/>
      <x:c r="S71" s="56"/>
      <x:c r="T71" s="56"/>
      <x:c r="U71" s="55"/>
      <x:c r="V71" s="55"/>
      <x:c r="W71" s="55"/>
      <x:c r="X71" s="55"/>
      <x:c r="Y71" s="55"/>
      <x:c r="Z71" s="56"/>
      <x:c r="AA71" s="55"/>
      <x:c r="AC71" t="n">
        <x:f>IF(OR(A71="",D71=""),0,IF(COUNTIFS($A$17:A71,A71,$D$17:D71,D71)=1,1,0))</x:f>
        <x:v>0</x:v>
      </x:c>
      <x:c r="AD71" t="n">
        <x:f>IF(AC71=0,0,IF(OR(ISNUMBER(O71),P71="PO issued",P71="Under manufacturing",P71="Inspection pending",P71="Ready for dispatch",P71="Dispatched",P71="Partly received",P71="Fully received"),1,0))</x:f>
        <x:v>0</x:v>
      </x:c>
      <x:c r="AE71" t="n">
        <x:f>IF(AC71=0,0,IF(P71="Fully received",1,0))</x:f>
        <x:v>0</x:v>
      </x:c>
      <x:c r="AF71" t="n">
        <x:f>IF(AC71=0,0,1-AD71)</x:f>
        <x:v>0</x:v>
      </x:c>
    </x:row>
    <x:row r="72" ht="28" customHeight="1">
      <x:c r="A72" s="55"/>
      <x:c r="B72" s="55"/>
      <x:c r="C72" s="60"/>
      <x:c r="D72" s="55"/>
      <x:c r="E72" s="55"/>
      <x:c r="F72" s="55"/>
      <x:c r="G72" s="55"/>
      <x:c r="H72" s="55"/>
      <x:c r="I72" s="63"/>
      <x:c r="J72" s="63"/>
      <x:c r="K72" s="55"/>
      <x:c r="L72" s="65" t="str">
        <x:f>IF(COUNT(I72,K72)&lt;2,"",I72-K72)</x:f>
      </x:c>
      <x:c r="M72" s="56"/>
      <x:c r="N72" s="56"/>
      <x:c r="O72" s="56"/>
      <x:c r="P72" s="55"/>
      <x:c r="Q72" s="55"/>
      <x:c r="R72" s="56"/>
      <x:c r="S72" s="56"/>
      <x:c r="T72" s="56"/>
      <x:c r="U72" s="55"/>
      <x:c r="V72" s="55"/>
      <x:c r="W72" s="55"/>
      <x:c r="X72" s="55"/>
      <x:c r="Y72" s="55"/>
      <x:c r="Z72" s="56"/>
      <x:c r="AA72" s="55"/>
      <x:c r="AC72" t="n">
        <x:f>IF(OR(A72="",D72=""),0,IF(COUNTIFS($A$17:A72,A72,$D$17:D72,D72)=1,1,0))</x:f>
        <x:v>0</x:v>
      </x:c>
      <x:c r="AD72" t="n">
        <x:f>IF(AC72=0,0,IF(OR(ISNUMBER(O72),P72="PO issued",P72="Under manufacturing",P72="Inspection pending",P72="Ready for dispatch",P72="Dispatched",P72="Partly received",P72="Fully received"),1,0))</x:f>
        <x:v>0</x:v>
      </x:c>
      <x:c r="AE72" t="n">
        <x:f>IF(AC72=0,0,IF(P72="Fully received",1,0))</x:f>
        <x:v>0</x:v>
      </x:c>
      <x:c r="AF72" t="n">
        <x:f>IF(AC72=0,0,1-AD72)</x:f>
        <x:v>0</x:v>
      </x:c>
    </x:row>
    <x:row r="73" ht="28" customHeight="1">
      <x:c r="A73" s="55"/>
      <x:c r="B73" s="55"/>
      <x:c r="C73" s="60"/>
      <x:c r="D73" s="55"/>
      <x:c r="E73" s="55"/>
      <x:c r="F73" s="55"/>
      <x:c r="G73" s="55"/>
      <x:c r="H73" s="55"/>
      <x:c r="I73" s="63"/>
      <x:c r="J73" s="63"/>
      <x:c r="K73" s="55"/>
      <x:c r="L73" s="65" t="str">
        <x:f>IF(COUNT(I73,K73)&lt;2,"",I73-K73)</x:f>
      </x:c>
      <x:c r="M73" s="56"/>
      <x:c r="N73" s="56"/>
      <x:c r="O73" s="56"/>
      <x:c r="P73" s="55"/>
      <x:c r="Q73" s="55"/>
      <x:c r="R73" s="56"/>
      <x:c r="S73" s="56"/>
      <x:c r="T73" s="56"/>
      <x:c r="U73" s="55"/>
      <x:c r="V73" s="55"/>
      <x:c r="W73" s="55"/>
      <x:c r="X73" s="55"/>
      <x:c r="Y73" s="55"/>
      <x:c r="Z73" s="56"/>
      <x:c r="AA73" s="55"/>
      <x:c r="AC73" t="n">
        <x:f>IF(OR(A73="",D73=""),0,IF(COUNTIFS($A$17:A73,A73,$D$17:D73,D73)=1,1,0))</x:f>
        <x:v>0</x:v>
      </x:c>
      <x:c r="AD73" t="n">
        <x:f>IF(AC73=0,0,IF(OR(ISNUMBER(O73),P73="PO issued",P73="Under manufacturing",P73="Inspection pending",P73="Ready for dispatch",P73="Dispatched",P73="Partly received",P73="Fully received"),1,0))</x:f>
        <x:v>0</x:v>
      </x:c>
      <x:c r="AE73" t="n">
        <x:f>IF(AC73=0,0,IF(P73="Fully received",1,0))</x:f>
        <x:v>0</x:v>
      </x:c>
      <x:c r="AF73" t="n">
        <x:f>IF(AC73=0,0,1-AD73)</x:f>
        <x:v>0</x:v>
      </x:c>
    </x:row>
    <x:row r="74" ht="28" customHeight="1">
      <x:c r="A74" s="55"/>
      <x:c r="B74" s="55"/>
      <x:c r="C74" s="60"/>
      <x:c r="D74" s="55"/>
      <x:c r="E74" s="55"/>
      <x:c r="F74" s="55"/>
      <x:c r="G74" s="55"/>
      <x:c r="H74" s="55"/>
      <x:c r="I74" s="63"/>
      <x:c r="J74" s="63"/>
      <x:c r="K74" s="55"/>
      <x:c r="L74" s="65" t="str">
        <x:f>IF(COUNT(I74,K74)&lt;2,"",I74-K74)</x:f>
      </x:c>
      <x:c r="M74" s="56"/>
      <x:c r="N74" s="56"/>
      <x:c r="O74" s="56"/>
      <x:c r="P74" s="55"/>
      <x:c r="Q74" s="55"/>
      <x:c r="R74" s="56"/>
      <x:c r="S74" s="56"/>
      <x:c r="T74" s="56"/>
      <x:c r="U74" s="55"/>
      <x:c r="V74" s="55"/>
      <x:c r="W74" s="55"/>
      <x:c r="X74" s="55"/>
      <x:c r="Y74" s="55"/>
      <x:c r="Z74" s="56"/>
      <x:c r="AA74" s="55"/>
      <x:c r="AC74" t="n">
        <x:f>IF(OR(A74="",D74=""),0,IF(COUNTIFS($A$17:A74,A74,$D$17:D74,D74)=1,1,0))</x:f>
        <x:v>0</x:v>
      </x:c>
      <x:c r="AD74" t="n">
        <x:f>IF(AC74=0,0,IF(OR(ISNUMBER(O74),P74="PO issued",P74="Under manufacturing",P74="Inspection pending",P74="Ready for dispatch",P74="Dispatched",P74="Partly received",P74="Fully received"),1,0))</x:f>
        <x:v>0</x:v>
      </x:c>
      <x:c r="AE74" t="n">
        <x:f>IF(AC74=0,0,IF(P74="Fully received",1,0))</x:f>
        <x:v>0</x:v>
      </x:c>
      <x:c r="AF74" t="n">
        <x:f>IF(AC74=0,0,1-AD74)</x:f>
        <x:v>0</x:v>
      </x:c>
    </x:row>
    <x:row r="75" ht="28" customHeight="1">
      <x:c r="A75" s="55"/>
      <x:c r="B75" s="55"/>
      <x:c r="C75" s="60"/>
      <x:c r="D75" s="55"/>
      <x:c r="E75" s="55"/>
      <x:c r="F75" s="55"/>
      <x:c r="G75" s="55"/>
      <x:c r="H75" s="55"/>
      <x:c r="I75" s="63"/>
      <x:c r="J75" s="63"/>
      <x:c r="K75" s="55"/>
      <x:c r="L75" s="65" t="str">
        <x:f>IF(COUNT(I75,K75)&lt;2,"",I75-K75)</x:f>
      </x:c>
      <x:c r="M75" s="56"/>
      <x:c r="N75" s="56"/>
      <x:c r="O75" s="56"/>
      <x:c r="P75" s="55"/>
      <x:c r="Q75" s="55"/>
      <x:c r="R75" s="56"/>
      <x:c r="S75" s="56"/>
      <x:c r="T75" s="56"/>
      <x:c r="U75" s="55"/>
      <x:c r="V75" s="55"/>
      <x:c r="W75" s="55"/>
      <x:c r="X75" s="55"/>
      <x:c r="Y75" s="55"/>
      <x:c r="Z75" s="56"/>
      <x:c r="AA75" s="55"/>
      <x:c r="AC75" t="n">
        <x:f>IF(OR(A75="",D75=""),0,IF(COUNTIFS($A$17:A75,A75,$D$17:D75,D75)=1,1,0))</x:f>
        <x:v>0</x:v>
      </x:c>
      <x:c r="AD75" t="n">
        <x:f>IF(AC75=0,0,IF(OR(ISNUMBER(O75),P75="PO issued",P75="Under manufacturing",P75="Inspection pending",P75="Ready for dispatch",P75="Dispatched",P75="Partly received",P75="Fully received"),1,0))</x:f>
        <x:v>0</x:v>
      </x:c>
      <x:c r="AE75" t="n">
        <x:f>IF(AC75=0,0,IF(P75="Fully received",1,0))</x:f>
        <x:v>0</x:v>
      </x:c>
      <x:c r="AF75" t="n">
        <x:f>IF(AC75=0,0,1-AD75)</x:f>
        <x:v>0</x:v>
      </x:c>
    </x:row>
    <x:row r="76" ht="28" customHeight="1">
      <x:c r="A76" s="55"/>
      <x:c r="B76" s="55"/>
      <x:c r="C76" s="60"/>
      <x:c r="D76" s="55"/>
      <x:c r="E76" s="55"/>
      <x:c r="F76" s="55"/>
      <x:c r="G76" s="55"/>
      <x:c r="H76" s="55"/>
      <x:c r="I76" s="63"/>
      <x:c r="J76" s="63"/>
      <x:c r="K76" s="55"/>
      <x:c r="L76" s="65" t="str">
        <x:f>IF(COUNT(I76,K76)&lt;2,"",I76-K76)</x:f>
      </x:c>
      <x:c r="M76" s="56"/>
      <x:c r="N76" s="56"/>
      <x:c r="O76" s="56"/>
      <x:c r="P76" s="55"/>
      <x:c r="Q76" s="55"/>
      <x:c r="R76" s="56"/>
      <x:c r="S76" s="56"/>
      <x:c r="T76" s="56"/>
      <x:c r="U76" s="55"/>
      <x:c r="V76" s="55"/>
      <x:c r="W76" s="55"/>
      <x:c r="X76" s="55"/>
      <x:c r="Y76" s="55"/>
      <x:c r="Z76" s="56"/>
      <x:c r="AA76" s="55"/>
      <x:c r="AC76" t="n">
        <x:f>IF(OR(A76="",D76=""),0,IF(COUNTIFS($A$17:A76,A76,$D$17:D76,D76)=1,1,0))</x:f>
        <x:v>0</x:v>
      </x:c>
      <x:c r="AD76" t="n">
        <x:f>IF(AC76=0,0,IF(OR(ISNUMBER(O76),P76="PO issued",P76="Under manufacturing",P76="Inspection pending",P76="Ready for dispatch",P76="Dispatched",P76="Partly received",P76="Fully received"),1,0))</x:f>
        <x:v>0</x:v>
      </x:c>
      <x:c r="AE76" t="n">
        <x:f>IF(AC76=0,0,IF(P76="Fully received",1,0))</x:f>
        <x:v>0</x:v>
      </x:c>
      <x:c r="AF76" t="n">
        <x:f>IF(AC76=0,0,1-AD76)</x:f>
        <x:v>0</x:v>
      </x:c>
    </x:row>
    <x:row r="77" ht="28" customHeight="1">
      <x:c r="A77" s="55"/>
      <x:c r="B77" s="55"/>
      <x:c r="C77" s="60"/>
      <x:c r="D77" s="55"/>
      <x:c r="E77" s="55"/>
      <x:c r="F77" s="55"/>
      <x:c r="G77" s="55"/>
      <x:c r="H77" s="55"/>
      <x:c r="I77" s="63"/>
      <x:c r="J77" s="63"/>
      <x:c r="K77" s="55"/>
      <x:c r="L77" s="65" t="str">
        <x:f>IF(COUNT(I77,K77)&lt;2,"",I77-K77)</x:f>
      </x:c>
      <x:c r="M77" s="56"/>
      <x:c r="N77" s="56"/>
      <x:c r="O77" s="56"/>
      <x:c r="P77" s="55"/>
      <x:c r="Q77" s="55"/>
      <x:c r="R77" s="56"/>
      <x:c r="S77" s="56"/>
      <x:c r="T77" s="56"/>
      <x:c r="U77" s="55"/>
      <x:c r="V77" s="55"/>
      <x:c r="W77" s="55"/>
      <x:c r="X77" s="55"/>
      <x:c r="Y77" s="55"/>
      <x:c r="Z77" s="56"/>
      <x:c r="AA77" s="55"/>
      <x:c r="AC77" t="n">
        <x:f>IF(OR(A77="",D77=""),0,IF(COUNTIFS($A$17:A77,A77,$D$17:D77,D77)=1,1,0))</x:f>
        <x:v>0</x:v>
      </x:c>
      <x:c r="AD77" t="n">
        <x:f>IF(AC77=0,0,IF(OR(ISNUMBER(O77),P77="PO issued",P77="Under manufacturing",P77="Inspection pending",P77="Ready for dispatch",P77="Dispatched",P77="Partly received",P77="Fully received"),1,0))</x:f>
        <x:v>0</x:v>
      </x:c>
      <x:c r="AE77" t="n">
        <x:f>IF(AC77=0,0,IF(P77="Fully received",1,0))</x:f>
        <x:v>0</x:v>
      </x:c>
      <x:c r="AF77" t="n">
        <x:f>IF(AC77=0,0,1-AD77)</x:f>
        <x:v>0</x:v>
      </x:c>
    </x:row>
    <x:row r="78" ht="28" customHeight="1">
      <x:c r="A78" s="55"/>
      <x:c r="B78" s="55"/>
      <x:c r="C78" s="60"/>
      <x:c r="D78" s="55"/>
      <x:c r="E78" s="55"/>
      <x:c r="F78" s="55"/>
      <x:c r="G78" s="55"/>
      <x:c r="H78" s="55"/>
      <x:c r="I78" s="63"/>
      <x:c r="J78" s="63"/>
      <x:c r="K78" s="55"/>
      <x:c r="L78" s="65" t="str">
        <x:f>IF(COUNT(I78,K78)&lt;2,"",I78-K78)</x:f>
      </x:c>
      <x:c r="M78" s="56"/>
      <x:c r="N78" s="56"/>
      <x:c r="O78" s="56"/>
      <x:c r="P78" s="55"/>
      <x:c r="Q78" s="55"/>
      <x:c r="R78" s="56"/>
      <x:c r="S78" s="56"/>
      <x:c r="T78" s="56"/>
      <x:c r="U78" s="55"/>
      <x:c r="V78" s="55"/>
      <x:c r="W78" s="55"/>
      <x:c r="X78" s="55"/>
      <x:c r="Y78" s="55"/>
      <x:c r="Z78" s="56"/>
      <x:c r="AA78" s="55"/>
      <x:c r="AC78" t="n">
        <x:f>IF(OR(A78="",D78=""),0,IF(COUNTIFS($A$17:A78,A78,$D$17:D78,D78)=1,1,0))</x:f>
        <x:v>0</x:v>
      </x:c>
      <x:c r="AD78" t="n">
        <x:f>IF(AC78=0,0,IF(OR(ISNUMBER(O78),P78="PO issued",P78="Under manufacturing",P78="Inspection pending",P78="Ready for dispatch",P78="Dispatched",P78="Partly received",P78="Fully received"),1,0))</x:f>
        <x:v>0</x:v>
      </x:c>
      <x:c r="AE78" t="n">
        <x:f>IF(AC78=0,0,IF(P78="Fully received",1,0))</x:f>
        <x:v>0</x:v>
      </x:c>
      <x:c r="AF78" t="n">
        <x:f>IF(AC78=0,0,1-AD78)</x:f>
        <x:v>0</x:v>
      </x:c>
    </x:row>
    <x:row r="79" ht="28" customHeight="1">
      <x:c r="A79" s="55"/>
      <x:c r="B79" s="55"/>
      <x:c r="C79" s="60"/>
      <x:c r="D79" s="55"/>
      <x:c r="E79" s="55"/>
      <x:c r="F79" s="55"/>
      <x:c r="G79" s="55"/>
      <x:c r="H79" s="55"/>
      <x:c r="I79" s="63"/>
      <x:c r="J79" s="63"/>
      <x:c r="K79" s="55"/>
      <x:c r="L79" s="65" t="str">
        <x:f>IF(COUNT(I79,K79)&lt;2,"",I79-K79)</x:f>
      </x:c>
      <x:c r="M79" s="56"/>
      <x:c r="N79" s="56"/>
      <x:c r="O79" s="56"/>
      <x:c r="P79" s="55"/>
      <x:c r="Q79" s="55"/>
      <x:c r="R79" s="56"/>
      <x:c r="S79" s="56"/>
      <x:c r="T79" s="56"/>
      <x:c r="U79" s="55"/>
      <x:c r="V79" s="55"/>
      <x:c r="W79" s="55"/>
      <x:c r="X79" s="55"/>
      <x:c r="Y79" s="55"/>
      <x:c r="Z79" s="56"/>
      <x:c r="AA79" s="55"/>
      <x:c r="AC79" t="n">
        <x:f>IF(OR(A79="",D79=""),0,IF(COUNTIFS($A$17:A79,A79,$D$17:D79,D79)=1,1,0))</x:f>
        <x:v>0</x:v>
      </x:c>
      <x:c r="AD79" t="n">
        <x:f>IF(AC79=0,0,IF(OR(ISNUMBER(O79),P79="PO issued",P79="Under manufacturing",P79="Inspection pending",P79="Ready for dispatch",P79="Dispatched",P79="Partly received",P79="Fully received"),1,0))</x:f>
        <x:v>0</x:v>
      </x:c>
      <x:c r="AE79" t="n">
        <x:f>IF(AC79=0,0,IF(P79="Fully received",1,0))</x:f>
        <x:v>0</x:v>
      </x:c>
      <x:c r="AF79" t="n">
        <x:f>IF(AC79=0,0,1-AD79)</x:f>
        <x:v>0</x:v>
      </x:c>
    </x:row>
    <x:row r="80" ht="28" customHeight="1">
      <x:c r="A80" s="55"/>
      <x:c r="B80" s="55"/>
      <x:c r="C80" s="60"/>
      <x:c r="D80" s="55"/>
      <x:c r="E80" s="55"/>
      <x:c r="F80" s="55"/>
      <x:c r="G80" s="55"/>
      <x:c r="H80" s="55"/>
      <x:c r="I80" s="63"/>
      <x:c r="J80" s="63"/>
      <x:c r="K80" s="55"/>
      <x:c r="L80" s="65" t="str">
        <x:f>IF(COUNT(I80,K80)&lt;2,"",I80-K80)</x:f>
      </x:c>
      <x:c r="M80" s="56"/>
      <x:c r="N80" s="56"/>
      <x:c r="O80" s="56"/>
      <x:c r="P80" s="55"/>
      <x:c r="Q80" s="55"/>
      <x:c r="R80" s="56"/>
      <x:c r="S80" s="56"/>
      <x:c r="T80" s="56"/>
      <x:c r="U80" s="55"/>
      <x:c r="V80" s="55"/>
      <x:c r="W80" s="55"/>
      <x:c r="X80" s="55"/>
      <x:c r="Y80" s="55"/>
      <x:c r="Z80" s="56"/>
      <x:c r="AA80" s="55"/>
      <x:c r="AC80" t="n">
        <x:f>IF(OR(A80="",D80=""),0,IF(COUNTIFS($A$17:A80,A80,$D$17:D80,D80)=1,1,0))</x:f>
        <x:v>0</x:v>
      </x:c>
      <x:c r="AD80" t="n">
        <x:f>IF(AC80=0,0,IF(OR(ISNUMBER(O80),P80="PO issued",P80="Under manufacturing",P80="Inspection pending",P80="Ready for dispatch",P80="Dispatched",P80="Partly received",P80="Fully received"),1,0))</x:f>
        <x:v>0</x:v>
      </x:c>
      <x:c r="AE80" t="n">
        <x:f>IF(AC80=0,0,IF(P80="Fully received",1,0))</x:f>
        <x:v>0</x:v>
      </x:c>
      <x:c r="AF80" t="n">
        <x:f>IF(AC80=0,0,1-AD80)</x:f>
        <x:v>0</x:v>
      </x:c>
    </x:row>
    <x:row r="81" ht="28" customHeight="1">
      <x:c r="A81" s="55"/>
      <x:c r="B81" s="55"/>
      <x:c r="C81" s="60"/>
      <x:c r="D81" s="55"/>
      <x:c r="E81" s="55"/>
      <x:c r="F81" s="55"/>
      <x:c r="G81" s="55"/>
      <x:c r="H81" s="55"/>
      <x:c r="I81" s="63"/>
      <x:c r="J81" s="63"/>
      <x:c r="K81" s="55"/>
      <x:c r="L81" s="65" t="str">
        <x:f>IF(COUNT(I81,K81)&lt;2,"",I81-K81)</x:f>
      </x:c>
      <x:c r="M81" s="56"/>
      <x:c r="N81" s="56"/>
      <x:c r="O81" s="56"/>
      <x:c r="P81" s="55"/>
      <x:c r="Q81" s="55"/>
      <x:c r="R81" s="56"/>
      <x:c r="S81" s="56"/>
      <x:c r="T81" s="56"/>
      <x:c r="U81" s="55"/>
      <x:c r="V81" s="55"/>
      <x:c r="W81" s="55"/>
      <x:c r="X81" s="55"/>
      <x:c r="Y81" s="55"/>
      <x:c r="Z81" s="56"/>
      <x:c r="AA81" s="55"/>
      <x:c r="AC81" t="n">
        <x:f>IF(OR(A81="",D81=""),0,IF(COUNTIFS($A$17:A81,A81,$D$17:D81,D81)=1,1,0))</x:f>
        <x:v>0</x:v>
      </x:c>
      <x:c r="AD81" t="n">
        <x:f>IF(AC81=0,0,IF(OR(ISNUMBER(O81),P81="PO issued",P81="Under manufacturing",P81="Inspection pending",P81="Ready for dispatch",P81="Dispatched",P81="Partly received",P81="Fully received"),1,0))</x:f>
        <x:v>0</x:v>
      </x:c>
      <x:c r="AE81" t="n">
        <x:f>IF(AC81=0,0,IF(P81="Fully received",1,0))</x:f>
        <x:v>0</x:v>
      </x:c>
      <x:c r="AF81" t="n">
        <x:f>IF(AC81=0,0,1-AD81)</x:f>
        <x:v>0</x:v>
      </x:c>
    </x:row>
    <x:row r="82" ht="28" customHeight="1">
      <x:c r="A82" s="55"/>
      <x:c r="B82" s="55"/>
      <x:c r="C82" s="60"/>
      <x:c r="D82" s="55"/>
      <x:c r="E82" s="55"/>
      <x:c r="F82" s="55"/>
      <x:c r="G82" s="55"/>
      <x:c r="H82" s="55"/>
      <x:c r="I82" s="63"/>
      <x:c r="J82" s="63"/>
      <x:c r="K82" s="55"/>
      <x:c r="L82" s="65" t="str">
        <x:f>IF(COUNT(I82,K82)&lt;2,"",I82-K82)</x:f>
      </x:c>
      <x:c r="M82" s="56"/>
      <x:c r="N82" s="56"/>
      <x:c r="O82" s="56"/>
      <x:c r="P82" s="55"/>
      <x:c r="Q82" s="55"/>
      <x:c r="R82" s="56"/>
      <x:c r="S82" s="56"/>
      <x:c r="T82" s="56"/>
      <x:c r="U82" s="55"/>
      <x:c r="V82" s="55"/>
      <x:c r="W82" s="55"/>
      <x:c r="X82" s="55"/>
      <x:c r="Y82" s="55"/>
      <x:c r="Z82" s="56"/>
      <x:c r="AA82" s="55"/>
      <x:c r="AC82" t="n">
        <x:f>IF(OR(A82="",D82=""),0,IF(COUNTIFS($A$17:A82,A82,$D$17:D82,D82)=1,1,0))</x:f>
        <x:v>0</x:v>
      </x:c>
      <x:c r="AD82" t="n">
        <x:f>IF(AC82=0,0,IF(OR(ISNUMBER(O82),P82="PO issued",P82="Under manufacturing",P82="Inspection pending",P82="Ready for dispatch",P82="Dispatched",P82="Partly received",P82="Fully received"),1,0))</x:f>
        <x:v>0</x:v>
      </x:c>
      <x:c r="AE82" t="n">
        <x:f>IF(AC82=0,0,IF(P82="Fully received",1,0))</x:f>
        <x:v>0</x:v>
      </x:c>
      <x:c r="AF82" t="n">
        <x:f>IF(AC82=0,0,1-AD82)</x:f>
        <x:v>0</x:v>
      </x:c>
    </x:row>
    <x:row r="83" ht="28" customHeight="1">
      <x:c r="A83" s="55"/>
      <x:c r="B83" s="55"/>
      <x:c r="C83" s="60"/>
      <x:c r="D83" s="55"/>
      <x:c r="E83" s="55"/>
      <x:c r="F83" s="55"/>
      <x:c r="G83" s="55"/>
      <x:c r="H83" s="55"/>
      <x:c r="I83" s="63"/>
      <x:c r="J83" s="63"/>
      <x:c r="K83" s="55"/>
      <x:c r="L83" s="65" t="str">
        <x:f>IF(COUNT(I83,K83)&lt;2,"",I83-K83)</x:f>
      </x:c>
      <x:c r="M83" s="56"/>
      <x:c r="N83" s="56"/>
      <x:c r="O83" s="56"/>
      <x:c r="P83" s="55"/>
      <x:c r="Q83" s="55"/>
      <x:c r="R83" s="56"/>
      <x:c r="S83" s="56"/>
      <x:c r="T83" s="56"/>
      <x:c r="U83" s="55"/>
      <x:c r="V83" s="55"/>
      <x:c r="W83" s="55"/>
      <x:c r="X83" s="55"/>
      <x:c r="Y83" s="55"/>
      <x:c r="Z83" s="56"/>
      <x:c r="AA83" s="55"/>
      <x:c r="AC83" t="n">
        <x:f>IF(OR(A83="",D83=""),0,IF(COUNTIFS($A$17:A83,A83,$D$17:D83,D83)=1,1,0))</x:f>
        <x:v>0</x:v>
      </x:c>
      <x:c r="AD83" t="n">
        <x:f>IF(AC83=0,0,IF(OR(ISNUMBER(O83),P83="PO issued",P83="Under manufacturing",P83="Inspection pending",P83="Ready for dispatch",P83="Dispatched",P83="Partly received",P83="Fully received"),1,0))</x:f>
        <x:v>0</x:v>
      </x:c>
      <x:c r="AE83" t="n">
        <x:f>IF(AC83=0,0,IF(P83="Fully received",1,0))</x:f>
        <x:v>0</x:v>
      </x:c>
      <x:c r="AF83" t="n">
        <x:f>IF(AC83=0,0,1-AD83)</x:f>
        <x:v>0</x:v>
      </x:c>
    </x:row>
    <x:row r="84" ht="28" customHeight="1">
      <x:c r="A84" s="55"/>
      <x:c r="B84" s="55"/>
      <x:c r="C84" s="60"/>
      <x:c r="D84" s="55"/>
      <x:c r="E84" s="55"/>
      <x:c r="F84" s="55"/>
      <x:c r="G84" s="55"/>
      <x:c r="H84" s="55"/>
      <x:c r="I84" s="63"/>
      <x:c r="J84" s="63"/>
      <x:c r="K84" s="55"/>
      <x:c r="L84" s="65" t="str">
        <x:f>IF(COUNT(I84,K84)&lt;2,"",I84-K84)</x:f>
      </x:c>
      <x:c r="M84" s="56"/>
      <x:c r="N84" s="56"/>
      <x:c r="O84" s="56"/>
      <x:c r="P84" s="55"/>
      <x:c r="Q84" s="55"/>
      <x:c r="R84" s="56"/>
      <x:c r="S84" s="56"/>
      <x:c r="T84" s="56"/>
      <x:c r="U84" s="55"/>
      <x:c r="V84" s="55"/>
      <x:c r="W84" s="55"/>
      <x:c r="X84" s="55"/>
      <x:c r="Y84" s="55"/>
      <x:c r="Z84" s="56"/>
      <x:c r="AA84" s="55"/>
      <x:c r="AC84" t="n">
        <x:f>IF(OR(A84="",D84=""),0,IF(COUNTIFS($A$17:A84,A84,$D$17:D84,D84)=1,1,0))</x:f>
        <x:v>0</x:v>
      </x:c>
      <x:c r="AD84" t="n">
        <x:f>IF(AC84=0,0,IF(OR(ISNUMBER(O84),P84="PO issued",P84="Under manufacturing",P84="Inspection pending",P84="Ready for dispatch",P84="Dispatched",P84="Partly received",P84="Fully received"),1,0))</x:f>
        <x:v>0</x:v>
      </x:c>
      <x:c r="AE84" t="n">
        <x:f>IF(AC84=0,0,IF(P84="Fully received",1,0))</x:f>
        <x:v>0</x:v>
      </x:c>
      <x:c r="AF84" t="n">
        <x:f>IF(AC84=0,0,1-AD84)</x:f>
        <x:v>0</x:v>
      </x:c>
    </x:row>
    <x:row r="85" ht="28" customHeight="1">
      <x:c r="A85" s="55"/>
      <x:c r="B85" s="55"/>
      <x:c r="C85" s="60"/>
      <x:c r="D85" s="55"/>
      <x:c r="E85" s="55"/>
      <x:c r="F85" s="55"/>
      <x:c r="G85" s="55"/>
      <x:c r="H85" s="55"/>
      <x:c r="I85" s="63"/>
      <x:c r="J85" s="63"/>
      <x:c r="K85" s="55"/>
      <x:c r="L85" s="65" t="str">
        <x:f>IF(COUNT(I85,K85)&lt;2,"",I85-K85)</x:f>
      </x:c>
      <x:c r="M85" s="56"/>
      <x:c r="N85" s="56"/>
      <x:c r="O85" s="56"/>
      <x:c r="P85" s="55"/>
      <x:c r="Q85" s="55"/>
      <x:c r="R85" s="56"/>
      <x:c r="S85" s="56"/>
      <x:c r="T85" s="56"/>
      <x:c r="U85" s="55"/>
      <x:c r="V85" s="55"/>
      <x:c r="W85" s="55"/>
      <x:c r="X85" s="55"/>
      <x:c r="Y85" s="55"/>
      <x:c r="Z85" s="56"/>
      <x:c r="AA85" s="55"/>
      <x:c r="AC85" t="n">
        <x:f>IF(OR(A85="",D85=""),0,IF(COUNTIFS($A$17:A85,A85,$D$17:D85,D85)=1,1,0))</x:f>
        <x:v>0</x:v>
      </x:c>
      <x:c r="AD85" t="n">
        <x:f>IF(AC85=0,0,IF(OR(ISNUMBER(O85),P85="PO issued",P85="Under manufacturing",P85="Inspection pending",P85="Ready for dispatch",P85="Dispatched",P85="Partly received",P85="Fully received"),1,0))</x:f>
        <x:v>0</x:v>
      </x:c>
      <x:c r="AE85" t="n">
        <x:f>IF(AC85=0,0,IF(P85="Fully received",1,0))</x:f>
        <x:v>0</x:v>
      </x:c>
      <x:c r="AF85" t="n">
        <x:f>IF(AC85=0,0,1-AD85)</x:f>
        <x:v>0</x:v>
      </x:c>
    </x:row>
    <x:row r="86" ht="28" customHeight="1">
      <x:c r="A86" s="55"/>
      <x:c r="B86" s="55"/>
      <x:c r="C86" s="60"/>
      <x:c r="D86" s="55"/>
      <x:c r="E86" s="55"/>
      <x:c r="F86" s="55"/>
      <x:c r="G86" s="55"/>
      <x:c r="H86" s="55"/>
      <x:c r="I86" s="63"/>
      <x:c r="J86" s="63"/>
      <x:c r="K86" s="55"/>
      <x:c r="L86" s="65" t="str">
        <x:f>IF(COUNT(I86,K86)&lt;2,"",I86-K86)</x:f>
      </x:c>
      <x:c r="M86" s="56"/>
      <x:c r="N86" s="56"/>
      <x:c r="O86" s="56"/>
      <x:c r="P86" s="55"/>
      <x:c r="Q86" s="55"/>
      <x:c r="R86" s="56"/>
      <x:c r="S86" s="56"/>
      <x:c r="T86" s="56"/>
      <x:c r="U86" s="55"/>
      <x:c r="V86" s="55"/>
      <x:c r="W86" s="55"/>
      <x:c r="X86" s="55"/>
      <x:c r="Y86" s="55"/>
      <x:c r="Z86" s="56"/>
      <x:c r="AA86" s="55"/>
      <x:c r="AC86" t="n">
        <x:f>IF(OR(A86="",D86=""),0,IF(COUNTIFS($A$17:A86,A86,$D$17:D86,D86)=1,1,0))</x:f>
        <x:v>0</x:v>
      </x:c>
      <x:c r="AD86" t="n">
        <x:f>IF(AC86=0,0,IF(OR(ISNUMBER(O86),P86="PO issued",P86="Under manufacturing",P86="Inspection pending",P86="Ready for dispatch",P86="Dispatched",P86="Partly received",P86="Fully received"),1,0))</x:f>
        <x:v>0</x:v>
      </x:c>
      <x:c r="AE86" t="n">
        <x:f>IF(AC86=0,0,IF(P86="Fully received",1,0))</x:f>
        <x:v>0</x:v>
      </x:c>
      <x:c r="AF86" t="n">
        <x:f>IF(AC86=0,0,1-AD86)</x:f>
        <x:v>0</x:v>
      </x:c>
    </x:row>
    <x:row r="87" ht="28" customHeight="1">
      <x:c r="A87" s="55"/>
      <x:c r="B87" s="55"/>
      <x:c r="C87" s="60"/>
      <x:c r="D87" s="55"/>
      <x:c r="E87" s="55"/>
      <x:c r="F87" s="55"/>
      <x:c r="G87" s="55"/>
      <x:c r="H87" s="55"/>
      <x:c r="I87" s="63"/>
      <x:c r="J87" s="63"/>
      <x:c r="K87" s="55"/>
      <x:c r="L87" s="65" t="str">
        <x:f>IF(COUNT(I87,K87)&lt;2,"",I87-K87)</x:f>
      </x:c>
      <x:c r="M87" s="56"/>
      <x:c r="N87" s="56"/>
      <x:c r="O87" s="56"/>
      <x:c r="P87" s="55"/>
      <x:c r="Q87" s="55"/>
      <x:c r="R87" s="56"/>
      <x:c r="S87" s="56"/>
      <x:c r="T87" s="56"/>
      <x:c r="U87" s="55"/>
      <x:c r="V87" s="55"/>
      <x:c r="W87" s="55"/>
      <x:c r="X87" s="55"/>
      <x:c r="Y87" s="55"/>
      <x:c r="Z87" s="56"/>
      <x:c r="AA87" s="55"/>
      <x:c r="AC87" t="n">
        <x:f>IF(OR(A87="",D87=""),0,IF(COUNTIFS($A$17:A87,A87,$D$17:D87,D87)=1,1,0))</x:f>
        <x:v>0</x:v>
      </x:c>
      <x:c r="AD87" t="n">
        <x:f>IF(AC87=0,0,IF(OR(ISNUMBER(O87),P87="PO issued",P87="Under manufacturing",P87="Inspection pending",P87="Ready for dispatch",P87="Dispatched",P87="Partly received",P87="Fully received"),1,0))</x:f>
        <x:v>0</x:v>
      </x:c>
      <x:c r="AE87" t="n">
        <x:f>IF(AC87=0,0,IF(P87="Fully received",1,0))</x:f>
        <x:v>0</x:v>
      </x:c>
      <x:c r="AF87" t="n">
        <x:f>IF(AC87=0,0,1-AD87)</x:f>
        <x:v>0</x:v>
      </x:c>
    </x:row>
    <x:row r="88" ht="28" customHeight="1">
      <x:c r="A88" s="55"/>
      <x:c r="B88" s="55"/>
      <x:c r="C88" s="60"/>
      <x:c r="D88" s="55"/>
      <x:c r="E88" s="55"/>
      <x:c r="F88" s="55"/>
      <x:c r="G88" s="55"/>
      <x:c r="H88" s="55"/>
      <x:c r="I88" s="63"/>
      <x:c r="J88" s="63"/>
      <x:c r="K88" s="55"/>
      <x:c r="L88" s="65" t="str">
        <x:f>IF(COUNT(I88,K88)&lt;2,"",I88-K88)</x:f>
      </x:c>
      <x:c r="M88" s="56"/>
      <x:c r="N88" s="56"/>
      <x:c r="O88" s="56"/>
      <x:c r="P88" s="55"/>
      <x:c r="Q88" s="55"/>
      <x:c r="R88" s="56"/>
      <x:c r="S88" s="56"/>
      <x:c r="T88" s="56"/>
      <x:c r="U88" s="55"/>
      <x:c r="V88" s="55"/>
      <x:c r="W88" s="55"/>
      <x:c r="X88" s="55"/>
      <x:c r="Y88" s="55"/>
      <x:c r="Z88" s="56"/>
      <x:c r="AA88" s="55"/>
      <x:c r="AC88" t="n">
        <x:f>IF(OR(A88="",D88=""),0,IF(COUNTIFS($A$17:A88,A88,$D$17:D88,D88)=1,1,0))</x:f>
        <x:v>0</x:v>
      </x:c>
      <x:c r="AD88" t="n">
        <x:f>IF(AC88=0,0,IF(OR(ISNUMBER(O88),P88="PO issued",P88="Under manufacturing",P88="Inspection pending",P88="Ready for dispatch",P88="Dispatched",P88="Partly received",P88="Fully received"),1,0))</x:f>
        <x:v>0</x:v>
      </x:c>
      <x:c r="AE88" t="n">
        <x:f>IF(AC88=0,0,IF(P88="Fully received",1,0))</x:f>
        <x:v>0</x:v>
      </x:c>
      <x:c r="AF88" t="n">
        <x:f>IF(AC88=0,0,1-AD88)</x:f>
        <x:v>0</x:v>
      </x:c>
    </x:row>
    <x:row r="89" ht="28" customHeight="1">
      <x:c r="A89" s="55"/>
      <x:c r="B89" s="55"/>
      <x:c r="C89" s="60"/>
      <x:c r="D89" s="55"/>
      <x:c r="E89" s="55"/>
      <x:c r="F89" s="55"/>
      <x:c r="G89" s="55"/>
      <x:c r="H89" s="55"/>
      <x:c r="I89" s="63"/>
      <x:c r="J89" s="63"/>
      <x:c r="K89" s="55"/>
      <x:c r="L89" s="65" t="str">
        <x:f>IF(COUNT(I89,K89)&lt;2,"",I89-K89)</x:f>
      </x:c>
      <x:c r="M89" s="56"/>
      <x:c r="N89" s="56"/>
      <x:c r="O89" s="56"/>
      <x:c r="P89" s="55"/>
      <x:c r="Q89" s="55"/>
      <x:c r="R89" s="56"/>
      <x:c r="S89" s="56"/>
      <x:c r="T89" s="56"/>
      <x:c r="U89" s="55"/>
      <x:c r="V89" s="55"/>
      <x:c r="W89" s="55"/>
      <x:c r="X89" s="55"/>
      <x:c r="Y89" s="55"/>
      <x:c r="Z89" s="56"/>
      <x:c r="AA89" s="55"/>
      <x:c r="AC89" t="n">
        <x:f>IF(OR(A89="",D89=""),0,IF(COUNTIFS($A$17:A89,A89,$D$17:D89,D89)=1,1,0))</x:f>
        <x:v>0</x:v>
      </x:c>
      <x:c r="AD89" t="n">
        <x:f>IF(AC89=0,0,IF(OR(ISNUMBER(O89),P89="PO issued",P89="Under manufacturing",P89="Inspection pending",P89="Ready for dispatch",P89="Dispatched",P89="Partly received",P89="Fully received"),1,0))</x:f>
        <x:v>0</x:v>
      </x:c>
      <x:c r="AE89" t="n">
        <x:f>IF(AC89=0,0,IF(P89="Fully received",1,0))</x:f>
        <x:v>0</x:v>
      </x:c>
      <x:c r="AF89" t="n">
        <x:f>IF(AC89=0,0,1-AD89)</x:f>
        <x:v>0</x:v>
      </x:c>
    </x:row>
    <x:row r="90" ht="28" customHeight="1">
      <x:c r="A90" s="55"/>
      <x:c r="B90" s="55"/>
      <x:c r="C90" s="60"/>
      <x:c r="D90" s="55"/>
      <x:c r="E90" s="55"/>
      <x:c r="F90" s="55"/>
      <x:c r="G90" s="55"/>
      <x:c r="H90" s="55"/>
      <x:c r="I90" s="63"/>
      <x:c r="J90" s="63"/>
      <x:c r="K90" s="55"/>
      <x:c r="L90" s="65" t="str">
        <x:f>IF(COUNT(I90,K90)&lt;2,"",I90-K90)</x:f>
      </x:c>
      <x:c r="M90" s="56"/>
      <x:c r="N90" s="56"/>
      <x:c r="O90" s="56"/>
      <x:c r="P90" s="55"/>
      <x:c r="Q90" s="55"/>
      <x:c r="R90" s="56"/>
      <x:c r="S90" s="56"/>
      <x:c r="T90" s="56"/>
      <x:c r="U90" s="55"/>
      <x:c r="V90" s="55"/>
      <x:c r="W90" s="55"/>
      <x:c r="X90" s="55"/>
      <x:c r="Y90" s="55"/>
      <x:c r="Z90" s="56"/>
      <x:c r="AA90" s="55"/>
      <x:c r="AC90" t="n">
        <x:f>IF(OR(A90="",D90=""),0,IF(COUNTIFS($A$17:A90,A90,$D$17:D90,D90)=1,1,0))</x:f>
        <x:v>0</x:v>
      </x:c>
      <x:c r="AD90" t="n">
        <x:f>IF(AC90=0,0,IF(OR(ISNUMBER(O90),P90="PO issued",P90="Under manufacturing",P90="Inspection pending",P90="Ready for dispatch",P90="Dispatched",P90="Partly received",P90="Fully received"),1,0))</x:f>
        <x:v>0</x:v>
      </x:c>
      <x:c r="AE90" t="n">
        <x:f>IF(AC90=0,0,IF(P90="Fully received",1,0))</x:f>
        <x:v>0</x:v>
      </x:c>
      <x:c r="AF90" t="n">
        <x:f>IF(AC90=0,0,1-AD90)</x:f>
        <x:v>0</x:v>
      </x:c>
    </x:row>
    <x:row r="91" ht="28" customHeight="1">
      <x:c r="A91" s="55"/>
      <x:c r="B91" s="55"/>
      <x:c r="C91" s="60"/>
      <x:c r="D91" s="55"/>
      <x:c r="E91" s="55"/>
      <x:c r="F91" s="55"/>
      <x:c r="G91" s="55"/>
      <x:c r="H91" s="55"/>
      <x:c r="I91" s="63"/>
      <x:c r="J91" s="63"/>
      <x:c r="K91" s="55"/>
      <x:c r="L91" s="65" t="str">
        <x:f>IF(COUNT(I91,K91)&lt;2,"",I91-K91)</x:f>
      </x:c>
      <x:c r="M91" s="56"/>
      <x:c r="N91" s="56"/>
      <x:c r="O91" s="56"/>
      <x:c r="P91" s="55"/>
      <x:c r="Q91" s="55"/>
      <x:c r="R91" s="56"/>
      <x:c r="S91" s="56"/>
      <x:c r="T91" s="56"/>
      <x:c r="U91" s="55"/>
      <x:c r="V91" s="55"/>
      <x:c r="W91" s="55"/>
      <x:c r="X91" s="55"/>
      <x:c r="Y91" s="55"/>
      <x:c r="Z91" s="56"/>
      <x:c r="AA91" s="55"/>
      <x:c r="AC91" t="n">
        <x:f>IF(OR(A91="",D91=""),0,IF(COUNTIFS($A$17:A91,A91,$D$17:D91,D91)=1,1,0))</x:f>
        <x:v>0</x:v>
      </x:c>
      <x:c r="AD91" t="n">
        <x:f>IF(AC91=0,0,IF(OR(ISNUMBER(O91),P91="PO issued",P91="Under manufacturing",P91="Inspection pending",P91="Ready for dispatch",P91="Dispatched",P91="Partly received",P91="Fully received"),1,0))</x:f>
        <x:v>0</x:v>
      </x:c>
      <x:c r="AE91" t="n">
        <x:f>IF(AC91=0,0,IF(P91="Fully received",1,0))</x:f>
        <x:v>0</x:v>
      </x:c>
      <x:c r="AF91" t="n">
        <x:f>IF(AC91=0,0,1-AD91)</x:f>
        <x:v>0</x:v>
      </x:c>
    </x:row>
    <x:row r="92" ht="28" customHeight="1">
      <x:c r="A92" s="55"/>
      <x:c r="B92" s="55"/>
      <x:c r="C92" s="60"/>
      <x:c r="D92" s="55"/>
      <x:c r="E92" s="55"/>
      <x:c r="F92" s="55"/>
      <x:c r="G92" s="55"/>
      <x:c r="H92" s="55"/>
      <x:c r="I92" s="63"/>
      <x:c r="J92" s="63"/>
      <x:c r="K92" s="55"/>
      <x:c r="L92" s="65" t="str">
        <x:f>IF(COUNT(I92,K92)&lt;2,"",I92-K92)</x:f>
      </x:c>
      <x:c r="M92" s="56"/>
      <x:c r="N92" s="56"/>
      <x:c r="O92" s="56"/>
      <x:c r="P92" s="55"/>
      <x:c r="Q92" s="55"/>
      <x:c r="R92" s="56"/>
      <x:c r="S92" s="56"/>
      <x:c r="T92" s="56"/>
      <x:c r="U92" s="55"/>
      <x:c r="V92" s="55"/>
      <x:c r="W92" s="55"/>
      <x:c r="X92" s="55"/>
      <x:c r="Y92" s="55"/>
      <x:c r="Z92" s="56"/>
      <x:c r="AA92" s="55"/>
      <x:c r="AC92" t="n">
        <x:f>IF(OR(A92="",D92=""),0,IF(COUNTIFS($A$17:A92,A92,$D$17:D92,D92)=1,1,0))</x:f>
        <x:v>0</x:v>
      </x:c>
      <x:c r="AD92" t="n">
        <x:f>IF(AC92=0,0,IF(OR(ISNUMBER(O92),P92="PO issued",P92="Under manufacturing",P92="Inspection pending",P92="Ready for dispatch",P92="Dispatched",P92="Partly received",P92="Fully received"),1,0))</x:f>
        <x:v>0</x:v>
      </x:c>
      <x:c r="AE92" t="n">
        <x:f>IF(AC92=0,0,IF(P92="Fully received",1,0))</x:f>
        <x:v>0</x:v>
      </x:c>
      <x:c r="AF92" t="n">
        <x:f>IF(AC92=0,0,1-AD92)</x:f>
        <x:v>0</x:v>
      </x:c>
    </x:row>
    <x:row r="93" ht="28" customHeight="1">
      <x:c r="A93" s="55"/>
      <x:c r="B93" s="55"/>
      <x:c r="C93" s="60"/>
      <x:c r="D93" s="55"/>
      <x:c r="E93" s="55"/>
      <x:c r="F93" s="55"/>
      <x:c r="G93" s="55"/>
      <x:c r="H93" s="55"/>
      <x:c r="I93" s="63"/>
      <x:c r="J93" s="63"/>
      <x:c r="K93" s="55"/>
      <x:c r="L93" s="65" t="str">
        <x:f>IF(COUNT(I93,K93)&lt;2,"",I93-K93)</x:f>
      </x:c>
      <x:c r="M93" s="56"/>
      <x:c r="N93" s="56"/>
      <x:c r="O93" s="56"/>
      <x:c r="P93" s="55"/>
      <x:c r="Q93" s="55"/>
      <x:c r="R93" s="56"/>
      <x:c r="S93" s="56"/>
      <x:c r="T93" s="56"/>
      <x:c r="U93" s="55"/>
      <x:c r="V93" s="55"/>
      <x:c r="W93" s="55"/>
      <x:c r="X93" s="55"/>
      <x:c r="Y93" s="55"/>
      <x:c r="Z93" s="56"/>
      <x:c r="AA93" s="55"/>
      <x:c r="AC93" t="n">
        <x:f>IF(OR(A93="",D93=""),0,IF(COUNTIFS($A$17:A93,A93,$D$17:D93,D93)=1,1,0))</x:f>
        <x:v>0</x:v>
      </x:c>
      <x:c r="AD93" t="n">
        <x:f>IF(AC93=0,0,IF(OR(ISNUMBER(O93),P93="PO issued",P93="Under manufacturing",P93="Inspection pending",P93="Ready for dispatch",P93="Dispatched",P93="Partly received",P93="Fully received"),1,0))</x:f>
        <x:v>0</x:v>
      </x:c>
      <x:c r="AE93" t="n">
        <x:f>IF(AC93=0,0,IF(P93="Fully received",1,0))</x:f>
        <x:v>0</x:v>
      </x:c>
      <x:c r="AF93" t="n">
        <x:f>IF(AC93=0,0,1-AD93)</x:f>
        <x:v>0</x:v>
      </x:c>
    </x:row>
    <x:row r="94" ht="28" customHeight="1">
      <x:c r="A94" s="55"/>
      <x:c r="B94" s="55"/>
      <x:c r="C94" s="60"/>
      <x:c r="D94" s="55"/>
      <x:c r="E94" s="55"/>
      <x:c r="F94" s="55"/>
      <x:c r="G94" s="55"/>
      <x:c r="H94" s="55"/>
      <x:c r="I94" s="63"/>
      <x:c r="J94" s="63"/>
      <x:c r="K94" s="55"/>
      <x:c r="L94" s="65" t="str">
        <x:f>IF(COUNT(I94,K94)&lt;2,"",I94-K94)</x:f>
      </x:c>
      <x:c r="M94" s="56"/>
      <x:c r="N94" s="56"/>
      <x:c r="O94" s="56"/>
      <x:c r="P94" s="55"/>
      <x:c r="Q94" s="55"/>
      <x:c r="R94" s="56"/>
      <x:c r="S94" s="56"/>
      <x:c r="T94" s="56"/>
      <x:c r="U94" s="55"/>
      <x:c r="V94" s="55"/>
      <x:c r="W94" s="55"/>
      <x:c r="X94" s="55"/>
      <x:c r="Y94" s="55"/>
      <x:c r="Z94" s="56"/>
      <x:c r="AA94" s="55"/>
      <x:c r="AC94" t="n">
        <x:f>IF(OR(A94="",D94=""),0,IF(COUNTIFS($A$17:A94,A94,$D$17:D94,D94)=1,1,0))</x:f>
        <x:v>0</x:v>
      </x:c>
      <x:c r="AD94" t="n">
        <x:f>IF(AC94=0,0,IF(OR(ISNUMBER(O94),P94="PO issued",P94="Under manufacturing",P94="Inspection pending",P94="Ready for dispatch",P94="Dispatched",P94="Partly received",P94="Fully received"),1,0))</x:f>
        <x:v>0</x:v>
      </x:c>
      <x:c r="AE94" t="n">
        <x:f>IF(AC94=0,0,IF(P94="Fully received",1,0))</x:f>
        <x:v>0</x:v>
      </x:c>
      <x:c r="AF94" t="n">
        <x:f>IF(AC94=0,0,1-AD94)</x:f>
        <x:v>0</x:v>
      </x:c>
    </x:row>
    <x:row r="95" ht="28" customHeight="1">
      <x:c r="A95" s="55"/>
      <x:c r="B95" s="55"/>
      <x:c r="C95" s="60"/>
      <x:c r="D95" s="55"/>
      <x:c r="E95" s="55"/>
      <x:c r="F95" s="55"/>
      <x:c r="G95" s="55"/>
      <x:c r="H95" s="55"/>
      <x:c r="I95" s="63"/>
      <x:c r="J95" s="63"/>
      <x:c r="K95" s="55"/>
      <x:c r="L95" s="65" t="str">
        <x:f>IF(COUNT(I95,K95)&lt;2,"",I95-K95)</x:f>
      </x:c>
      <x:c r="M95" s="56"/>
      <x:c r="N95" s="56"/>
      <x:c r="O95" s="56"/>
      <x:c r="P95" s="55"/>
      <x:c r="Q95" s="55"/>
      <x:c r="R95" s="56"/>
      <x:c r="S95" s="56"/>
      <x:c r="T95" s="56"/>
      <x:c r="U95" s="55"/>
      <x:c r="V95" s="55"/>
      <x:c r="W95" s="55"/>
      <x:c r="X95" s="55"/>
      <x:c r="Y95" s="55"/>
      <x:c r="Z95" s="56"/>
      <x:c r="AA95" s="55"/>
      <x:c r="AC95" t="n">
        <x:f>IF(OR(A95="",D95=""),0,IF(COUNTIFS($A$17:A95,A95,$D$17:D95,D95)=1,1,0))</x:f>
        <x:v>0</x:v>
      </x:c>
      <x:c r="AD95" t="n">
        <x:f>IF(AC95=0,0,IF(OR(ISNUMBER(O95),P95="PO issued",P95="Under manufacturing",P95="Inspection pending",P95="Ready for dispatch",P95="Dispatched",P95="Partly received",P95="Fully received"),1,0))</x:f>
        <x:v>0</x:v>
      </x:c>
      <x:c r="AE95" t="n">
        <x:f>IF(AC95=0,0,IF(P95="Fully received",1,0))</x:f>
        <x:v>0</x:v>
      </x:c>
      <x:c r="AF95" t="n">
        <x:f>IF(AC95=0,0,1-AD95)</x:f>
        <x:v>0</x:v>
      </x:c>
    </x:row>
    <x:row r="96" ht="28" customHeight="1">
      <x:c r="A96" s="55"/>
      <x:c r="B96" s="55"/>
      <x:c r="C96" s="60"/>
      <x:c r="D96" s="55"/>
      <x:c r="E96" s="55"/>
      <x:c r="F96" s="55"/>
      <x:c r="G96" s="55"/>
      <x:c r="H96" s="55"/>
      <x:c r="I96" s="63"/>
      <x:c r="J96" s="63"/>
      <x:c r="K96" s="55"/>
      <x:c r="L96" s="65" t="str">
        <x:f>IF(COUNT(I96,K96)&lt;2,"",I96-K96)</x:f>
      </x:c>
      <x:c r="M96" s="56"/>
      <x:c r="N96" s="56"/>
      <x:c r="O96" s="56"/>
      <x:c r="P96" s="55"/>
      <x:c r="Q96" s="55"/>
      <x:c r="R96" s="56"/>
      <x:c r="S96" s="56"/>
      <x:c r="T96" s="56"/>
      <x:c r="U96" s="55"/>
      <x:c r="V96" s="55"/>
      <x:c r="W96" s="55"/>
      <x:c r="X96" s="55"/>
      <x:c r="Y96" s="55"/>
      <x:c r="Z96" s="56"/>
      <x:c r="AA96" s="55"/>
      <x:c r="AC96" t="n">
        <x:f>IF(OR(A96="",D96=""),0,IF(COUNTIFS($A$17:A96,A96,$D$17:D96,D96)=1,1,0))</x:f>
        <x:v>0</x:v>
      </x:c>
      <x:c r="AD96" t="n">
        <x:f>IF(AC96=0,0,IF(OR(ISNUMBER(O96),P96="PO issued",P96="Under manufacturing",P96="Inspection pending",P96="Ready for dispatch",P96="Dispatched",P96="Partly received",P96="Fully received"),1,0))</x:f>
        <x:v>0</x:v>
      </x:c>
      <x:c r="AE96" t="n">
        <x:f>IF(AC96=0,0,IF(P96="Fully received",1,0))</x:f>
        <x:v>0</x:v>
      </x:c>
      <x:c r="AF96" t="n">
        <x:f>IF(AC96=0,0,1-AD96)</x:f>
        <x:v>0</x:v>
      </x:c>
    </x:row>
    <x:row r="97" ht="28" customHeight="1">
      <x:c r="A97" s="55"/>
      <x:c r="B97" s="55"/>
      <x:c r="C97" s="60"/>
      <x:c r="D97" s="55"/>
      <x:c r="E97" s="55"/>
      <x:c r="F97" s="55"/>
      <x:c r="G97" s="55"/>
      <x:c r="H97" s="55"/>
      <x:c r="I97" s="63"/>
      <x:c r="J97" s="63"/>
      <x:c r="K97" s="55"/>
      <x:c r="L97" s="65" t="str">
        <x:f>IF(COUNT(I97,K97)&lt;2,"",I97-K97)</x:f>
      </x:c>
      <x:c r="M97" s="56"/>
      <x:c r="N97" s="56"/>
      <x:c r="O97" s="56"/>
      <x:c r="P97" s="55"/>
      <x:c r="Q97" s="55"/>
      <x:c r="R97" s="56"/>
      <x:c r="S97" s="56"/>
      <x:c r="T97" s="56"/>
      <x:c r="U97" s="55"/>
      <x:c r="V97" s="55"/>
      <x:c r="W97" s="55"/>
      <x:c r="X97" s="55"/>
      <x:c r="Y97" s="55"/>
      <x:c r="Z97" s="56"/>
      <x:c r="AA97" s="55"/>
      <x:c r="AC97" t="n">
        <x:f>IF(OR(A97="",D97=""),0,IF(COUNTIFS($A$17:A97,A97,$D$17:D97,D97)=1,1,0))</x:f>
        <x:v>0</x:v>
      </x:c>
      <x:c r="AD97" t="n">
        <x:f>IF(AC97=0,0,IF(OR(ISNUMBER(O97),P97="PO issued",P97="Under manufacturing",P97="Inspection pending",P97="Ready for dispatch",P97="Dispatched",P97="Partly received",P97="Fully received"),1,0))</x:f>
        <x:v>0</x:v>
      </x:c>
      <x:c r="AE97" t="n">
        <x:f>IF(AC97=0,0,IF(P97="Fully received",1,0))</x:f>
        <x:v>0</x:v>
      </x:c>
      <x:c r="AF97" t="n">
        <x:f>IF(AC97=0,0,1-AD97)</x:f>
        <x:v>0</x:v>
      </x:c>
    </x:row>
    <x:row r="98" ht="28" customHeight="1">
      <x:c r="A98" s="55"/>
      <x:c r="B98" s="55"/>
      <x:c r="C98" s="60"/>
      <x:c r="D98" s="55"/>
      <x:c r="E98" s="55"/>
      <x:c r="F98" s="55"/>
      <x:c r="G98" s="55"/>
      <x:c r="H98" s="55"/>
      <x:c r="I98" s="63"/>
      <x:c r="J98" s="63"/>
      <x:c r="K98" s="55"/>
      <x:c r="L98" s="65" t="str">
        <x:f>IF(COUNT(I98,K98)&lt;2,"",I98-K98)</x:f>
      </x:c>
      <x:c r="M98" s="56"/>
      <x:c r="N98" s="56"/>
      <x:c r="O98" s="56"/>
      <x:c r="P98" s="55"/>
      <x:c r="Q98" s="55"/>
      <x:c r="R98" s="56"/>
      <x:c r="S98" s="56"/>
      <x:c r="T98" s="56"/>
      <x:c r="U98" s="55"/>
      <x:c r="V98" s="55"/>
      <x:c r="W98" s="55"/>
      <x:c r="X98" s="55"/>
      <x:c r="Y98" s="55"/>
      <x:c r="Z98" s="56"/>
      <x:c r="AA98" s="55"/>
      <x:c r="AC98" t="n">
        <x:f>IF(OR(A98="",D98=""),0,IF(COUNTIFS($A$17:A98,A98,$D$17:D98,D98)=1,1,0))</x:f>
        <x:v>0</x:v>
      </x:c>
      <x:c r="AD98" t="n">
        <x:f>IF(AC98=0,0,IF(OR(ISNUMBER(O98),P98="PO issued",P98="Under manufacturing",P98="Inspection pending",P98="Ready for dispatch",P98="Dispatched",P98="Partly received",P98="Fully received"),1,0))</x:f>
        <x:v>0</x:v>
      </x:c>
      <x:c r="AE98" t="n">
        <x:f>IF(AC98=0,0,IF(P98="Fully received",1,0))</x:f>
        <x:v>0</x:v>
      </x:c>
      <x:c r="AF98" t="n">
        <x:f>IF(AC98=0,0,1-AD98)</x:f>
        <x:v>0</x:v>
      </x:c>
    </x:row>
    <x:row r="99" ht="28" customHeight="1">
      <x:c r="A99" s="55"/>
      <x:c r="B99" s="55"/>
      <x:c r="C99" s="60"/>
      <x:c r="D99" s="55"/>
      <x:c r="E99" s="55"/>
      <x:c r="F99" s="55"/>
      <x:c r="G99" s="55"/>
      <x:c r="H99" s="55"/>
      <x:c r="I99" s="63"/>
      <x:c r="J99" s="63"/>
      <x:c r="K99" s="55"/>
      <x:c r="L99" s="65" t="str">
        <x:f>IF(COUNT(I99,K99)&lt;2,"",I99-K99)</x:f>
      </x:c>
      <x:c r="M99" s="56"/>
      <x:c r="N99" s="56"/>
      <x:c r="O99" s="56"/>
      <x:c r="P99" s="55"/>
      <x:c r="Q99" s="55"/>
      <x:c r="R99" s="56"/>
      <x:c r="S99" s="56"/>
      <x:c r="T99" s="56"/>
      <x:c r="U99" s="55"/>
      <x:c r="V99" s="55"/>
      <x:c r="W99" s="55"/>
      <x:c r="X99" s="55"/>
      <x:c r="Y99" s="55"/>
      <x:c r="Z99" s="56"/>
      <x:c r="AA99" s="55"/>
      <x:c r="AC99" t="n">
        <x:f>IF(OR(A99="",D99=""),0,IF(COUNTIFS($A$17:A99,A99,$D$17:D99,D99)=1,1,0))</x:f>
        <x:v>0</x:v>
      </x:c>
      <x:c r="AD99" t="n">
        <x:f>IF(AC99=0,0,IF(OR(ISNUMBER(O99),P99="PO issued",P99="Under manufacturing",P99="Inspection pending",P99="Ready for dispatch",P99="Dispatched",P99="Partly received",P99="Fully received"),1,0))</x:f>
        <x:v>0</x:v>
      </x:c>
      <x:c r="AE99" t="n">
        <x:f>IF(AC99=0,0,IF(P99="Fully received",1,0))</x:f>
        <x:v>0</x:v>
      </x:c>
      <x:c r="AF99" t="n">
        <x:f>IF(AC99=0,0,1-AD99)</x:f>
        <x:v>0</x:v>
      </x:c>
    </x:row>
    <x:row r="100" ht="28" customHeight="1">
      <x:c r="A100" s="55"/>
      <x:c r="B100" s="55"/>
      <x:c r="C100" s="60"/>
      <x:c r="D100" s="55"/>
      <x:c r="E100" s="55"/>
      <x:c r="F100" s="55"/>
      <x:c r="G100" s="55"/>
      <x:c r="H100" s="55"/>
      <x:c r="I100" s="63"/>
      <x:c r="J100" s="63"/>
      <x:c r="K100" s="55"/>
      <x:c r="L100" s="65" t="str">
        <x:f>IF(COUNT(I100,K100)&lt;2,"",I100-K100)</x:f>
      </x:c>
      <x:c r="M100" s="56"/>
      <x:c r="N100" s="56"/>
      <x:c r="O100" s="56"/>
      <x:c r="P100" s="55"/>
      <x:c r="Q100" s="55"/>
      <x:c r="R100" s="56"/>
      <x:c r="S100" s="56"/>
      <x:c r="T100" s="56"/>
      <x:c r="U100" s="55"/>
      <x:c r="V100" s="55"/>
      <x:c r="W100" s="55"/>
      <x:c r="X100" s="55"/>
      <x:c r="Y100" s="55"/>
      <x:c r="Z100" s="56"/>
      <x:c r="AA100" s="55"/>
      <x:c r="AC100" t="n">
        <x:f>IF(OR(A100="",D100=""),0,IF(COUNTIFS($A$17:A100,A100,$D$17:D100,D100)=1,1,0))</x:f>
        <x:v>0</x:v>
      </x:c>
      <x:c r="AD100" t="n">
        <x:f>IF(AC100=0,0,IF(OR(ISNUMBER(O100),P100="PO issued",P100="Under manufacturing",P100="Inspection pending",P100="Ready for dispatch",P100="Dispatched",P100="Partly received",P100="Fully received"),1,0))</x:f>
        <x:v>0</x:v>
      </x:c>
      <x:c r="AE100" t="n">
        <x:f>IF(AC100=0,0,IF(P100="Fully received",1,0))</x:f>
        <x:v>0</x:v>
      </x:c>
      <x:c r="AF100" t="n">
        <x:f>IF(AC100=0,0,1-AD100)</x:f>
        <x:v>0</x:v>
      </x:c>
    </x:row>
    <x:row r="101" ht="28" customHeight="1">
      <x:c r="A101" s="55"/>
      <x:c r="B101" s="55"/>
      <x:c r="C101" s="60"/>
      <x:c r="D101" s="55"/>
      <x:c r="E101" s="55"/>
      <x:c r="F101" s="55"/>
      <x:c r="G101" s="55"/>
      <x:c r="H101" s="55"/>
      <x:c r="I101" s="63"/>
      <x:c r="J101" s="63"/>
      <x:c r="K101" s="55"/>
      <x:c r="L101" s="65" t="str">
        <x:f>IF(COUNT(I101,K101)&lt;2,"",I101-K101)</x:f>
      </x:c>
      <x:c r="M101" s="56"/>
      <x:c r="N101" s="56"/>
      <x:c r="O101" s="56"/>
      <x:c r="P101" s="55"/>
      <x:c r="Q101" s="55"/>
      <x:c r="R101" s="56"/>
      <x:c r="S101" s="56"/>
      <x:c r="T101" s="56"/>
      <x:c r="U101" s="55"/>
      <x:c r="V101" s="55"/>
      <x:c r="W101" s="55"/>
      <x:c r="X101" s="55"/>
      <x:c r="Y101" s="55"/>
      <x:c r="Z101" s="56"/>
      <x:c r="AA101" s="55"/>
      <x:c r="AC101" t="n">
        <x:f>IF(OR(A101="",D101=""),0,IF(COUNTIFS($A$17:A101,A101,$D$17:D101,D101)=1,1,0))</x:f>
        <x:v>0</x:v>
      </x:c>
      <x:c r="AD101" t="n">
        <x:f>IF(AC101=0,0,IF(OR(ISNUMBER(O101),P101="PO issued",P101="Under manufacturing",P101="Inspection pending",P101="Ready for dispatch",P101="Dispatched",P101="Partly received",P101="Fully received"),1,0))</x:f>
        <x:v>0</x:v>
      </x:c>
      <x:c r="AE101" t="n">
        <x:f>IF(AC101=0,0,IF(P101="Fully received",1,0))</x:f>
        <x:v>0</x:v>
      </x:c>
      <x:c r="AF101" t="n">
        <x:f>IF(AC101=0,0,1-AD101)</x:f>
        <x:v>0</x:v>
      </x:c>
    </x:row>
    <x:row r="102" ht="28" customHeight="1">
      <x:c r="A102" s="55"/>
      <x:c r="B102" s="55"/>
      <x:c r="C102" s="60"/>
      <x:c r="D102" s="55"/>
      <x:c r="E102" s="55"/>
      <x:c r="F102" s="55"/>
      <x:c r="G102" s="55"/>
      <x:c r="H102" s="55"/>
      <x:c r="I102" s="63"/>
      <x:c r="J102" s="63"/>
      <x:c r="K102" s="55"/>
      <x:c r="L102" s="65" t="str">
        <x:f>IF(COUNT(I102,K102)&lt;2,"",I102-K102)</x:f>
      </x:c>
      <x:c r="M102" s="56"/>
      <x:c r="N102" s="56"/>
      <x:c r="O102" s="56"/>
      <x:c r="P102" s="55"/>
      <x:c r="Q102" s="55"/>
      <x:c r="R102" s="56"/>
      <x:c r="S102" s="56"/>
      <x:c r="T102" s="56"/>
      <x:c r="U102" s="55"/>
      <x:c r="V102" s="55"/>
      <x:c r="W102" s="55"/>
      <x:c r="X102" s="55"/>
      <x:c r="Y102" s="55"/>
      <x:c r="Z102" s="56"/>
      <x:c r="AA102" s="55"/>
      <x:c r="AC102" t="n">
        <x:f>IF(OR(A102="",D102=""),0,IF(COUNTIFS($A$17:A102,A102,$D$17:D102,D102)=1,1,0))</x:f>
        <x:v>0</x:v>
      </x:c>
      <x:c r="AD102" t="n">
        <x:f>IF(AC102=0,0,IF(OR(ISNUMBER(O102),P102="PO issued",P102="Under manufacturing",P102="Inspection pending",P102="Ready for dispatch",P102="Dispatched",P102="Partly received",P102="Fully received"),1,0))</x:f>
        <x:v>0</x:v>
      </x:c>
      <x:c r="AE102" t="n">
        <x:f>IF(AC102=0,0,IF(P102="Fully received",1,0))</x:f>
        <x:v>0</x:v>
      </x:c>
      <x:c r="AF102" t="n">
        <x:f>IF(AC102=0,0,1-AD102)</x:f>
        <x:v>0</x:v>
      </x:c>
    </x:row>
    <x:row r="103" ht="28" customHeight="1">
      <x:c r="A103" s="55"/>
      <x:c r="B103" s="55"/>
      <x:c r="C103" s="60"/>
      <x:c r="D103" s="55"/>
      <x:c r="E103" s="55"/>
      <x:c r="F103" s="55"/>
      <x:c r="G103" s="55"/>
      <x:c r="H103" s="55"/>
      <x:c r="I103" s="63"/>
      <x:c r="J103" s="63"/>
      <x:c r="K103" s="55"/>
      <x:c r="L103" s="65" t="str">
        <x:f>IF(COUNT(I103,K103)&lt;2,"",I103-K103)</x:f>
      </x:c>
      <x:c r="M103" s="56"/>
      <x:c r="N103" s="56"/>
      <x:c r="O103" s="56"/>
      <x:c r="P103" s="55"/>
      <x:c r="Q103" s="55"/>
      <x:c r="R103" s="56"/>
      <x:c r="S103" s="56"/>
      <x:c r="T103" s="56"/>
      <x:c r="U103" s="55"/>
      <x:c r="V103" s="55"/>
      <x:c r="W103" s="55"/>
      <x:c r="X103" s="55"/>
      <x:c r="Y103" s="55"/>
      <x:c r="Z103" s="56"/>
      <x:c r="AA103" s="55"/>
      <x:c r="AC103" t="n">
        <x:f>IF(OR(A103="",D103=""),0,IF(COUNTIFS($A$17:A103,A103,$D$17:D103,D103)=1,1,0))</x:f>
        <x:v>0</x:v>
      </x:c>
      <x:c r="AD103" t="n">
        <x:f>IF(AC103=0,0,IF(OR(ISNUMBER(O103),P103="PO issued",P103="Under manufacturing",P103="Inspection pending",P103="Ready for dispatch",P103="Dispatched",P103="Partly received",P103="Fully received"),1,0))</x:f>
        <x:v>0</x:v>
      </x:c>
      <x:c r="AE103" t="n">
        <x:f>IF(AC103=0,0,IF(P103="Fully received",1,0))</x:f>
        <x:v>0</x:v>
      </x:c>
      <x:c r="AF103" t="n">
        <x:f>IF(AC103=0,0,1-AD103)</x:f>
        <x:v>0</x:v>
      </x:c>
    </x:row>
    <x:row r="104" ht="28" customHeight="1">
      <x:c r="A104" s="55"/>
      <x:c r="B104" s="55"/>
      <x:c r="C104" s="60"/>
      <x:c r="D104" s="55"/>
      <x:c r="E104" s="55"/>
      <x:c r="F104" s="55"/>
      <x:c r="G104" s="55"/>
      <x:c r="H104" s="55"/>
      <x:c r="I104" s="63"/>
      <x:c r="J104" s="63"/>
      <x:c r="K104" s="55"/>
      <x:c r="L104" s="65" t="str">
        <x:f>IF(COUNT(I104,K104)&lt;2,"",I104-K104)</x:f>
      </x:c>
      <x:c r="M104" s="56"/>
      <x:c r="N104" s="56"/>
      <x:c r="O104" s="56"/>
      <x:c r="P104" s="55"/>
      <x:c r="Q104" s="55"/>
      <x:c r="R104" s="56"/>
      <x:c r="S104" s="56"/>
      <x:c r="T104" s="56"/>
      <x:c r="U104" s="55"/>
      <x:c r="V104" s="55"/>
      <x:c r="W104" s="55"/>
      <x:c r="X104" s="55"/>
      <x:c r="Y104" s="55"/>
      <x:c r="Z104" s="56"/>
      <x:c r="AA104" s="55"/>
      <x:c r="AC104" t="n">
        <x:f>IF(OR(A104="",D104=""),0,IF(COUNTIFS($A$17:A104,A104,$D$17:D104,D104)=1,1,0))</x:f>
        <x:v>0</x:v>
      </x:c>
      <x:c r="AD104" t="n">
        <x:f>IF(AC104=0,0,IF(OR(ISNUMBER(O104),P104="PO issued",P104="Under manufacturing",P104="Inspection pending",P104="Ready for dispatch",P104="Dispatched",P104="Partly received",P104="Fully received"),1,0))</x:f>
        <x:v>0</x:v>
      </x:c>
      <x:c r="AE104" t="n">
        <x:f>IF(AC104=0,0,IF(P104="Fully received",1,0))</x:f>
        <x:v>0</x:v>
      </x:c>
      <x:c r="AF104" t="n">
        <x:f>IF(AC104=0,0,1-AD104)</x:f>
        <x:v>0</x:v>
      </x:c>
    </x:row>
    <x:row r="105" ht="28" customHeight="1">
      <x:c r="A105" s="55"/>
      <x:c r="B105" s="55"/>
      <x:c r="C105" s="60"/>
      <x:c r="D105" s="55"/>
      <x:c r="E105" s="55"/>
      <x:c r="F105" s="55"/>
      <x:c r="G105" s="55"/>
      <x:c r="H105" s="55"/>
      <x:c r="I105" s="63"/>
      <x:c r="J105" s="63"/>
      <x:c r="K105" s="55"/>
      <x:c r="L105" s="65" t="str">
        <x:f>IF(COUNT(I105,K105)&lt;2,"",I105-K105)</x:f>
      </x:c>
      <x:c r="M105" s="56"/>
      <x:c r="N105" s="56"/>
      <x:c r="O105" s="56"/>
      <x:c r="P105" s="55"/>
      <x:c r="Q105" s="55"/>
      <x:c r="R105" s="56"/>
      <x:c r="S105" s="56"/>
      <x:c r="T105" s="56"/>
      <x:c r="U105" s="55"/>
      <x:c r="V105" s="55"/>
      <x:c r="W105" s="55"/>
      <x:c r="X105" s="55"/>
      <x:c r="Y105" s="55"/>
      <x:c r="Z105" s="56"/>
      <x:c r="AA105" s="55"/>
      <x:c r="AC105" t="n">
        <x:f>IF(OR(A105="",D105=""),0,IF(COUNTIFS($A$17:A105,A105,$D$17:D105,D105)=1,1,0))</x:f>
        <x:v>0</x:v>
      </x:c>
      <x:c r="AD105" t="n">
        <x:f>IF(AC105=0,0,IF(OR(ISNUMBER(O105),P105="PO issued",P105="Under manufacturing",P105="Inspection pending",P105="Ready for dispatch",P105="Dispatched",P105="Partly received",P105="Fully received"),1,0))</x:f>
        <x:v>0</x:v>
      </x:c>
      <x:c r="AE105" t="n">
        <x:f>IF(AC105=0,0,IF(P105="Fully received",1,0))</x:f>
        <x:v>0</x:v>
      </x:c>
      <x:c r="AF105" t="n">
        <x:f>IF(AC105=0,0,1-AD105)</x:f>
        <x:v>0</x:v>
      </x:c>
    </x:row>
    <x:row r="106" ht="28" customHeight="1">
      <x:c r="A106" s="55"/>
      <x:c r="B106" s="55"/>
      <x:c r="C106" s="60"/>
      <x:c r="D106" s="55"/>
      <x:c r="E106" s="55"/>
      <x:c r="F106" s="55"/>
      <x:c r="G106" s="55"/>
      <x:c r="H106" s="55"/>
      <x:c r="I106" s="63"/>
      <x:c r="J106" s="63"/>
      <x:c r="K106" s="55"/>
      <x:c r="L106" s="65" t="str">
        <x:f>IF(COUNT(I106,K106)&lt;2,"",I106-K106)</x:f>
      </x:c>
      <x:c r="M106" s="56"/>
      <x:c r="N106" s="56"/>
      <x:c r="O106" s="56"/>
      <x:c r="P106" s="55"/>
      <x:c r="Q106" s="55"/>
      <x:c r="R106" s="56"/>
      <x:c r="S106" s="56"/>
      <x:c r="T106" s="56"/>
      <x:c r="U106" s="55"/>
      <x:c r="V106" s="55"/>
      <x:c r="W106" s="55"/>
      <x:c r="X106" s="55"/>
      <x:c r="Y106" s="55"/>
      <x:c r="Z106" s="56"/>
      <x:c r="AA106" s="55"/>
      <x:c r="AC106" t="n">
        <x:f>IF(OR(A106="",D106=""),0,IF(COUNTIFS($A$17:A106,A106,$D$17:D106,D106)=1,1,0))</x:f>
        <x:v>0</x:v>
      </x:c>
      <x:c r="AD106" t="n">
        <x:f>IF(AC106=0,0,IF(OR(ISNUMBER(O106),P106="PO issued",P106="Under manufacturing",P106="Inspection pending",P106="Ready for dispatch",P106="Dispatched",P106="Partly received",P106="Fully received"),1,0))</x:f>
        <x:v>0</x:v>
      </x:c>
      <x:c r="AE106" t="n">
        <x:f>IF(AC106=0,0,IF(P106="Fully received",1,0))</x:f>
        <x:v>0</x:v>
      </x:c>
      <x:c r="AF106" t="n">
        <x:f>IF(AC106=0,0,1-AD106)</x:f>
        <x:v>0</x:v>
      </x:c>
    </x:row>
    <x:row r="107" ht="28" customHeight="1">
      <x:c r="A107" s="55"/>
      <x:c r="B107" s="55"/>
      <x:c r="C107" s="60"/>
      <x:c r="D107" s="55"/>
      <x:c r="E107" s="55"/>
      <x:c r="F107" s="55"/>
      <x:c r="G107" s="55"/>
      <x:c r="H107" s="55"/>
      <x:c r="I107" s="63"/>
      <x:c r="J107" s="63"/>
      <x:c r="K107" s="55"/>
      <x:c r="L107" s="65" t="str">
        <x:f>IF(COUNT(I107,K107)&lt;2,"",I107-K107)</x:f>
      </x:c>
      <x:c r="M107" s="56"/>
      <x:c r="N107" s="56"/>
      <x:c r="O107" s="56"/>
      <x:c r="P107" s="55"/>
      <x:c r="Q107" s="55"/>
      <x:c r="R107" s="56"/>
      <x:c r="S107" s="56"/>
      <x:c r="T107" s="56"/>
      <x:c r="U107" s="55"/>
      <x:c r="V107" s="55"/>
      <x:c r="W107" s="55"/>
      <x:c r="X107" s="55"/>
      <x:c r="Y107" s="55"/>
      <x:c r="Z107" s="56"/>
      <x:c r="AA107" s="55"/>
      <x:c r="AC107" t="n">
        <x:f>IF(OR(A107="",D107=""),0,IF(COUNTIFS($A$17:A107,A107,$D$17:D107,D107)=1,1,0))</x:f>
        <x:v>0</x:v>
      </x:c>
      <x:c r="AD107" t="n">
        <x:f>IF(AC107=0,0,IF(OR(ISNUMBER(O107),P107="PO issued",P107="Under manufacturing",P107="Inspection pending",P107="Ready for dispatch",P107="Dispatched",P107="Partly received",P107="Fully received"),1,0))</x:f>
        <x:v>0</x:v>
      </x:c>
      <x:c r="AE107" t="n">
        <x:f>IF(AC107=0,0,IF(P107="Fully received",1,0))</x:f>
        <x:v>0</x:v>
      </x:c>
      <x:c r="AF107" t="n">
        <x:f>IF(AC107=0,0,1-AD107)</x:f>
        <x:v>0</x:v>
      </x:c>
    </x:row>
    <x:row r="108" ht="28" customHeight="1">
      <x:c r="A108" s="55"/>
      <x:c r="B108" s="55"/>
      <x:c r="C108" s="60"/>
      <x:c r="D108" s="55"/>
      <x:c r="E108" s="55"/>
      <x:c r="F108" s="55"/>
      <x:c r="G108" s="55"/>
      <x:c r="H108" s="55"/>
      <x:c r="I108" s="63"/>
      <x:c r="J108" s="63"/>
      <x:c r="K108" s="55"/>
      <x:c r="L108" s="65" t="str">
        <x:f>IF(COUNT(I108,K108)&lt;2,"",I108-K108)</x:f>
      </x:c>
      <x:c r="M108" s="56"/>
      <x:c r="N108" s="56"/>
      <x:c r="O108" s="56"/>
      <x:c r="P108" s="55"/>
      <x:c r="Q108" s="55"/>
      <x:c r="R108" s="56"/>
      <x:c r="S108" s="56"/>
      <x:c r="T108" s="56"/>
      <x:c r="U108" s="55"/>
      <x:c r="V108" s="55"/>
      <x:c r="W108" s="55"/>
      <x:c r="X108" s="55"/>
      <x:c r="Y108" s="55"/>
      <x:c r="Z108" s="56"/>
      <x:c r="AA108" s="55"/>
      <x:c r="AC108" t="n">
        <x:f>IF(OR(A108="",D108=""),0,IF(COUNTIFS($A$17:A108,A108,$D$17:D108,D108)=1,1,0))</x:f>
        <x:v>0</x:v>
      </x:c>
      <x:c r="AD108" t="n">
        <x:f>IF(AC108=0,0,IF(OR(ISNUMBER(O108),P108="PO issued",P108="Under manufacturing",P108="Inspection pending",P108="Ready for dispatch",P108="Dispatched",P108="Partly received",P108="Fully received"),1,0))</x:f>
        <x:v>0</x:v>
      </x:c>
      <x:c r="AE108" t="n">
        <x:f>IF(AC108=0,0,IF(P108="Fully received",1,0))</x:f>
        <x:v>0</x:v>
      </x:c>
      <x:c r="AF108" t="n">
        <x:f>IF(AC108=0,0,1-AD108)</x:f>
        <x:v>0</x:v>
      </x:c>
    </x:row>
    <x:row r="109" ht="28" customHeight="1">
      <x:c r="A109" s="55"/>
      <x:c r="B109" s="55"/>
      <x:c r="C109" s="60"/>
      <x:c r="D109" s="55"/>
      <x:c r="E109" s="55"/>
      <x:c r="F109" s="55"/>
      <x:c r="G109" s="55"/>
      <x:c r="H109" s="55"/>
      <x:c r="I109" s="63"/>
      <x:c r="J109" s="63"/>
      <x:c r="K109" s="55"/>
      <x:c r="L109" s="65" t="str">
        <x:f>IF(COUNT(I109,K109)&lt;2,"",I109-K109)</x:f>
      </x:c>
      <x:c r="M109" s="56"/>
      <x:c r="N109" s="56"/>
      <x:c r="O109" s="56"/>
      <x:c r="P109" s="55"/>
      <x:c r="Q109" s="55"/>
      <x:c r="R109" s="56"/>
      <x:c r="S109" s="56"/>
      <x:c r="T109" s="56"/>
      <x:c r="U109" s="55"/>
      <x:c r="V109" s="55"/>
      <x:c r="W109" s="55"/>
      <x:c r="X109" s="55"/>
      <x:c r="Y109" s="55"/>
      <x:c r="Z109" s="56"/>
      <x:c r="AA109" s="55"/>
      <x:c r="AC109" t="n">
        <x:f>IF(OR(A109="",D109=""),0,IF(COUNTIFS($A$17:A109,A109,$D$17:D109,D109)=1,1,0))</x:f>
        <x:v>0</x:v>
      </x:c>
      <x:c r="AD109" t="n">
        <x:f>IF(AC109=0,0,IF(OR(ISNUMBER(O109),P109="PO issued",P109="Under manufacturing",P109="Inspection pending",P109="Ready for dispatch",P109="Dispatched",P109="Partly received",P109="Fully received"),1,0))</x:f>
        <x:v>0</x:v>
      </x:c>
      <x:c r="AE109" t="n">
        <x:f>IF(AC109=0,0,IF(P109="Fully received",1,0))</x:f>
        <x:v>0</x:v>
      </x:c>
      <x:c r="AF109" t="n">
        <x:f>IF(AC109=0,0,1-AD109)</x:f>
        <x:v>0</x:v>
      </x:c>
    </x:row>
    <x:row r="110" ht="28" customHeight="1">
      <x:c r="A110" s="55"/>
      <x:c r="B110" s="55"/>
      <x:c r="C110" s="60"/>
      <x:c r="D110" s="55"/>
      <x:c r="E110" s="55"/>
      <x:c r="F110" s="55"/>
      <x:c r="G110" s="55"/>
      <x:c r="H110" s="55"/>
      <x:c r="I110" s="63"/>
      <x:c r="J110" s="63"/>
      <x:c r="K110" s="55"/>
      <x:c r="L110" s="65" t="str">
        <x:f>IF(COUNT(I110,K110)&lt;2,"",I110-K110)</x:f>
      </x:c>
      <x:c r="M110" s="56"/>
      <x:c r="N110" s="56"/>
      <x:c r="O110" s="56"/>
      <x:c r="P110" s="55"/>
      <x:c r="Q110" s="55"/>
      <x:c r="R110" s="56"/>
      <x:c r="S110" s="56"/>
      <x:c r="T110" s="56"/>
      <x:c r="U110" s="55"/>
      <x:c r="V110" s="55"/>
      <x:c r="W110" s="55"/>
      <x:c r="X110" s="55"/>
      <x:c r="Y110" s="55"/>
      <x:c r="Z110" s="56"/>
      <x:c r="AA110" s="55"/>
      <x:c r="AC110" t="n">
        <x:f>IF(OR(A110="",D110=""),0,IF(COUNTIFS($A$17:A110,A110,$D$17:D110,D110)=1,1,0))</x:f>
        <x:v>0</x:v>
      </x:c>
      <x:c r="AD110" t="n">
        <x:f>IF(AC110=0,0,IF(OR(ISNUMBER(O110),P110="PO issued",P110="Under manufacturing",P110="Inspection pending",P110="Ready for dispatch",P110="Dispatched",P110="Partly received",P110="Fully received"),1,0))</x:f>
        <x:v>0</x:v>
      </x:c>
      <x:c r="AE110" t="n">
        <x:f>IF(AC110=0,0,IF(P110="Fully received",1,0))</x:f>
        <x:v>0</x:v>
      </x:c>
      <x:c r="AF110" t="n">
        <x:f>IF(AC110=0,0,1-AD110)</x:f>
        <x:v>0</x:v>
      </x:c>
    </x:row>
    <x:row r="111" ht="28" customHeight="1">
      <x:c r="A111" s="55"/>
      <x:c r="B111" s="55"/>
      <x:c r="C111" s="60"/>
      <x:c r="D111" s="55"/>
      <x:c r="E111" s="55"/>
      <x:c r="F111" s="55"/>
      <x:c r="G111" s="55"/>
      <x:c r="H111" s="55"/>
      <x:c r="I111" s="63"/>
      <x:c r="J111" s="63"/>
      <x:c r="K111" s="55"/>
      <x:c r="L111" s="65" t="str">
        <x:f>IF(COUNT(I111,K111)&lt;2,"",I111-K111)</x:f>
      </x:c>
      <x:c r="M111" s="56"/>
      <x:c r="N111" s="56"/>
      <x:c r="O111" s="56"/>
      <x:c r="P111" s="55"/>
      <x:c r="Q111" s="55"/>
      <x:c r="R111" s="56"/>
      <x:c r="S111" s="56"/>
      <x:c r="T111" s="56"/>
      <x:c r="U111" s="55"/>
      <x:c r="V111" s="55"/>
      <x:c r="W111" s="55"/>
      <x:c r="X111" s="55"/>
      <x:c r="Y111" s="55"/>
      <x:c r="Z111" s="56"/>
      <x:c r="AA111" s="55"/>
      <x:c r="AC111" t="n">
        <x:f>IF(OR(A111="",D111=""),0,IF(COUNTIFS($A$17:A111,A111,$D$17:D111,D111)=1,1,0))</x:f>
        <x:v>0</x:v>
      </x:c>
      <x:c r="AD111" t="n">
        <x:f>IF(AC111=0,0,IF(OR(ISNUMBER(O111),P111="PO issued",P111="Under manufacturing",P111="Inspection pending",P111="Ready for dispatch",P111="Dispatched",P111="Partly received",P111="Fully received"),1,0))</x:f>
        <x:v>0</x:v>
      </x:c>
      <x:c r="AE111" t="n">
        <x:f>IF(AC111=0,0,IF(P111="Fully received",1,0))</x:f>
        <x:v>0</x:v>
      </x:c>
      <x:c r="AF111" t="n">
        <x:f>IF(AC111=0,0,1-AD111)</x:f>
        <x:v>0</x:v>
      </x:c>
    </x:row>
    <x:row r="112" ht="28" customHeight="1">
      <x:c r="A112" s="55"/>
      <x:c r="B112" s="55"/>
      <x:c r="C112" s="60"/>
      <x:c r="D112" s="55"/>
      <x:c r="E112" s="55"/>
      <x:c r="F112" s="55"/>
      <x:c r="G112" s="55"/>
      <x:c r="H112" s="55"/>
      <x:c r="I112" s="63"/>
      <x:c r="J112" s="63"/>
      <x:c r="K112" s="55"/>
      <x:c r="L112" s="65" t="str">
        <x:f>IF(COUNT(I112,K112)&lt;2,"",I112-K112)</x:f>
      </x:c>
      <x:c r="M112" s="56"/>
      <x:c r="N112" s="56"/>
      <x:c r="O112" s="56"/>
      <x:c r="P112" s="55"/>
      <x:c r="Q112" s="55"/>
      <x:c r="R112" s="56"/>
      <x:c r="S112" s="56"/>
      <x:c r="T112" s="56"/>
      <x:c r="U112" s="55"/>
      <x:c r="V112" s="55"/>
      <x:c r="W112" s="55"/>
      <x:c r="X112" s="55"/>
      <x:c r="Y112" s="55"/>
      <x:c r="Z112" s="56"/>
      <x:c r="AA112" s="55"/>
      <x:c r="AC112" t="n">
        <x:f>IF(OR(A112="",D112=""),0,IF(COUNTIFS($A$17:A112,A112,$D$17:D112,D112)=1,1,0))</x:f>
        <x:v>0</x:v>
      </x:c>
      <x:c r="AD112" t="n">
        <x:f>IF(AC112=0,0,IF(OR(ISNUMBER(O112),P112="PO issued",P112="Under manufacturing",P112="Inspection pending",P112="Ready for dispatch",P112="Dispatched",P112="Partly received",P112="Fully received"),1,0))</x:f>
        <x:v>0</x:v>
      </x:c>
      <x:c r="AE112" t="n">
        <x:f>IF(AC112=0,0,IF(P112="Fully received",1,0))</x:f>
        <x:v>0</x:v>
      </x:c>
      <x:c r="AF112" t="n">
        <x:f>IF(AC112=0,0,1-AD112)</x:f>
        <x:v>0</x:v>
      </x:c>
    </x:row>
    <x:row r="113" ht="28" customHeight="1">
      <x:c r="A113" s="55"/>
      <x:c r="B113" s="55"/>
      <x:c r="C113" s="60"/>
      <x:c r="D113" s="55"/>
      <x:c r="E113" s="55"/>
      <x:c r="F113" s="55"/>
      <x:c r="G113" s="55"/>
      <x:c r="H113" s="55"/>
      <x:c r="I113" s="63"/>
      <x:c r="J113" s="63"/>
      <x:c r="K113" s="55"/>
      <x:c r="L113" s="65" t="str">
        <x:f>IF(COUNT(I113,K113)&lt;2,"",I113-K113)</x:f>
      </x:c>
      <x:c r="M113" s="56"/>
      <x:c r="N113" s="56"/>
      <x:c r="O113" s="56"/>
      <x:c r="P113" s="55"/>
      <x:c r="Q113" s="55"/>
      <x:c r="R113" s="56"/>
      <x:c r="S113" s="56"/>
      <x:c r="T113" s="56"/>
      <x:c r="U113" s="55"/>
      <x:c r="V113" s="55"/>
      <x:c r="W113" s="55"/>
      <x:c r="X113" s="55"/>
      <x:c r="Y113" s="55"/>
      <x:c r="Z113" s="56"/>
      <x:c r="AA113" s="55"/>
      <x:c r="AC113" t="n">
        <x:f>IF(OR(A113="",D113=""),0,IF(COUNTIFS($A$17:A113,A113,$D$17:D113,D113)=1,1,0))</x:f>
        <x:v>0</x:v>
      </x:c>
      <x:c r="AD113" t="n">
        <x:f>IF(AC113=0,0,IF(OR(ISNUMBER(O113),P113="PO issued",P113="Under manufacturing",P113="Inspection pending",P113="Ready for dispatch",P113="Dispatched",P113="Partly received",P113="Fully received"),1,0))</x:f>
        <x:v>0</x:v>
      </x:c>
      <x:c r="AE113" t="n">
        <x:f>IF(AC113=0,0,IF(P113="Fully received",1,0))</x:f>
        <x:v>0</x:v>
      </x:c>
      <x:c r="AF113" t="n">
        <x:f>IF(AC113=0,0,1-AD113)</x:f>
        <x:v>0</x:v>
      </x:c>
    </x:row>
    <x:row r="114" ht="28" customHeight="1">
      <x:c r="A114" s="55"/>
      <x:c r="B114" s="55"/>
      <x:c r="C114" s="60"/>
      <x:c r="D114" s="55"/>
      <x:c r="E114" s="55"/>
      <x:c r="F114" s="55"/>
      <x:c r="G114" s="55"/>
      <x:c r="H114" s="55"/>
      <x:c r="I114" s="63"/>
      <x:c r="J114" s="63"/>
      <x:c r="K114" s="55"/>
      <x:c r="L114" s="65" t="str">
        <x:f>IF(COUNT(I114,K114)&lt;2,"",I114-K114)</x:f>
      </x:c>
      <x:c r="M114" s="56"/>
      <x:c r="N114" s="56"/>
      <x:c r="O114" s="56"/>
      <x:c r="P114" s="55"/>
      <x:c r="Q114" s="55"/>
      <x:c r="R114" s="56"/>
      <x:c r="S114" s="56"/>
      <x:c r="T114" s="56"/>
      <x:c r="U114" s="55"/>
      <x:c r="V114" s="55"/>
      <x:c r="W114" s="55"/>
      <x:c r="X114" s="55"/>
      <x:c r="Y114" s="55"/>
      <x:c r="Z114" s="56"/>
      <x:c r="AA114" s="55"/>
      <x:c r="AC114" t="n">
        <x:f>IF(OR(A114="",D114=""),0,IF(COUNTIFS($A$17:A114,A114,$D$17:D114,D114)=1,1,0))</x:f>
        <x:v>0</x:v>
      </x:c>
      <x:c r="AD114" t="n">
        <x:f>IF(AC114=0,0,IF(OR(ISNUMBER(O114),P114="PO issued",P114="Under manufacturing",P114="Inspection pending",P114="Ready for dispatch",P114="Dispatched",P114="Partly received",P114="Fully received"),1,0))</x:f>
        <x:v>0</x:v>
      </x:c>
      <x:c r="AE114" t="n">
        <x:f>IF(AC114=0,0,IF(P114="Fully received",1,0))</x:f>
        <x:v>0</x:v>
      </x:c>
      <x:c r="AF114" t="n">
        <x:f>IF(AC114=0,0,1-AD114)</x:f>
        <x:v>0</x:v>
      </x:c>
    </x:row>
    <x:row r="115" ht="28" customHeight="1">
      <x:c r="A115" s="55"/>
      <x:c r="B115" s="55"/>
      <x:c r="C115" s="60"/>
      <x:c r="D115" s="55"/>
      <x:c r="E115" s="55"/>
      <x:c r="F115" s="55"/>
      <x:c r="G115" s="55"/>
      <x:c r="H115" s="55"/>
      <x:c r="I115" s="63"/>
      <x:c r="J115" s="63"/>
      <x:c r="K115" s="55"/>
      <x:c r="L115" s="65" t="str">
        <x:f>IF(COUNT(I115,K115)&lt;2,"",I115-K115)</x:f>
      </x:c>
      <x:c r="M115" s="56"/>
      <x:c r="N115" s="56"/>
      <x:c r="O115" s="56"/>
      <x:c r="P115" s="55"/>
      <x:c r="Q115" s="55"/>
      <x:c r="R115" s="56"/>
      <x:c r="S115" s="56"/>
      <x:c r="T115" s="56"/>
      <x:c r="U115" s="55"/>
      <x:c r="V115" s="55"/>
      <x:c r="W115" s="55"/>
      <x:c r="X115" s="55"/>
      <x:c r="Y115" s="55"/>
      <x:c r="Z115" s="56"/>
      <x:c r="AA115" s="55"/>
      <x:c r="AC115" t="n">
        <x:f>IF(OR(A115="",D115=""),0,IF(COUNTIFS($A$17:A115,A115,$D$17:D115,D115)=1,1,0))</x:f>
        <x:v>0</x:v>
      </x:c>
      <x:c r="AD115" t="n">
        <x:f>IF(AC115=0,0,IF(OR(ISNUMBER(O115),P115="PO issued",P115="Under manufacturing",P115="Inspection pending",P115="Ready for dispatch",P115="Dispatched",P115="Partly received",P115="Fully received"),1,0))</x:f>
        <x:v>0</x:v>
      </x:c>
      <x:c r="AE115" t="n">
        <x:f>IF(AC115=0,0,IF(P115="Fully received",1,0))</x:f>
        <x:v>0</x:v>
      </x:c>
      <x:c r="AF115" t="n">
        <x:f>IF(AC115=0,0,1-AD115)</x:f>
        <x:v>0</x:v>
      </x:c>
    </x:row>
    <x:row r="116" ht="28" customHeight="1">
      <x:c r="A116" s="55"/>
      <x:c r="B116" s="55"/>
      <x:c r="C116" s="60"/>
      <x:c r="D116" s="55"/>
      <x:c r="E116" s="55"/>
      <x:c r="F116" s="55"/>
      <x:c r="G116" s="55"/>
      <x:c r="H116" s="55"/>
      <x:c r="I116" s="63"/>
      <x:c r="J116" s="63"/>
      <x:c r="K116" s="55"/>
      <x:c r="L116" s="65" t="str">
        <x:f>IF(COUNT(I116,K116)&lt;2,"",I116-K116)</x:f>
      </x:c>
      <x:c r="M116" s="56"/>
      <x:c r="N116" s="56"/>
      <x:c r="O116" s="56"/>
      <x:c r="P116" s="55"/>
      <x:c r="Q116" s="55"/>
      <x:c r="R116" s="56"/>
      <x:c r="S116" s="56"/>
      <x:c r="T116" s="56"/>
      <x:c r="U116" s="55"/>
      <x:c r="V116" s="55"/>
      <x:c r="W116" s="55"/>
      <x:c r="X116" s="55"/>
      <x:c r="Y116" s="55"/>
      <x:c r="Z116" s="56"/>
      <x:c r="AA116" s="55"/>
      <x:c r="AC116" t="n">
        <x:f>IF(OR(A116="",D116=""),0,IF(COUNTIFS($A$17:A116,A116,$D$17:D116,D116)=1,1,0))</x:f>
        <x:v>0</x:v>
      </x:c>
      <x:c r="AD116" t="n">
        <x:f>IF(AC116=0,0,IF(OR(ISNUMBER(O116),P116="PO issued",P116="Under manufacturing",P116="Inspection pending",P116="Ready for dispatch",P116="Dispatched",P116="Partly received",P116="Fully received"),1,0))</x:f>
        <x:v>0</x:v>
      </x:c>
      <x:c r="AE116" t="n">
        <x:f>IF(AC116=0,0,IF(P116="Fully received",1,0))</x:f>
        <x:v>0</x:v>
      </x:c>
      <x:c r="AF116" t="n">
        <x:f>IF(AC116=0,0,1-AD116)</x:f>
        <x:v>0</x:v>
      </x:c>
    </x:row>
    <x:row r="117" ht="28" customHeight="1">
      <x:c r="A117" s="55"/>
      <x:c r="B117" s="55"/>
      <x:c r="C117" s="60"/>
      <x:c r="D117" s="55"/>
      <x:c r="E117" s="55"/>
      <x:c r="F117" s="55"/>
      <x:c r="G117" s="55"/>
      <x:c r="H117" s="55"/>
      <x:c r="I117" s="63"/>
      <x:c r="J117" s="63"/>
      <x:c r="K117" s="55"/>
      <x:c r="L117" s="65" t="str">
        <x:f>IF(COUNT(I117,K117)&lt;2,"",I117-K117)</x:f>
      </x:c>
      <x:c r="M117" s="56"/>
      <x:c r="N117" s="56"/>
      <x:c r="O117" s="56"/>
      <x:c r="P117" s="55"/>
      <x:c r="Q117" s="55"/>
      <x:c r="R117" s="56"/>
      <x:c r="S117" s="56"/>
      <x:c r="T117" s="56"/>
      <x:c r="U117" s="55"/>
      <x:c r="V117" s="55"/>
      <x:c r="W117" s="55"/>
      <x:c r="X117" s="55"/>
      <x:c r="Y117" s="55"/>
      <x:c r="Z117" s="56"/>
      <x:c r="AA117" s="55"/>
      <x:c r="AC117" t="n">
        <x:f>IF(OR(A117="",D117=""),0,IF(COUNTIFS($A$17:A117,A117,$D$17:D117,D117)=1,1,0))</x:f>
        <x:v>0</x:v>
      </x:c>
      <x:c r="AD117" t="n">
        <x:f>IF(AC117=0,0,IF(OR(ISNUMBER(O117),P117="PO issued",P117="Under manufacturing",P117="Inspection pending",P117="Ready for dispatch",P117="Dispatched",P117="Partly received",P117="Fully received"),1,0))</x:f>
        <x:v>0</x:v>
      </x:c>
      <x:c r="AE117" t="n">
        <x:f>IF(AC117=0,0,IF(P117="Fully received",1,0))</x:f>
        <x:v>0</x:v>
      </x:c>
      <x:c r="AF117" t="n">
        <x:f>IF(AC117=0,0,1-AD117)</x:f>
        <x:v>0</x:v>
      </x:c>
    </x:row>
    <x:row r="118" ht="28" customHeight="1">
      <x:c r="A118" s="55"/>
      <x:c r="B118" s="55"/>
      <x:c r="C118" s="60"/>
      <x:c r="D118" s="55"/>
      <x:c r="E118" s="55"/>
      <x:c r="F118" s="55"/>
      <x:c r="G118" s="55"/>
      <x:c r="H118" s="55"/>
      <x:c r="I118" s="63"/>
      <x:c r="J118" s="63"/>
      <x:c r="K118" s="55"/>
      <x:c r="L118" s="65" t="str">
        <x:f>IF(COUNT(I118,K118)&lt;2,"",I118-K118)</x:f>
      </x:c>
      <x:c r="M118" s="56"/>
      <x:c r="N118" s="56"/>
      <x:c r="O118" s="56"/>
      <x:c r="P118" s="55"/>
      <x:c r="Q118" s="55"/>
      <x:c r="R118" s="56"/>
      <x:c r="S118" s="56"/>
      <x:c r="T118" s="56"/>
      <x:c r="U118" s="55"/>
      <x:c r="V118" s="55"/>
      <x:c r="W118" s="55"/>
      <x:c r="X118" s="55"/>
      <x:c r="Y118" s="55"/>
      <x:c r="Z118" s="56"/>
      <x:c r="AA118" s="55"/>
      <x:c r="AC118" t="n">
        <x:f>IF(OR(A118="",D118=""),0,IF(COUNTIFS($A$17:A118,A118,$D$17:D118,D118)=1,1,0))</x:f>
        <x:v>0</x:v>
      </x:c>
      <x:c r="AD118" t="n">
        <x:f>IF(AC118=0,0,IF(OR(ISNUMBER(O118),P118="PO issued",P118="Under manufacturing",P118="Inspection pending",P118="Ready for dispatch",P118="Dispatched",P118="Partly received",P118="Fully received"),1,0))</x:f>
        <x:v>0</x:v>
      </x:c>
      <x:c r="AE118" t="n">
        <x:f>IF(AC118=0,0,IF(P118="Fully received",1,0))</x:f>
        <x:v>0</x:v>
      </x:c>
      <x:c r="AF118" t="n">
        <x:f>IF(AC118=0,0,1-AD118)</x:f>
        <x:v>0</x:v>
      </x:c>
    </x:row>
    <x:row r="119" ht="28" customHeight="1">
      <x:c r="A119" s="55"/>
      <x:c r="B119" s="55"/>
      <x:c r="C119" s="60"/>
      <x:c r="D119" s="55"/>
      <x:c r="E119" s="55"/>
      <x:c r="F119" s="55"/>
      <x:c r="G119" s="55"/>
      <x:c r="H119" s="55"/>
      <x:c r="I119" s="63"/>
      <x:c r="J119" s="63"/>
      <x:c r="K119" s="55"/>
      <x:c r="L119" s="65" t="str">
        <x:f>IF(COUNT(I119,K119)&lt;2,"",I119-K119)</x:f>
      </x:c>
      <x:c r="M119" s="56"/>
      <x:c r="N119" s="56"/>
      <x:c r="O119" s="56"/>
      <x:c r="P119" s="55"/>
      <x:c r="Q119" s="55"/>
      <x:c r="R119" s="56"/>
      <x:c r="S119" s="56"/>
      <x:c r="T119" s="56"/>
      <x:c r="U119" s="55"/>
      <x:c r="V119" s="55"/>
      <x:c r="W119" s="55"/>
      <x:c r="X119" s="55"/>
      <x:c r="Y119" s="55"/>
      <x:c r="Z119" s="56"/>
      <x:c r="AA119" s="55"/>
      <x:c r="AC119" t="n">
        <x:f>IF(OR(A119="",D119=""),0,IF(COUNTIFS($A$17:A119,A119,$D$17:D119,D119)=1,1,0))</x:f>
        <x:v>0</x:v>
      </x:c>
      <x:c r="AD119" t="n">
        <x:f>IF(AC119=0,0,IF(OR(ISNUMBER(O119),P119="PO issued",P119="Under manufacturing",P119="Inspection pending",P119="Ready for dispatch",P119="Dispatched",P119="Partly received",P119="Fully received"),1,0))</x:f>
        <x:v>0</x:v>
      </x:c>
      <x:c r="AE119" t="n">
        <x:f>IF(AC119=0,0,IF(P119="Fully received",1,0))</x:f>
        <x:v>0</x:v>
      </x:c>
      <x:c r="AF119" t="n">
        <x:f>IF(AC119=0,0,1-AD119)</x:f>
        <x:v>0</x:v>
      </x:c>
    </x:row>
    <x:row r="120" ht="28" customHeight="1">
      <x:c r="A120" s="55"/>
      <x:c r="B120" s="55"/>
      <x:c r="C120" s="60"/>
      <x:c r="D120" s="55"/>
      <x:c r="E120" s="55"/>
      <x:c r="F120" s="55"/>
      <x:c r="G120" s="55"/>
      <x:c r="H120" s="55"/>
      <x:c r="I120" s="63"/>
      <x:c r="J120" s="63"/>
      <x:c r="K120" s="55"/>
      <x:c r="L120" s="65" t="str">
        <x:f>IF(COUNT(I120,K120)&lt;2,"",I120-K120)</x:f>
      </x:c>
      <x:c r="M120" s="56"/>
      <x:c r="N120" s="56"/>
      <x:c r="O120" s="56"/>
      <x:c r="P120" s="55"/>
      <x:c r="Q120" s="55"/>
      <x:c r="R120" s="56"/>
      <x:c r="S120" s="56"/>
      <x:c r="T120" s="56"/>
      <x:c r="U120" s="55"/>
      <x:c r="V120" s="55"/>
      <x:c r="W120" s="55"/>
      <x:c r="X120" s="55"/>
      <x:c r="Y120" s="55"/>
      <x:c r="Z120" s="56"/>
      <x:c r="AA120" s="55"/>
      <x:c r="AC120" t="n">
        <x:f>IF(OR(A120="",D120=""),0,IF(COUNTIFS($A$17:A120,A120,$D$17:D120,D120)=1,1,0))</x:f>
        <x:v>0</x:v>
      </x:c>
      <x:c r="AD120" t="n">
        <x:f>IF(AC120=0,0,IF(OR(ISNUMBER(O120),P120="PO issued",P120="Under manufacturing",P120="Inspection pending",P120="Ready for dispatch",P120="Dispatched",P120="Partly received",P120="Fully received"),1,0))</x:f>
        <x:v>0</x:v>
      </x:c>
      <x:c r="AE120" t="n">
        <x:f>IF(AC120=0,0,IF(P120="Fully received",1,0))</x:f>
        <x:v>0</x:v>
      </x:c>
      <x:c r="AF120" t="n">
        <x:f>IF(AC120=0,0,1-AD120)</x:f>
        <x:v>0</x:v>
      </x:c>
    </x:row>
    <x:row r="121" ht="28" customHeight="1">
      <x:c r="A121" s="55"/>
      <x:c r="B121" s="55"/>
      <x:c r="C121" s="60"/>
      <x:c r="D121" s="55"/>
      <x:c r="E121" s="55"/>
      <x:c r="F121" s="55"/>
      <x:c r="G121" s="55"/>
      <x:c r="H121" s="55"/>
      <x:c r="I121" s="63"/>
      <x:c r="J121" s="63"/>
      <x:c r="K121" s="55"/>
      <x:c r="L121" s="65" t="str">
        <x:f>IF(COUNT(I121,K121)&lt;2,"",I121-K121)</x:f>
      </x:c>
      <x:c r="M121" s="56"/>
      <x:c r="N121" s="56"/>
      <x:c r="O121" s="56"/>
      <x:c r="P121" s="55"/>
      <x:c r="Q121" s="55"/>
      <x:c r="R121" s="56"/>
      <x:c r="S121" s="56"/>
      <x:c r="T121" s="56"/>
      <x:c r="U121" s="55"/>
      <x:c r="V121" s="55"/>
      <x:c r="W121" s="55"/>
      <x:c r="X121" s="55"/>
      <x:c r="Y121" s="55"/>
      <x:c r="Z121" s="56"/>
      <x:c r="AA121" s="55"/>
      <x:c r="AC121" t="n">
        <x:f>IF(OR(A121="",D121=""),0,IF(COUNTIFS($A$17:A121,A121,$D$17:D121,D121)=1,1,0))</x:f>
        <x:v>0</x:v>
      </x:c>
      <x:c r="AD121" t="n">
        <x:f>IF(AC121=0,0,IF(OR(ISNUMBER(O121),P121="PO issued",P121="Under manufacturing",P121="Inspection pending",P121="Ready for dispatch",P121="Dispatched",P121="Partly received",P121="Fully received"),1,0))</x:f>
        <x:v>0</x:v>
      </x:c>
      <x:c r="AE121" t="n">
        <x:f>IF(AC121=0,0,IF(P121="Fully received",1,0))</x:f>
        <x:v>0</x:v>
      </x:c>
      <x:c r="AF121" t="n">
        <x:f>IF(AC121=0,0,1-AD121)</x:f>
        <x:v>0</x:v>
      </x:c>
    </x:row>
    <x:row r="122" ht="28" customHeight="1">
      <x:c r="A122" s="55"/>
      <x:c r="B122" s="55"/>
      <x:c r="C122" s="60"/>
      <x:c r="D122" s="55"/>
      <x:c r="E122" s="55"/>
      <x:c r="F122" s="55"/>
      <x:c r="G122" s="55"/>
      <x:c r="H122" s="55"/>
      <x:c r="I122" s="63"/>
      <x:c r="J122" s="63"/>
      <x:c r="K122" s="55"/>
      <x:c r="L122" s="65" t="str">
        <x:f>IF(COUNT(I122,K122)&lt;2,"",I122-K122)</x:f>
      </x:c>
      <x:c r="M122" s="56"/>
      <x:c r="N122" s="56"/>
      <x:c r="O122" s="56"/>
      <x:c r="P122" s="55"/>
      <x:c r="Q122" s="55"/>
      <x:c r="R122" s="56"/>
      <x:c r="S122" s="56"/>
      <x:c r="T122" s="56"/>
      <x:c r="U122" s="55"/>
      <x:c r="V122" s="55"/>
      <x:c r="W122" s="55"/>
      <x:c r="X122" s="55"/>
      <x:c r="Y122" s="55"/>
      <x:c r="Z122" s="56"/>
      <x:c r="AA122" s="55"/>
      <x:c r="AC122" t="n">
        <x:f>IF(OR(A122="",D122=""),0,IF(COUNTIFS($A$17:A122,A122,$D$17:D122,D122)=1,1,0))</x:f>
        <x:v>0</x:v>
      </x:c>
      <x:c r="AD122" t="n">
        <x:f>IF(AC122=0,0,IF(OR(ISNUMBER(O122),P122="PO issued",P122="Under manufacturing",P122="Inspection pending",P122="Ready for dispatch",P122="Dispatched",P122="Partly received",P122="Fully received"),1,0))</x:f>
        <x:v>0</x:v>
      </x:c>
      <x:c r="AE122" t="n">
        <x:f>IF(AC122=0,0,IF(P122="Fully received",1,0))</x:f>
        <x:v>0</x:v>
      </x:c>
      <x:c r="AF122" t="n">
        <x:f>IF(AC122=0,0,1-AD122)</x:f>
        <x:v>0</x:v>
      </x:c>
    </x:row>
    <x:row r="123" ht="28" customHeight="1">
      <x:c r="A123" s="55"/>
      <x:c r="B123" s="55"/>
      <x:c r="C123" s="60"/>
      <x:c r="D123" s="55"/>
      <x:c r="E123" s="55"/>
      <x:c r="F123" s="55"/>
      <x:c r="G123" s="55"/>
      <x:c r="H123" s="55"/>
      <x:c r="I123" s="63"/>
      <x:c r="J123" s="63"/>
      <x:c r="K123" s="55"/>
      <x:c r="L123" s="65" t="str">
        <x:f>IF(COUNT(I123,K123)&lt;2,"",I123-K123)</x:f>
      </x:c>
      <x:c r="M123" s="56"/>
      <x:c r="N123" s="56"/>
      <x:c r="O123" s="56"/>
      <x:c r="P123" s="55"/>
      <x:c r="Q123" s="55"/>
      <x:c r="R123" s="56"/>
      <x:c r="S123" s="56"/>
      <x:c r="T123" s="56"/>
      <x:c r="U123" s="55"/>
      <x:c r="V123" s="55"/>
      <x:c r="W123" s="55"/>
      <x:c r="X123" s="55"/>
      <x:c r="Y123" s="55"/>
      <x:c r="Z123" s="56"/>
      <x:c r="AA123" s="55"/>
      <x:c r="AC123" t="n">
        <x:f>IF(OR(A123="",D123=""),0,IF(COUNTIFS($A$17:A123,A123,$D$17:D123,D123)=1,1,0))</x:f>
        <x:v>0</x:v>
      </x:c>
      <x:c r="AD123" t="n">
        <x:f>IF(AC123=0,0,IF(OR(ISNUMBER(O123),P123="PO issued",P123="Under manufacturing",P123="Inspection pending",P123="Ready for dispatch",P123="Dispatched",P123="Partly received",P123="Fully received"),1,0))</x:f>
        <x:v>0</x:v>
      </x:c>
      <x:c r="AE123" t="n">
        <x:f>IF(AC123=0,0,IF(P123="Fully received",1,0))</x:f>
        <x:v>0</x:v>
      </x:c>
      <x:c r="AF123" t="n">
        <x:f>IF(AC123=0,0,1-AD123)</x:f>
        <x:v>0</x:v>
      </x:c>
    </x:row>
    <x:row r="124" ht="28" customHeight="1">
      <x:c r="A124" s="55"/>
      <x:c r="B124" s="55"/>
      <x:c r="C124" s="60"/>
      <x:c r="D124" s="55"/>
      <x:c r="E124" s="55"/>
      <x:c r="F124" s="55"/>
      <x:c r="G124" s="55"/>
      <x:c r="H124" s="55"/>
      <x:c r="I124" s="63"/>
      <x:c r="J124" s="63"/>
      <x:c r="K124" s="55"/>
      <x:c r="L124" s="65" t="str">
        <x:f>IF(COUNT(I124,K124)&lt;2,"",I124-K124)</x:f>
      </x:c>
      <x:c r="M124" s="56"/>
      <x:c r="N124" s="56"/>
      <x:c r="O124" s="56"/>
      <x:c r="P124" s="55"/>
      <x:c r="Q124" s="55"/>
      <x:c r="R124" s="56"/>
      <x:c r="S124" s="56"/>
      <x:c r="T124" s="56"/>
      <x:c r="U124" s="55"/>
      <x:c r="V124" s="55"/>
      <x:c r="W124" s="55"/>
      <x:c r="X124" s="55"/>
      <x:c r="Y124" s="55"/>
      <x:c r="Z124" s="56"/>
      <x:c r="AA124" s="55"/>
      <x:c r="AC124" t="n">
        <x:f>IF(OR(A124="",D124=""),0,IF(COUNTIFS($A$17:A124,A124,$D$17:D124,D124)=1,1,0))</x:f>
        <x:v>0</x:v>
      </x:c>
      <x:c r="AD124" t="n">
        <x:f>IF(AC124=0,0,IF(OR(ISNUMBER(O124),P124="PO issued",P124="Under manufacturing",P124="Inspection pending",P124="Ready for dispatch",P124="Dispatched",P124="Partly received",P124="Fully received"),1,0))</x:f>
        <x:v>0</x:v>
      </x:c>
      <x:c r="AE124" t="n">
        <x:f>IF(AC124=0,0,IF(P124="Fully received",1,0))</x:f>
        <x:v>0</x:v>
      </x:c>
      <x:c r="AF124" t="n">
        <x:f>IF(AC124=0,0,1-AD124)</x:f>
        <x:v>0</x:v>
      </x:c>
    </x:row>
    <x:row r="125" ht="28" customHeight="1">
      <x:c r="A125" s="55"/>
      <x:c r="B125" s="55"/>
      <x:c r="C125" s="60"/>
      <x:c r="D125" s="55"/>
      <x:c r="E125" s="55"/>
      <x:c r="F125" s="55"/>
      <x:c r="G125" s="55"/>
      <x:c r="H125" s="55"/>
      <x:c r="I125" s="63"/>
      <x:c r="J125" s="63"/>
      <x:c r="K125" s="55"/>
      <x:c r="L125" s="65" t="str">
        <x:f>IF(COUNT(I125,K125)&lt;2,"",I125-K125)</x:f>
      </x:c>
      <x:c r="M125" s="56"/>
      <x:c r="N125" s="56"/>
      <x:c r="O125" s="56"/>
      <x:c r="P125" s="55"/>
      <x:c r="Q125" s="55"/>
      <x:c r="R125" s="56"/>
      <x:c r="S125" s="56"/>
      <x:c r="T125" s="56"/>
      <x:c r="U125" s="55"/>
      <x:c r="V125" s="55"/>
      <x:c r="W125" s="55"/>
      <x:c r="X125" s="55"/>
      <x:c r="Y125" s="55"/>
      <x:c r="Z125" s="56"/>
      <x:c r="AA125" s="55"/>
      <x:c r="AC125" t="n">
        <x:f>IF(OR(A125="",D125=""),0,IF(COUNTIFS($A$17:A125,A125,$D$17:D125,D125)=1,1,0))</x:f>
        <x:v>0</x:v>
      </x:c>
      <x:c r="AD125" t="n">
        <x:f>IF(AC125=0,0,IF(OR(ISNUMBER(O125),P125="PO issued",P125="Under manufacturing",P125="Inspection pending",P125="Ready for dispatch",P125="Dispatched",P125="Partly received",P125="Fully received"),1,0))</x:f>
        <x:v>0</x:v>
      </x:c>
      <x:c r="AE125" t="n">
        <x:f>IF(AC125=0,0,IF(P125="Fully received",1,0))</x:f>
        <x:v>0</x:v>
      </x:c>
      <x:c r="AF125" t="n">
        <x:f>IF(AC125=0,0,1-AD125)</x:f>
        <x:v>0</x:v>
      </x:c>
    </x:row>
    <x:row r="126" ht="28" customHeight="1">
      <x:c r="A126" s="55"/>
      <x:c r="B126" s="55"/>
      <x:c r="C126" s="60"/>
      <x:c r="D126" s="55"/>
      <x:c r="E126" s="55"/>
      <x:c r="F126" s="55"/>
      <x:c r="G126" s="55"/>
      <x:c r="H126" s="55"/>
      <x:c r="I126" s="63"/>
      <x:c r="J126" s="63"/>
      <x:c r="K126" s="55"/>
      <x:c r="L126" s="65" t="str">
        <x:f>IF(COUNT(I126,K126)&lt;2,"",I126-K126)</x:f>
      </x:c>
      <x:c r="M126" s="56"/>
      <x:c r="N126" s="56"/>
      <x:c r="O126" s="56"/>
      <x:c r="P126" s="55"/>
      <x:c r="Q126" s="55"/>
      <x:c r="R126" s="56"/>
      <x:c r="S126" s="56"/>
      <x:c r="T126" s="56"/>
      <x:c r="U126" s="55"/>
      <x:c r="V126" s="55"/>
      <x:c r="W126" s="55"/>
      <x:c r="X126" s="55"/>
      <x:c r="Y126" s="55"/>
      <x:c r="Z126" s="56"/>
      <x:c r="AA126" s="55"/>
      <x:c r="AC126" t="n">
        <x:f>IF(OR(A126="",D126=""),0,IF(COUNTIFS($A$17:A126,A126,$D$17:D126,D126)=1,1,0))</x:f>
        <x:v>0</x:v>
      </x:c>
      <x:c r="AD126" t="n">
        <x:f>IF(AC126=0,0,IF(OR(ISNUMBER(O126),P126="PO issued",P126="Under manufacturing",P126="Inspection pending",P126="Ready for dispatch",P126="Dispatched",P126="Partly received",P126="Fully received"),1,0))</x:f>
        <x:v>0</x:v>
      </x:c>
      <x:c r="AE126" t="n">
        <x:f>IF(AC126=0,0,IF(P126="Fully received",1,0))</x:f>
        <x:v>0</x:v>
      </x:c>
      <x:c r="AF126" t="n">
        <x:f>IF(AC126=0,0,1-AD126)</x:f>
        <x:v>0</x:v>
      </x:c>
    </x:row>
    <x:row r="127" ht="28" customHeight="1">
      <x:c r="A127" s="55"/>
      <x:c r="B127" s="55"/>
      <x:c r="C127" s="60"/>
      <x:c r="D127" s="55"/>
      <x:c r="E127" s="55"/>
      <x:c r="F127" s="55"/>
      <x:c r="G127" s="55"/>
      <x:c r="H127" s="55"/>
      <x:c r="I127" s="63"/>
      <x:c r="J127" s="63"/>
      <x:c r="K127" s="55"/>
      <x:c r="L127" s="65" t="str">
        <x:f>IF(COUNT(I127,K127)&lt;2,"",I127-K127)</x:f>
      </x:c>
      <x:c r="M127" s="56"/>
      <x:c r="N127" s="56"/>
      <x:c r="O127" s="56"/>
      <x:c r="P127" s="55"/>
      <x:c r="Q127" s="55"/>
      <x:c r="R127" s="56"/>
      <x:c r="S127" s="56"/>
      <x:c r="T127" s="56"/>
      <x:c r="U127" s="55"/>
      <x:c r="V127" s="55"/>
      <x:c r="W127" s="55"/>
      <x:c r="X127" s="55"/>
      <x:c r="Y127" s="55"/>
      <x:c r="Z127" s="56"/>
      <x:c r="AA127" s="55"/>
      <x:c r="AC127" t="n">
        <x:f>IF(OR(A127="",D127=""),0,IF(COUNTIFS($A$17:A127,A127,$D$17:D127,D127)=1,1,0))</x:f>
        <x:v>0</x:v>
      </x:c>
      <x:c r="AD127" t="n">
        <x:f>IF(AC127=0,0,IF(OR(ISNUMBER(O127),P127="PO issued",P127="Under manufacturing",P127="Inspection pending",P127="Ready for dispatch",P127="Dispatched",P127="Partly received",P127="Fully received"),1,0))</x:f>
        <x:v>0</x:v>
      </x:c>
      <x:c r="AE127" t="n">
        <x:f>IF(AC127=0,0,IF(P127="Fully received",1,0))</x:f>
        <x:v>0</x:v>
      </x:c>
      <x:c r="AF127" t="n">
        <x:f>IF(AC127=0,0,1-AD127)</x:f>
        <x:v>0</x:v>
      </x:c>
    </x:row>
    <x:row r="128" ht="28" customHeight="1">
      <x:c r="A128" s="55"/>
      <x:c r="B128" s="55"/>
      <x:c r="C128" s="60"/>
      <x:c r="D128" s="55"/>
      <x:c r="E128" s="55"/>
      <x:c r="F128" s="55"/>
      <x:c r="G128" s="55"/>
      <x:c r="H128" s="55"/>
      <x:c r="I128" s="63"/>
      <x:c r="J128" s="63"/>
      <x:c r="K128" s="55"/>
      <x:c r="L128" s="65" t="str">
        <x:f>IF(COUNT(I128,K128)&lt;2,"",I128-K128)</x:f>
      </x:c>
      <x:c r="M128" s="56"/>
      <x:c r="N128" s="56"/>
      <x:c r="O128" s="56"/>
      <x:c r="P128" s="55"/>
      <x:c r="Q128" s="55"/>
      <x:c r="R128" s="56"/>
      <x:c r="S128" s="56"/>
      <x:c r="T128" s="56"/>
      <x:c r="U128" s="55"/>
      <x:c r="V128" s="55"/>
      <x:c r="W128" s="55"/>
      <x:c r="X128" s="55"/>
      <x:c r="Y128" s="55"/>
      <x:c r="Z128" s="56"/>
      <x:c r="AA128" s="55"/>
      <x:c r="AC128" t="n">
        <x:f>IF(OR(A128="",D128=""),0,IF(COUNTIFS($A$17:A128,A128,$D$17:D128,D128)=1,1,0))</x:f>
        <x:v>0</x:v>
      </x:c>
      <x:c r="AD128" t="n">
        <x:f>IF(AC128=0,0,IF(OR(ISNUMBER(O128),P128="PO issued",P128="Under manufacturing",P128="Inspection pending",P128="Ready for dispatch",P128="Dispatched",P128="Partly received",P128="Fully received"),1,0))</x:f>
        <x:v>0</x:v>
      </x:c>
      <x:c r="AE128" t="n">
        <x:f>IF(AC128=0,0,IF(P128="Fully received",1,0))</x:f>
        <x:v>0</x:v>
      </x:c>
      <x:c r="AF128" t="n">
        <x:f>IF(AC128=0,0,1-AD128)</x:f>
        <x:v>0</x:v>
      </x:c>
    </x:row>
    <x:row r="129" ht="28" customHeight="1">
      <x:c r="A129" s="55"/>
      <x:c r="B129" s="55"/>
      <x:c r="C129" s="60"/>
      <x:c r="D129" s="55"/>
      <x:c r="E129" s="55"/>
      <x:c r="F129" s="55"/>
      <x:c r="G129" s="55"/>
      <x:c r="H129" s="55"/>
      <x:c r="I129" s="63"/>
      <x:c r="J129" s="63"/>
      <x:c r="K129" s="55"/>
      <x:c r="L129" s="65" t="str">
        <x:f>IF(COUNT(I129,K129)&lt;2,"",I129-K129)</x:f>
      </x:c>
      <x:c r="M129" s="56"/>
      <x:c r="N129" s="56"/>
      <x:c r="O129" s="56"/>
      <x:c r="P129" s="55"/>
      <x:c r="Q129" s="55"/>
      <x:c r="R129" s="56"/>
      <x:c r="S129" s="56"/>
      <x:c r="T129" s="56"/>
      <x:c r="U129" s="55"/>
      <x:c r="V129" s="55"/>
      <x:c r="W129" s="55"/>
      <x:c r="X129" s="55"/>
      <x:c r="Y129" s="55"/>
      <x:c r="Z129" s="56"/>
      <x:c r="AA129" s="55"/>
      <x:c r="AC129" t="n">
        <x:f>IF(OR(A129="",D129=""),0,IF(COUNTIFS($A$17:A129,A129,$D$17:D129,D129)=1,1,0))</x:f>
        <x:v>0</x:v>
      </x:c>
      <x:c r="AD129" t="n">
        <x:f>IF(AC129=0,0,IF(OR(ISNUMBER(O129),P129="PO issued",P129="Under manufacturing",P129="Inspection pending",P129="Ready for dispatch",P129="Dispatched",P129="Partly received",P129="Fully received"),1,0))</x:f>
        <x:v>0</x:v>
      </x:c>
      <x:c r="AE129" t="n">
        <x:f>IF(AC129=0,0,IF(P129="Fully received",1,0))</x:f>
        <x:v>0</x:v>
      </x:c>
      <x:c r="AF129" t="n">
        <x:f>IF(AC129=0,0,1-AD129)</x:f>
        <x:v>0</x:v>
      </x:c>
    </x:row>
    <x:row r="130" ht="28" customHeight="1">
      <x:c r="A130" s="55"/>
      <x:c r="B130" s="55"/>
      <x:c r="C130" s="60"/>
      <x:c r="D130" s="55"/>
      <x:c r="E130" s="55"/>
      <x:c r="F130" s="55"/>
      <x:c r="G130" s="55"/>
      <x:c r="H130" s="55"/>
      <x:c r="I130" s="63"/>
      <x:c r="J130" s="63"/>
      <x:c r="K130" s="55"/>
      <x:c r="L130" s="65" t="str">
        <x:f>IF(COUNT(I130,K130)&lt;2,"",I130-K130)</x:f>
      </x:c>
      <x:c r="M130" s="56"/>
      <x:c r="N130" s="56"/>
      <x:c r="O130" s="56"/>
      <x:c r="P130" s="55"/>
      <x:c r="Q130" s="55"/>
      <x:c r="R130" s="56"/>
      <x:c r="S130" s="56"/>
      <x:c r="T130" s="56"/>
      <x:c r="U130" s="55"/>
      <x:c r="V130" s="55"/>
      <x:c r="W130" s="55"/>
      <x:c r="X130" s="55"/>
      <x:c r="Y130" s="55"/>
      <x:c r="Z130" s="56"/>
      <x:c r="AA130" s="55"/>
      <x:c r="AC130" t="n">
        <x:f>IF(OR(A130="",D130=""),0,IF(COUNTIFS($A$17:A130,A130,$D$17:D130,D130)=1,1,0))</x:f>
        <x:v>0</x:v>
      </x:c>
      <x:c r="AD130" t="n">
        <x:f>IF(AC130=0,0,IF(OR(ISNUMBER(O130),P130="PO issued",P130="Under manufacturing",P130="Inspection pending",P130="Ready for dispatch",P130="Dispatched",P130="Partly received",P130="Fully received"),1,0))</x:f>
        <x:v>0</x:v>
      </x:c>
      <x:c r="AE130" t="n">
        <x:f>IF(AC130=0,0,IF(P130="Fully received",1,0))</x:f>
        <x:v>0</x:v>
      </x:c>
      <x:c r="AF130" t="n">
        <x:f>IF(AC130=0,0,1-AD130)</x:f>
        <x:v>0</x:v>
      </x:c>
    </x:row>
    <x:row r="131" ht="28" customHeight="1">
      <x:c r="A131" s="55"/>
      <x:c r="B131" s="55"/>
      <x:c r="C131" s="60"/>
      <x:c r="D131" s="55"/>
      <x:c r="E131" s="55"/>
      <x:c r="F131" s="55"/>
      <x:c r="G131" s="55"/>
      <x:c r="H131" s="55"/>
      <x:c r="I131" s="63"/>
      <x:c r="J131" s="63"/>
      <x:c r="K131" s="55"/>
      <x:c r="L131" s="65" t="str">
        <x:f>IF(COUNT(I131,K131)&lt;2,"",I131-K131)</x:f>
      </x:c>
      <x:c r="M131" s="56"/>
      <x:c r="N131" s="56"/>
      <x:c r="O131" s="56"/>
      <x:c r="P131" s="55"/>
      <x:c r="Q131" s="55"/>
      <x:c r="R131" s="56"/>
      <x:c r="S131" s="56"/>
      <x:c r="T131" s="56"/>
      <x:c r="U131" s="55"/>
      <x:c r="V131" s="55"/>
      <x:c r="W131" s="55"/>
      <x:c r="X131" s="55"/>
      <x:c r="Y131" s="55"/>
      <x:c r="Z131" s="56"/>
      <x:c r="AA131" s="55"/>
      <x:c r="AC131" t="n">
        <x:f>IF(OR(A131="",D131=""),0,IF(COUNTIFS($A$17:A131,A131,$D$17:D131,D131)=1,1,0))</x:f>
        <x:v>0</x:v>
      </x:c>
      <x:c r="AD131" t="n">
        <x:f>IF(AC131=0,0,IF(OR(ISNUMBER(O131),P131="PO issued",P131="Under manufacturing",P131="Inspection pending",P131="Ready for dispatch",P131="Dispatched",P131="Partly received",P131="Fully received"),1,0))</x:f>
        <x:v>0</x:v>
      </x:c>
      <x:c r="AE131" t="n">
        <x:f>IF(AC131=0,0,IF(P131="Fully received",1,0))</x:f>
        <x:v>0</x:v>
      </x:c>
      <x:c r="AF131" t="n">
        <x:f>IF(AC131=0,0,1-AD131)</x:f>
        <x:v>0</x:v>
      </x:c>
    </x:row>
    <x:row r="132" ht="28" customHeight="1">
      <x:c r="A132" s="55"/>
      <x:c r="B132" s="55"/>
      <x:c r="C132" s="60"/>
      <x:c r="D132" s="55"/>
      <x:c r="E132" s="55"/>
      <x:c r="F132" s="55"/>
      <x:c r="G132" s="55"/>
      <x:c r="H132" s="55"/>
      <x:c r="I132" s="63"/>
      <x:c r="J132" s="63"/>
      <x:c r="K132" s="55"/>
      <x:c r="L132" s="65" t="str">
        <x:f>IF(COUNT(I132,K132)&lt;2,"",I132-K132)</x:f>
      </x:c>
      <x:c r="M132" s="56"/>
      <x:c r="N132" s="56"/>
      <x:c r="O132" s="56"/>
      <x:c r="P132" s="55"/>
      <x:c r="Q132" s="55"/>
      <x:c r="R132" s="56"/>
      <x:c r="S132" s="56"/>
      <x:c r="T132" s="56"/>
      <x:c r="U132" s="55"/>
      <x:c r="V132" s="55"/>
      <x:c r="W132" s="55"/>
      <x:c r="X132" s="55"/>
      <x:c r="Y132" s="55"/>
      <x:c r="Z132" s="56"/>
      <x:c r="AA132" s="55"/>
      <x:c r="AC132" t="n">
        <x:f>IF(OR(A132="",D132=""),0,IF(COUNTIFS($A$17:A132,A132,$D$17:D132,D132)=1,1,0))</x:f>
        <x:v>0</x:v>
      </x:c>
      <x:c r="AD132" t="n">
        <x:f>IF(AC132=0,0,IF(OR(ISNUMBER(O132),P132="PO issued",P132="Under manufacturing",P132="Inspection pending",P132="Ready for dispatch",P132="Dispatched",P132="Partly received",P132="Fully received"),1,0))</x:f>
        <x:v>0</x:v>
      </x:c>
      <x:c r="AE132" t="n">
        <x:f>IF(AC132=0,0,IF(P132="Fully received",1,0))</x:f>
        <x:v>0</x:v>
      </x:c>
      <x:c r="AF132" t="n">
        <x:f>IF(AC132=0,0,1-AD132)</x:f>
        <x:v>0</x:v>
      </x:c>
    </x:row>
    <x:row r="133" ht="28" customHeight="1">
      <x:c r="A133" s="55"/>
      <x:c r="B133" s="55"/>
      <x:c r="C133" s="60"/>
      <x:c r="D133" s="55"/>
      <x:c r="E133" s="55"/>
      <x:c r="F133" s="55"/>
      <x:c r="G133" s="55"/>
      <x:c r="H133" s="55"/>
      <x:c r="I133" s="63"/>
      <x:c r="J133" s="63"/>
      <x:c r="K133" s="55"/>
      <x:c r="L133" s="65" t="str">
        <x:f>IF(COUNT(I133,K133)&lt;2,"",I133-K133)</x:f>
      </x:c>
      <x:c r="M133" s="56"/>
      <x:c r="N133" s="56"/>
      <x:c r="O133" s="56"/>
      <x:c r="P133" s="55"/>
      <x:c r="Q133" s="55"/>
      <x:c r="R133" s="56"/>
      <x:c r="S133" s="56"/>
      <x:c r="T133" s="56"/>
      <x:c r="U133" s="55"/>
      <x:c r="V133" s="55"/>
      <x:c r="W133" s="55"/>
      <x:c r="X133" s="55"/>
      <x:c r="Y133" s="55"/>
      <x:c r="Z133" s="56"/>
      <x:c r="AA133" s="55"/>
      <x:c r="AC133" t="n">
        <x:f>IF(OR(A133="",D133=""),0,IF(COUNTIFS($A$17:A133,A133,$D$17:D133,D133)=1,1,0))</x:f>
        <x:v>0</x:v>
      </x:c>
      <x:c r="AD133" t="n">
        <x:f>IF(AC133=0,0,IF(OR(ISNUMBER(O133),P133="PO issued",P133="Under manufacturing",P133="Inspection pending",P133="Ready for dispatch",P133="Dispatched",P133="Partly received",P133="Fully received"),1,0))</x:f>
        <x:v>0</x:v>
      </x:c>
      <x:c r="AE133" t="n">
        <x:f>IF(AC133=0,0,IF(P133="Fully received",1,0))</x:f>
        <x:v>0</x:v>
      </x:c>
      <x:c r="AF133" t="n">
        <x:f>IF(AC133=0,0,1-AD133)</x:f>
        <x:v>0</x:v>
      </x:c>
    </x:row>
    <x:row r="134" ht="28" customHeight="1">
      <x:c r="A134" s="55"/>
      <x:c r="B134" s="55"/>
      <x:c r="C134" s="60"/>
      <x:c r="D134" s="55"/>
      <x:c r="E134" s="55"/>
      <x:c r="F134" s="55"/>
      <x:c r="G134" s="55"/>
      <x:c r="H134" s="55"/>
      <x:c r="I134" s="63"/>
      <x:c r="J134" s="63"/>
      <x:c r="K134" s="55"/>
      <x:c r="L134" s="65" t="str">
        <x:f>IF(COUNT(I134,K134)&lt;2,"",I134-K134)</x:f>
      </x:c>
      <x:c r="M134" s="56"/>
      <x:c r="N134" s="56"/>
      <x:c r="O134" s="56"/>
      <x:c r="P134" s="55"/>
      <x:c r="Q134" s="55"/>
      <x:c r="R134" s="56"/>
      <x:c r="S134" s="56"/>
      <x:c r="T134" s="56"/>
      <x:c r="U134" s="55"/>
      <x:c r="V134" s="55"/>
      <x:c r="W134" s="55"/>
      <x:c r="X134" s="55"/>
      <x:c r="Y134" s="55"/>
      <x:c r="Z134" s="56"/>
      <x:c r="AA134" s="55"/>
      <x:c r="AC134" t="n">
        <x:f>IF(OR(A134="",D134=""),0,IF(COUNTIFS($A$17:A134,A134,$D$17:D134,D134)=1,1,0))</x:f>
        <x:v>0</x:v>
      </x:c>
      <x:c r="AD134" t="n">
        <x:f>IF(AC134=0,0,IF(OR(ISNUMBER(O134),P134="PO issued",P134="Under manufacturing",P134="Inspection pending",P134="Ready for dispatch",P134="Dispatched",P134="Partly received",P134="Fully received"),1,0))</x:f>
        <x:v>0</x:v>
      </x:c>
      <x:c r="AE134" t="n">
        <x:f>IF(AC134=0,0,IF(P134="Fully received",1,0))</x:f>
        <x:v>0</x:v>
      </x:c>
      <x:c r="AF134" t="n">
        <x:f>IF(AC134=0,0,1-AD134)</x:f>
        <x:v>0</x:v>
      </x:c>
    </x:row>
    <x:row r="135" ht="28" customHeight="1">
      <x:c r="A135" s="55"/>
      <x:c r="B135" s="55"/>
      <x:c r="C135" s="60"/>
      <x:c r="D135" s="55"/>
      <x:c r="E135" s="55"/>
      <x:c r="F135" s="55"/>
      <x:c r="G135" s="55"/>
      <x:c r="H135" s="55"/>
      <x:c r="I135" s="63"/>
      <x:c r="J135" s="63"/>
      <x:c r="K135" s="55"/>
      <x:c r="L135" s="65" t="str">
        <x:f>IF(COUNT(I135,K135)&lt;2,"",I135-K135)</x:f>
      </x:c>
      <x:c r="M135" s="56"/>
      <x:c r="N135" s="56"/>
      <x:c r="O135" s="56"/>
      <x:c r="P135" s="55"/>
      <x:c r="Q135" s="55"/>
      <x:c r="R135" s="56"/>
      <x:c r="S135" s="56"/>
      <x:c r="T135" s="56"/>
      <x:c r="U135" s="55"/>
      <x:c r="V135" s="55"/>
      <x:c r="W135" s="55"/>
      <x:c r="X135" s="55"/>
      <x:c r="Y135" s="55"/>
      <x:c r="Z135" s="56"/>
      <x:c r="AA135" s="55"/>
      <x:c r="AC135" t="n">
        <x:f>IF(OR(A135="",D135=""),0,IF(COUNTIFS($A$17:A135,A135,$D$17:D135,D135)=1,1,0))</x:f>
        <x:v>0</x:v>
      </x:c>
      <x:c r="AD135" t="n">
        <x:f>IF(AC135=0,0,IF(OR(ISNUMBER(O135),P135="PO issued",P135="Under manufacturing",P135="Inspection pending",P135="Ready for dispatch",P135="Dispatched",P135="Partly received",P135="Fully received"),1,0))</x:f>
        <x:v>0</x:v>
      </x:c>
      <x:c r="AE135" t="n">
        <x:f>IF(AC135=0,0,IF(P135="Fully received",1,0))</x:f>
        <x:v>0</x:v>
      </x:c>
      <x:c r="AF135" t="n">
        <x:f>IF(AC135=0,0,1-AD135)</x:f>
        <x:v>0</x:v>
      </x:c>
    </x:row>
    <x:row r="136" ht="28" customHeight="1">
      <x:c r="A136" s="55"/>
      <x:c r="B136" s="55"/>
      <x:c r="C136" s="60"/>
      <x:c r="D136" s="55"/>
      <x:c r="E136" s="55"/>
      <x:c r="F136" s="55"/>
      <x:c r="G136" s="55"/>
      <x:c r="H136" s="55"/>
      <x:c r="I136" s="63"/>
      <x:c r="J136" s="63"/>
      <x:c r="K136" s="55"/>
      <x:c r="L136" s="65" t="str">
        <x:f>IF(COUNT(I136,K136)&lt;2,"",I136-K136)</x:f>
      </x:c>
      <x:c r="M136" s="56"/>
      <x:c r="N136" s="56"/>
      <x:c r="O136" s="56"/>
      <x:c r="P136" s="55"/>
      <x:c r="Q136" s="55"/>
      <x:c r="R136" s="56"/>
      <x:c r="S136" s="56"/>
      <x:c r="T136" s="56"/>
      <x:c r="U136" s="55"/>
      <x:c r="V136" s="55"/>
      <x:c r="W136" s="55"/>
      <x:c r="X136" s="55"/>
      <x:c r="Y136" s="55"/>
      <x:c r="Z136" s="56"/>
      <x:c r="AA136" s="55"/>
      <x:c r="AC136" t="n">
        <x:f>IF(OR(A136="",D136=""),0,IF(COUNTIFS($A$17:A136,A136,$D$17:D136,D136)=1,1,0))</x:f>
        <x:v>0</x:v>
      </x:c>
      <x:c r="AD136" t="n">
        <x:f>IF(AC136=0,0,IF(OR(ISNUMBER(O136),P136="PO issued",P136="Under manufacturing",P136="Inspection pending",P136="Ready for dispatch",P136="Dispatched",P136="Partly received",P136="Fully received"),1,0))</x:f>
        <x:v>0</x:v>
      </x:c>
      <x:c r="AE136" t="n">
        <x:f>IF(AC136=0,0,IF(P136="Fully received",1,0))</x:f>
        <x:v>0</x:v>
      </x:c>
      <x:c r="AF136" t="n">
        <x:f>IF(AC136=0,0,1-AD136)</x:f>
        <x:v>0</x:v>
      </x:c>
    </x:row>
    <x:row r="137" ht="28" customHeight="1">
      <x:c r="A137" s="55"/>
      <x:c r="B137" s="55"/>
      <x:c r="C137" s="60"/>
      <x:c r="D137" s="55"/>
      <x:c r="E137" s="55"/>
      <x:c r="F137" s="55"/>
      <x:c r="G137" s="55"/>
      <x:c r="H137" s="55"/>
      <x:c r="I137" s="63"/>
      <x:c r="J137" s="63"/>
      <x:c r="K137" s="55"/>
      <x:c r="L137" s="65" t="str">
        <x:f>IF(COUNT(I137,K137)&lt;2,"",I137-K137)</x:f>
      </x:c>
      <x:c r="M137" s="56"/>
      <x:c r="N137" s="56"/>
      <x:c r="O137" s="56"/>
      <x:c r="P137" s="55"/>
      <x:c r="Q137" s="55"/>
      <x:c r="R137" s="56"/>
      <x:c r="S137" s="56"/>
      <x:c r="T137" s="56"/>
      <x:c r="U137" s="55"/>
      <x:c r="V137" s="55"/>
      <x:c r="W137" s="55"/>
      <x:c r="X137" s="55"/>
      <x:c r="Y137" s="55"/>
      <x:c r="Z137" s="56"/>
      <x:c r="AA137" s="55"/>
      <x:c r="AC137" t="n">
        <x:f>IF(OR(A137="",D137=""),0,IF(COUNTIFS($A$17:A137,A137,$D$17:D137,D137)=1,1,0))</x:f>
        <x:v>0</x:v>
      </x:c>
      <x:c r="AD137" t="n">
        <x:f>IF(AC137=0,0,IF(OR(ISNUMBER(O137),P137="PO issued",P137="Under manufacturing",P137="Inspection pending",P137="Ready for dispatch",P137="Dispatched",P137="Partly received",P137="Fully received"),1,0))</x:f>
        <x:v>0</x:v>
      </x:c>
      <x:c r="AE137" t="n">
        <x:f>IF(AC137=0,0,IF(P137="Fully received",1,0))</x:f>
        <x:v>0</x:v>
      </x:c>
      <x:c r="AF137" t="n">
        <x:f>IF(AC137=0,0,1-AD137)</x:f>
        <x:v>0</x:v>
      </x:c>
    </x:row>
    <x:row r="138" ht="28" customHeight="1">
      <x:c r="A138" s="55"/>
      <x:c r="B138" s="55"/>
      <x:c r="C138" s="60"/>
      <x:c r="D138" s="55"/>
      <x:c r="E138" s="55"/>
      <x:c r="F138" s="55"/>
      <x:c r="G138" s="55"/>
      <x:c r="H138" s="55"/>
      <x:c r="I138" s="63"/>
      <x:c r="J138" s="63"/>
      <x:c r="K138" s="55"/>
      <x:c r="L138" s="65" t="str">
        <x:f>IF(COUNT(I138,K138)&lt;2,"",I138-K138)</x:f>
      </x:c>
      <x:c r="M138" s="56"/>
      <x:c r="N138" s="56"/>
      <x:c r="O138" s="56"/>
      <x:c r="P138" s="55"/>
      <x:c r="Q138" s="55"/>
      <x:c r="R138" s="56"/>
      <x:c r="S138" s="56"/>
      <x:c r="T138" s="56"/>
      <x:c r="U138" s="55"/>
      <x:c r="V138" s="55"/>
      <x:c r="W138" s="55"/>
      <x:c r="X138" s="55"/>
      <x:c r="Y138" s="55"/>
      <x:c r="Z138" s="56"/>
      <x:c r="AA138" s="55"/>
      <x:c r="AC138" t="n">
        <x:f>IF(OR(A138="",D138=""),0,IF(COUNTIFS($A$17:A138,A138,$D$17:D138,D138)=1,1,0))</x:f>
        <x:v>0</x:v>
      </x:c>
      <x:c r="AD138" t="n">
        <x:f>IF(AC138=0,0,IF(OR(ISNUMBER(O138),P138="PO issued",P138="Under manufacturing",P138="Inspection pending",P138="Ready for dispatch",P138="Dispatched",P138="Partly received",P138="Fully received"),1,0))</x:f>
        <x:v>0</x:v>
      </x:c>
      <x:c r="AE138" t="n">
        <x:f>IF(AC138=0,0,IF(P138="Fully received",1,0))</x:f>
        <x:v>0</x:v>
      </x:c>
      <x:c r="AF138" t="n">
        <x:f>IF(AC138=0,0,1-AD138)</x:f>
        <x:v>0</x:v>
      </x:c>
    </x:row>
    <x:row r="139" ht="28" customHeight="1">
      <x:c r="A139" s="55"/>
      <x:c r="B139" s="55"/>
      <x:c r="C139" s="60"/>
      <x:c r="D139" s="55"/>
      <x:c r="E139" s="55"/>
      <x:c r="F139" s="55"/>
      <x:c r="G139" s="55"/>
      <x:c r="H139" s="55"/>
      <x:c r="I139" s="63"/>
      <x:c r="J139" s="63"/>
      <x:c r="K139" s="55"/>
      <x:c r="L139" s="65" t="str">
        <x:f>IF(COUNT(I139,K139)&lt;2,"",I139-K139)</x:f>
      </x:c>
      <x:c r="M139" s="56"/>
      <x:c r="N139" s="56"/>
      <x:c r="O139" s="56"/>
      <x:c r="P139" s="55"/>
      <x:c r="Q139" s="55"/>
      <x:c r="R139" s="56"/>
      <x:c r="S139" s="56"/>
      <x:c r="T139" s="56"/>
      <x:c r="U139" s="55"/>
      <x:c r="V139" s="55"/>
      <x:c r="W139" s="55"/>
      <x:c r="X139" s="55"/>
      <x:c r="Y139" s="55"/>
      <x:c r="Z139" s="56"/>
      <x:c r="AA139" s="55"/>
      <x:c r="AC139" t="n">
        <x:f>IF(OR(A139="",D139=""),0,IF(COUNTIFS($A$17:A139,A139,$D$17:D139,D139)=1,1,0))</x:f>
        <x:v>0</x:v>
      </x:c>
      <x:c r="AD139" t="n">
        <x:f>IF(AC139=0,0,IF(OR(ISNUMBER(O139),P139="PO issued",P139="Under manufacturing",P139="Inspection pending",P139="Ready for dispatch",P139="Dispatched",P139="Partly received",P139="Fully received"),1,0))</x:f>
        <x:v>0</x:v>
      </x:c>
      <x:c r="AE139" t="n">
        <x:f>IF(AC139=0,0,IF(P139="Fully received",1,0))</x:f>
        <x:v>0</x:v>
      </x:c>
      <x:c r="AF139" t="n">
        <x:f>IF(AC139=0,0,1-AD139)</x:f>
        <x:v>0</x:v>
      </x:c>
    </x:row>
    <x:row r="140" ht="28" customHeight="1">
      <x:c r="A140" s="55"/>
      <x:c r="B140" s="55"/>
      <x:c r="C140" s="60"/>
      <x:c r="D140" s="55"/>
      <x:c r="E140" s="55"/>
      <x:c r="F140" s="55"/>
      <x:c r="G140" s="55"/>
      <x:c r="H140" s="55"/>
      <x:c r="I140" s="63"/>
      <x:c r="J140" s="63"/>
      <x:c r="K140" s="55"/>
      <x:c r="L140" s="65" t="str">
        <x:f>IF(COUNT(I140,K140)&lt;2,"",I140-K140)</x:f>
      </x:c>
      <x:c r="M140" s="56"/>
      <x:c r="N140" s="56"/>
      <x:c r="O140" s="56"/>
      <x:c r="P140" s="55"/>
      <x:c r="Q140" s="55"/>
      <x:c r="R140" s="56"/>
      <x:c r="S140" s="56"/>
      <x:c r="T140" s="56"/>
      <x:c r="U140" s="55"/>
      <x:c r="V140" s="55"/>
      <x:c r="W140" s="55"/>
      <x:c r="X140" s="55"/>
      <x:c r="Y140" s="55"/>
      <x:c r="Z140" s="56"/>
      <x:c r="AA140" s="55"/>
      <x:c r="AC140" t="n">
        <x:f>IF(OR(A140="",D140=""),0,IF(COUNTIFS($A$17:A140,A140,$D$17:D140,D140)=1,1,0))</x:f>
        <x:v>0</x:v>
      </x:c>
      <x:c r="AD140" t="n">
        <x:f>IF(AC140=0,0,IF(OR(ISNUMBER(O140),P140="PO issued",P140="Under manufacturing",P140="Inspection pending",P140="Ready for dispatch",P140="Dispatched",P140="Partly received",P140="Fully received"),1,0))</x:f>
        <x:v>0</x:v>
      </x:c>
      <x:c r="AE140" t="n">
        <x:f>IF(AC140=0,0,IF(P140="Fully received",1,0))</x:f>
        <x:v>0</x:v>
      </x:c>
      <x:c r="AF140" t="n">
        <x:f>IF(AC140=0,0,1-AD140)</x:f>
        <x:v>0</x:v>
      </x:c>
    </x:row>
    <x:row r="141" ht="28" customHeight="1">
      <x:c r="A141" s="55"/>
      <x:c r="B141" s="55"/>
      <x:c r="C141" s="60"/>
      <x:c r="D141" s="55"/>
      <x:c r="E141" s="55"/>
      <x:c r="F141" s="55"/>
      <x:c r="G141" s="55"/>
      <x:c r="H141" s="55"/>
      <x:c r="I141" s="63"/>
      <x:c r="J141" s="63"/>
      <x:c r="K141" s="55"/>
      <x:c r="L141" s="65" t="str">
        <x:f>IF(COUNT(I141,K141)&lt;2,"",I141-K141)</x:f>
      </x:c>
      <x:c r="M141" s="56"/>
      <x:c r="N141" s="56"/>
      <x:c r="O141" s="56"/>
      <x:c r="P141" s="55"/>
      <x:c r="Q141" s="55"/>
      <x:c r="R141" s="56"/>
      <x:c r="S141" s="56"/>
      <x:c r="T141" s="56"/>
      <x:c r="U141" s="55"/>
      <x:c r="V141" s="55"/>
      <x:c r="W141" s="55"/>
      <x:c r="X141" s="55"/>
      <x:c r="Y141" s="55"/>
      <x:c r="Z141" s="56"/>
      <x:c r="AA141" s="55"/>
      <x:c r="AC141" t="n">
        <x:f>IF(OR(A141="",D141=""),0,IF(COUNTIFS($A$17:A141,A141,$D$17:D141,D141)=1,1,0))</x:f>
        <x:v>0</x:v>
      </x:c>
      <x:c r="AD141" t="n">
        <x:f>IF(AC141=0,0,IF(OR(ISNUMBER(O141),P141="PO issued",P141="Under manufacturing",P141="Inspection pending",P141="Ready for dispatch",P141="Dispatched",P141="Partly received",P141="Fully received"),1,0))</x:f>
        <x:v>0</x:v>
      </x:c>
      <x:c r="AE141" t="n">
        <x:f>IF(AC141=0,0,IF(P141="Fully received",1,0))</x:f>
        <x:v>0</x:v>
      </x:c>
      <x:c r="AF141" t="n">
        <x:f>IF(AC141=0,0,1-AD141)</x:f>
        <x:v>0</x:v>
      </x:c>
    </x:row>
    <x:row r="142" ht="28" customHeight="1">
      <x:c r="A142" s="55"/>
      <x:c r="B142" s="55"/>
      <x:c r="C142" s="60"/>
      <x:c r="D142" s="55"/>
      <x:c r="E142" s="55"/>
      <x:c r="F142" s="55"/>
      <x:c r="G142" s="55"/>
      <x:c r="H142" s="55"/>
      <x:c r="I142" s="63"/>
      <x:c r="J142" s="63"/>
      <x:c r="K142" s="55"/>
      <x:c r="L142" s="65" t="str">
        <x:f>IF(COUNT(I142,K142)&lt;2,"",I142-K142)</x:f>
      </x:c>
      <x:c r="M142" s="56"/>
      <x:c r="N142" s="56"/>
      <x:c r="O142" s="56"/>
      <x:c r="P142" s="55"/>
      <x:c r="Q142" s="55"/>
      <x:c r="R142" s="56"/>
      <x:c r="S142" s="56"/>
      <x:c r="T142" s="56"/>
      <x:c r="U142" s="55"/>
      <x:c r="V142" s="55"/>
      <x:c r="W142" s="55"/>
      <x:c r="X142" s="55"/>
      <x:c r="Y142" s="55"/>
      <x:c r="Z142" s="56"/>
      <x:c r="AA142" s="55"/>
      <x:c r="AC142" t="n">
        <x:f>IF(OR(A142="",D142=""),0,IF(COUNTIFS($A$17:A142,A142,$D$17:D142,D142)=1,1,0))</x:f>
        <x:v>0</x:v>
      </x:c>
      <x:c r="AD142" t="n">
        <x:f>IF(AC142=0,0,IF(OR(ISNUMBER(O142),P142="PO issued",P142="Under manufacturing",P142="Inspection pending",P142="Ready for dispatch",P142="Dispatched",P142="Partly received",P142="Fully received"),1,0))</x:f>
        <x:v>0</x:v>
      </x:c>
      <x:c r="AE142" t="n">
        <x:f>IF(AC142=0,0,IF(P142="Fully received",1,0))</x:f>
        <x:v>0</x:v>
      </x:c>
      <x:c r="AF142" t="n">
        <x:f>IF(AC142=0,0,1-AD142)</x:f>
        <x:v>0</x:v>
      </x:c>
    </x:row>
    <x:row r="143" ht="28" customHeight="1">
      <x:c r="A143" s="55"/>
      <x:c r="B143" s="55"/>
      <x:c r="C143" s="60"/>
      <x:c r="D143" s="55"/>
      <x:c r="E143" s="55"/>
      <x:c r="F143" s="55"/>
      <x:c r="G143" s="55"/>
      <x:c r="H143" s="55"/>
      <x:c r="I143" s="63"/>
      <x:c r="J143" s="63"/>
      <x:c r="K143" s="55"/>
      <x:c r="L143" s="65" t="str">
        <x:f>IF(COUNT(I143,K143)&lt;2,"",I143-K143)</x:f>
      </x:c>
      <x:c r="M143" s="56"/>
      <x:c r="N143" s="56"/>
      <x:c r="O143" s="56"/>
      <x:c r="P143" s="55"/>
      <x:c r="Q143" s="55"/>
      <x:c r="R143" s="56"/>
      <x:c r="S143" s="56"/>
      <x:c r="T143" s="56"/>
      <x:c r="U143" s="55"/>
      <x:c r="V143" s="55"/>
      <x:c r="W143" s="55"/>
      <x:c r="X143" s="55"/>
      <x:c r="Y143" s="55"/>
      <x:c r="Z143" s="56"/>
      <x:c r="AA143" s="55"/>
      <x:c r="AC143" t="n">
        <x:f>IF(OR(A143="",D143=""),0,IF(COUNTIFS($A$17:A143,A143,$D$17:D143,D143)=1,1,0))</x:f>
        <x:v>0</x:v>
      </x:c>
      <x:c r="AD143" t="n">
        <x:f>IF(AC143=0,0,IF(OR(ISNUMBER(O143),P143="PO issued",P143="Under manufacturing",P143="Inspection pending",P143="Ready for dispatch",P143="Dispatched",P143="Partly received",P143="Fully received"),1,0))</x:f>
        <x:v>0</x:v>
      </x:c>
      <x:c r="AE143" t="n">
        <x:f>IF(AC143=0,0,IF(P143="Fully received",1,0))</x:f>
        <x:v>0</x:v>
      </x:c>
      <x:c r="AF143" t="n">
        <x:f>IF(AC143=0,0,1-AD143)</x:f>
        <x:v>0</x:v>
      </x:c>
    </x:row>
    <x:row r="144" ht="28" customHeight="1">
      <x:c r="A144" s="55"/>
      <x:c r="B144" s="55"/>
      <x:c r="C144" s="60"/>
      <x:c r="D144" s="55"/>
      <x:c r="E144" s="55"/>
      <x:c r="F144" s="55"/>
      <x:c r="G144" s="55"/>
      <x:c r="H144" s="55"/>
      <x:c r="I144" s="63"/>
      <x:c r="J144" s="63"/>
      <x:c r="K144" s="55"/>
      <x:c r="L144" s="65" t="str">
        <x:f>IF(COUNT(I144,K144)&lt;2,"",I144-K144)</x:f>
      </x:c>
      <x:c r="M144" s="56"/>
      <x:c r="N144" s="56"/>
      <x:c r="O144" s="56"/>
      <x:c r="P144" s="55"/>
      <x:c r="Q144" s="55"/>
      <x:c r="R144" s="56"/>
      <x:c r="S144" s="56"/>
      <x:c r="T144" s="56"/>
      <x:c r="U144" s="55"/>
      <x:c r="V144" s="55"/>
      <x:c r="W144" s="55"/>
      <x:c r="X144" s="55"/>
      <x:c r="Y144" s="55"/>
      <x:c r="Z144" s="56"/>
      <x:c r="AA144" s="55"/>
      <x:c r="AC144" t="n">
        <x:f>IF(OR(A144="",D144=""),0,IF(COUNTIFS($A$17:A144,A144,$D$17:D144,D144)=1,1,0))</x:f>
        <x:v>0</x:v>
      </x:c>
      <x:c r="AD144" t="n">
        <x:f>IF(AC144=0,0,IF(OR(ISNUMBER(O144),P144="PO issued",P144="Under manufacturing",P144="Inspection pending",P144="Ready for dispatch",P144="Dispatched",P144="Partly received",P144="Fully received"),1,0))</x:f>
        <x:v>0</x:v>
      </x:c>
      <x:c r="AE144" t="n">
        <x:f>IF(AC144=0,0,IF(P144="Fully received",1,0))</x:f>
        <x:v>0</x:v>
      </x:c>
      <x:c r="AF144" t="n">
        <x:f>IF(AC144=0,0,1-AD144)</x:f>
        <x:v>0</x:v>
      </x:c>
    </x:row>
    <x:row r="145" ht="28" customHeight="1">
      <x:c r="A145" s="55"/>
      <x:c r="B145" s="55"/>
      <x:c r="C145" s="60"/>
      <x:c r="D145" s="55"/>
      <x:c r="E145" s="55"/>
      <x:c r="F145" s="55"/>
      <x:c r="G145" s="55"/>
      <x:c r="H145" s="55"/>
      <x:c r="I145" s="63"/>
      <x:c r="J145" s="63"/>
      <x:c r="K145" s="55"/>
      <x:c r="L145" s="65" t="str">
        <x:f>IF(COUNT(I145,K145)&lt;2,"",I145-K145)</x:f>
      </x:c>
      <x:c r="M145" s="56"/>
      <x:c r="N145" s="56"/>
      <x:c r="O145" s="56"/>
      <x:c r="P145" s="55"/>
      <x:c r="Q145" s="55"/>
      <x:c r="R145" s="56"/>
      <x:c r="S145" s="56"/>
      <x:c r="T145" s="56"/>
      <x:c r="U145" s="55"/>
      <x:c r="V145" s="55"/>
      <x:c r="W145" s="55"/>
      <x:c r="X145" s="55"/>
      <x:c r="Y145" s="55"/>
      <x:c r="Z145" s="56"/>
      <x:c r="AA145" s="55"/>
      <x:c r="AC145" t="n">
        <x:f>IF(OR(A145="",D145=""),0,IF(COUNTIFS($A$17:A145,A145,$D$17:D145,D145)=1,1,0))</x:f>
        <x:v>0</x:v>
      </x:c>
      <x:c r="AD145" t="n">
        <x:f>IF(AC145=0,0,IF(OR(ISNUMBER(O145),P145="PO issued",P145="Under manufacturing",P145="Inspection pending",P145="Ready for dispatch",P145="Dispatched",P145="Partly received",P145="Fully received"),1,0))</x:f>
        <x:v>0</x:v>
      </x:c>
      <x:c r="AE145" t="n">
        <x:f>IF(AC145=0,0,IF(P145="Fully received",1,0))</x:f>
        <x:v>0</x:v>
      </x:c>
      <x:c r="AF145" t="n">
        <x:f>IF(AC145=0,0,1-AD145)</x:f>
        <x:v>0</x:v>
      </x:c>
    </x:row>
    <x:row r="146" ht="28" customHeight="1">
      <x:c r="A146" s="55"/>
      <x:c r="B146" s="55"/>
      <x:c r="C146" s="60"/>
      <x:c r="D146" s="55"/>
      <x:c r="E146" s="55"/>
      <x:c r="F146" s="55"/>
      <x:c r="G146" s="55"/>
      <x:c r="H146" s="55"/>
      <x:c r="I146" s="63"/>
      <x:c r="J146" s="63"/>
      <x:c r="K146" s="55"/>
      <x:c r="L146" s="65" t="str">
        <x:f>IF(COUNT(I146,K146)&lt;2,"",I146-K146)</x:f>
      </x:c>
      <x:c r="M146" s="56"/>
      <x:c r="N146" s="56"/>
      <x:c r="O146" s="56"/>
      <x:c r="P146" s="55"/>
      <x:c r="Q146" s="55"/>
      <x:c r="R146" s="56"/>
      <x:c r="S146" s="56"/>
      <x:c r="T146" s="56"/>
      <x:c r="U146" s="55"/>
      <x:c r="V146" s="55"/>
      <x:c r="W146" s="55"/>
      <x:c r="X146" s="55"/>
      <x:c r="Y146" s="55"/>
      <x:c r="Z146" s="56"/>
      <x:c r="AA146" s="55"/>
      <x:c r="AC146" t="n">
        <x:f>IF(OR(A146="",D146=""),0,IF(COUNTIFS($A$17:A146,A146,$D$17:D146,D146)=1,1,0))</x:f>
        <x:v>0</x:v>
      </x:c>
      <x:c r="AD146" t="n">
        <x:f>IF(AC146=0,0,IF(OR(ISNUMBER(O146),P146="PO issued",P146="Under manufacturing",P146="Inspection pending",P146="Ready for dispatch",P146="Dispatched",P146="Partly received",P146="Fully received"),1,0))</x:f>
        <x:v>0</x:v>
      </x:c>
      <x:c r="AE146" t="n">
        <x:f>IF(AC146=0,0,IF(P146="Fully received",1,0))</x:f>
        <x:v>0</x:v>
      </x:c>
      <x:c r="AF146" t="n">
        <x:f>IF(AC146=0,0,1-AD146)</x:f>
        <x:v>0</x:v>
      </x:c>
    </x:row>
    <x:row r="147" ht="28" customHeight="1">
      <x:c r="A147" s="55"/>
      <x:c r="B147" s="55"/>
      <x:c r="C147" s="60"/>
      <x:c r="D147" s="55"/>
      <x:c r="E147" s="55"/>
      <x:c r="F147" s="55"/>
      <x:c r="G147" s="55"/>
      <x:c r="H147" s="55"/>
      <x:c r="I147" s="63"/>
      <x:c r="J147" s="63"/>
      <x:c r="K147" s="55"/>
      <x:c r="L147" s="65" t="str">
        <x:f>IF(COUNT(I147,K147)&lt;2,"",I147-K147)</x:f>
      </x:c>
      <x:c r="M147" s="56"/>
      <x:c r="N147" s="56"/>
      <x:c r="O147" s="56"/>
      <x:c r="P147" s="55"/>
      <x:c r="Q147" s="55"/>
      <x:c r="R147" s="56"/>
      <x:c r="S147" s="56"/>
      <x:c r="T147" s="56"/>
      <x:c r="U147" s="55"/>
      <x:c r="V147" s="55"/>
      <x:c r="W147" s="55"/>
      <x:c r="X147" s="55"/>
      <x:c r="Y147" s="55"/>
      <x:c r="Z147" s="56"/>
      <x:c r="AA147" s="55"/>
      <x:c r="AC147" t="n">
        <x:f>IF(OR(A147="",D147=""),0,IF(COUNTIFS($A$17:A147,A147,$D$17:D147,D147)=1,1,0))</x:f>
        <x:v>0</x:v>
      </x:c>
      <x:c r="AD147" t="n">
        <x:f>IF(AC147=0,0,IF(OR(ISNUMBER(O147),P147="PO issued",P147="Under manufacturing",P147="Inspection pending",P147="Ready for dispatch",P147="Dispatched",P147="Partly received",P147="Fully received"),1,0))</x:f>
        <x:v>0</x:v>
      </x:c>
      <x:c r="AE147" t="n">
        <x:f>IF(AC147=0,0,IF(P147="Fully received",1,0))</x:f>
        <x:v>0</x:v>
      </x:c>
      <x:c r="AF147" t="n">
        <x:f>IF(AC147=0,0,1-AD147)</x:f>
        <x:v>0</x:v>
      </x:c>
    </x:row>
    <x:row r="148" ht="28" customHeight="1">
      <x:c r="A148" s="55"/>
      <x:c r="B148" s="55"/>
      <x:c r="C148" s="60"/>
      <x:c r="D148" s="55"/>
      <x:c r="E148" s="55"/>
      <x:c r="F148" s="55"/>
      <x:c r="G148" s="55"/>
      <x:c r="H148" s="55"/>
      <x:c r="I148" s="63"/>
      <x:c r="J148" s="63"/>
      <x:c r="K148" s="55"/>
      <x:c r="L148" s="65" t="str">
        <x:f>IF(COUNT(I148,K148)&lt;2,"",I148-K148)</x:f>
      </x:c>
      <x:c r="M148" s="56"/>
      <x:c r="N148" s="56"/>
      <x:c r="O148" s="56"/>
      <x:c r="P148" s="55"/>
      <x:c r="Q148" s="55"/>
      <x:c r="R148" s="56"/>
      <x:c r="S148" s="56"/>
      <x:c r="T148" s="56"/>
      <x:c r="U148" s="55"/>
      <x:c r="V148" s="55"/>
      <x:c r="W148" s="55"/>
      <x:c r="X148" s="55"/>
      <x:c r="Y148" s="55"/>
      <x:c r="Z148" s="56"/>
      <x:c r="AA148" s="55"/>
      <x:c r="AC148" t="n">
        <x:f>IF(OR(A148="",D148=""),0,IF(COUNTIFS($A$17:A148,A148,$D$17:D148,D148)=1,1,0))</x:f>
        <x:v>0</x:v>
      </x:c>
      <x:c r="AD148" t="n">
        <x:f>IF(AC148=0,0,IF(OR(ISNUMBER(O148),P148="PO issued",P148="Under manufacturing",P148="Inspection pending",P148="Ready for dispatch",P148="Dispatched",P148="Partly received",P148="Fully received"),1,0))</x:f>
        <x:v>0</x:v>
      </x:c>
      <x:c r="AE148" t="n">
        <x:f>IF(AC148=0,0,IF(P148="Fully received",1,0))</x:f>
        <x:v>0</x:v>
      </x:c>
      <x:c r="AF148" t="n">
        <x:f>IF(AC148=0,0,1-AD148)</x:f>
        <x:v>0</x:v>
      </x:c>
    </x:row>
    <x:row r="149" ht="28" customHeight="1">
      <x:c r="A149" s="55"/>
      <x:c r="B149" s="55"/>
      <x:c r="C149" s="60"/>
      <x:c r="D149" s="55"/>
      <x:c r="E149" s="55"/>
      <x:c r="F149" s="55"/>
      <x:c r="G149" s="55"/>
      <x:c r="H149" s="55"/>
      <x:c r="I149" s="63"/>
      <x:c r="J149" s="63"/>
      <x:c r="K149" s="55"/>
      <x:c r="L149" s="65" t="str">
        <x:f>IF(COUNT(I149,K149)&lt;2,"",I149-K149)</x:f>
      </x:c>
      <x:c r="M149" s="56"/>
      <x:c r="N149" s="56"/>
      <x:c r="O149" s="56"/>
      <x:c r="P149" s="55"/>
      <x:c r="Q149" s="55"/>
      <x:c r="R149" s="56"/>
      <x:c r="S149" s="56"/>
      <x:c r="T149" s="56"/>
      <x:c r="U149" s="55"/>
      <x:c r="V149" s="55"/>
      <x:c r="W149" s="55"/>
      <x:c r="X149" s="55"/>
      <x:c r="Y149" s="55"/>
      <x:c r="Z149" s="56"/>
      <x:c r="AA149" s="55"/>
      <x:c r="AC149" t="n">
        <x:f>IF(OR(A149="",D149=""),0,IF(COUNTIFS($A$17:A149,A149,$D$17:D149,D149)=1,1,0))</x:f>
        <x:v>0</x:v>
      </x:c>
      <x:c r="AD149" t="n">
        <x:f>IF(AC149=0,0,IF(OR(ISNUMBER(O149),P149="PO issued",P149="Under manufacturing",P149="Inspection pending",P149="Ready for dispatch",P149="Dispatched",P149="Partly received",P149="Fully received"),1,0))</x:f>
        <x:v>0</x:v>
      </x:c>
      <x:c r="AE149" t="n">
        <x:f>IF(AC149=0,0,IF(P149="Fully received",1,0))</x:f>
        <x:v>0</x:v>
      </x:c>
      <x:c r="AF149" t="n">
        <x:f>IF(AC149=0,0,1-AD149)</x:f>
        <x:v>0</x:v>
      </x:c>
    </x:row>
    <x:row r="150" ht="28" customHeight="1">
      <x:c r="A150" s="55"/>
      <x:c r="B150" s="55"/>
      <x:c r="C150" s="60"/>
      <x:c r="D150" s="55"/>
      <x:c r="E150" s="55"/>
      <x:c r="F150" s="55"/>
      <x:c r="G150" s="55"/>
      <x:c r="H150" s="55"/>
      <x:c r="I150" s="63"/>
      <x:c r="J150" s="63"/>
      <x:c r="K150" s="55"/>
      <x:c r="L150" s="65" t="str">
        <x:f>IF(COUNT(I150,K150)&lt;2,"",I150-K150)</x:f>
      </x:c>
      <x:c r="M150" s="56"/>
      <x:c r="N150" s="56"/>
      <x:c r="O150" s="56"/>
      <x:c r="P150" s="55"/>
      <x:c r="Q150" s="55"/>
      <x:c r="R150" s="56"/>
      <x:c r="S150" s="56"/>
      <x:c r="T150" s="56"/>
      <x:c r="U150" s="55"/>
      <x:c r="V150" s="55"/>
      <x:c r="W150" s="55"/>
      <x:c r="X150" s="55"/>
      <x:c r="Y150" s="55"/>
      <x:c r="Z150" s="56"/>
      <x:c r="AA150" s="55"/>
      <x:c r="AC150" t="n">
        <x:f>IF(OR(A150="",D150=""),0,IF(COUNTIFS($A$17:A150,A150,$D$17:D150,D150)=1,1,0))</x:f>
        <x:v>0</x:v>
      </x:c>
      <x:c r="AD150" t="n">
        <x:f>IF(AC150=0,0,IF(OR(ISNUMBER(O150),P150="PO issued",P150="Under manufacturing",P150="Inspection pending",P150="Ready for dispatch",P150="Dispatched",P150="Partly received",P150="Fully received"),1,0))</x:f>
        <x:v>0</x:v>
      </x:c>
      <x:c r="AE150" t="n">
        <x:f>IF(AC150=0,0,IF(P150="Fully received",1,0))</x:f>
        <x:v>0</x:v>
      </x:c>
      <x:c r="AF150" t="n">
        <x:f>IF(AC150=0,0,1-AD150)</x:f>
        <x:v>0</x:v>
      </x:c>
    </x:row>
    <x:row r="151" ht="28" customHeight="1">
      <x:c r="A151" s="55"/>
      <x:c r="B151" s="55"/>
      <x:c r="C151" s="60"/>
      <x:c r="D151" s="55"/>
      <x:c r="E151" s="55"/>
      <x:c r="F151" s="55"/>
      <x:c r="G151" s="55"/>
      <x:c r="H151" s="55"/>
      <x:c r="I151" s="63"/>
      <x:c r="J151" s="63"/>
      <x:c r="K151" s="55"/>
      <x:c r="L151" s="65" t="str">
        <x:f>IF(COUNT(I151,K151)&lt;2,"",I151-K151)</x:f>
      </x:c>
      <x:c r="M151" s="56"/>
      <x:c r="N151" s="56"/>
      <x:c r="O151" s="56"/>
      <x:c r="P151" s="55"/>
      <x:c r="Q151" s="55"/>
      <x:c r="R151" s="56"/>
      <x:c r="S151" s="56"/>
      <x:c r="T151" s="56"/>
      <x:c r="U151" s="55"/>
      <x:c r="V151" s="55"/>
      <x:c r="W151" s="55"/>
      <x:c r="X151" s="55"/>
      <x:c r="Y151" s="55"/>
      <x:c r="Z151" s="56"/>
      <x:c r="AA151" s="55"/>
      <x:c r="AC151" t="n">
        <x:f>IF(OR(A151="",D151=""),0,IF(COUNTIFS($A$17:A151,A151,$D$17:D151,D151)=1,1,0))</x:f>
        <x:v>0</x:v>
      </x:c>
      <x:c r="AD151" t="n">
        <x:f>IF(AC151=0,0,IF(OR(ISNUMBER(O151),P151="PO issued",P151="Under manufacturing",P151="Inspection pending",P151="Ready for dispatch",P151="Dispatched",P151="Partly received",P151="Fully received"),1,0))</x:f>
        <x:v>0</x:v>
      </x:c>
      <x:c r="AE151" t="n">
        <x:f>IF(AC151=0,0,IF(P151="Fully received",1,0))</x:f>
        <x:v>0</x:v>
      </x:c>
      <x:c r="AF151" t="n">
        <x:f>IF(AC151=0,0,1-AD151)</x:f>
        <x:v>0</x:v>
      </x:c>
    </x:row>
    <x:row r="152" ht="28" customHeight="1">
      <x:c r="A152" s="55"/>
      <x:c r="B152" s="55"/>
      <x:c r="C152" s="60"/>
      <x:c r="D152" s="55"/>
      <x:c r="E152" s="55"/>
      <x:c r="F152" s="55"/>
      <x:c r="G152" s="55"/>
      <x:c r="H152" s="55"/>
      <x:c r="I152" s="63"/>
      <x:c r="J152" s="63"/>
      <x:c r="K152" s="55"/>
      <x:c r="L152" s="65" t="str">
        <x:f>IF(COUNT(I152,K152)&lt;2,"",I152-K152)</x:f>
      </x:c>
      <x:c r="M152" s="56"/>
      <x:c r="N152" s="56"/>
      <x:c r="O152" s="56"/>
      <x:c r="P152" s="55"/>
      <x:c r="Q152" s="55"/>
      <x:c r="R152" s="56"/>
      <x:c r="S152" s="56"/>
      <x:c r="T152" s="56"/>
      <x:c r="U152" s="55"/>
      <x:c r="V152" s="55"/>
      <x:c r="W152" s="55"/>
      <x:c r="X152" s="55"/>
      <x:c r="Y152" s="55"/>
      <x:c r="Z152" s="56"/>
      <x:c r="AA152" s="55"/>
      <x:c r="AC152" t="n">
        <x:f>IF(OR(A152="",D152=""),0,IF(COUNTIFS($A$17:A152,A152,$D$17:D152,D152)=1,1,0))</x:f>
        <x:v>0</x:v>
      </x:c>
      <x:c r="AD152" t="n">
        <x:f>IF(AC152=0,0,IF(OR(ISNUMBER(O152),P152="PO issued",P152="Under manufacturing",P152="Inspection pending",P152="Ready for dispatch",P152="Dispatched",P152="Partly received",P152="Fully received"),1,0))</x:f>
        <x:v>0</x:v>
      </x:c>
      <x:c r="AE152" t="n">
        <x:f>IF(AC152=0,0,IF(P152="Fully received",1,0))</x:f>
        <x:v>0</x:v>
      </x:c>
      <x:c r="AF152" t="n">
        <x:f>IF(AC152=0,0,1-AD152)</x:f>
        <x:v>0</x:v>
      </x:c>
    </x:row>
    <x:row r="153" ht="28" customHeight="1">
      <x:c r="A153" s="55"/>
      <x:c r="B153" s="55"/>
      <x:c r="C153" s="60"/>
      <x:c r="D153" s="55"/>
      <x:c r="E153" s="55"/>
      <x:c r="F153" s="55"/>
      <x:c r="G153" s="55"/>
      <x:c r="H153" s="55"/>
      <x:c r="I153" s="63"/>
      <x:c r="J153" s="63"/>
      <x:c r="K153" s="55"/>
      <x:c r="L153" s="65" t="str">
        <x:f>IF(COUNT(I153,K153)&lt;2,"",I153-K153)</x:f>
      </x:c>
      <x:c r="M153" s="56"/>
      <x:c r="N153" s="56"/>
      <x:c r="O153" s="56"/>
      <x:c r="P153" s="55"/>
      <x:c r="Q153" s="55"/>
      <x:c r="R153" s="56"/>
      <x:c r="S153" s="56"/>
      <x:c r="T153" s="56"/>
      <x:c r="U153" s="55"/>
      <x:c r="V153" s="55"/>
      <x:c r="W153" s="55"/>
      <x:c r="X153" s="55"/>
      <x:c r="Y153" s="55"/>
      <x:c r="Z153" s="56"/>
      <x:c r="AA153" s="55"/>
      <x:c r="AC153" t="n">
        <x:f>IF(OR(A153="",D153=""),0,IF(COUNTIFS($A$17:A153,A153,$D$17:D153,D153)=1,1,0))</x:f>
        <x:v>0</x:v>
      </x:c>
      <x:c r="AD153" t="n">
        <x:f>IF(AC153=0,0,IF(OR(ISNUMBER(O153),P153="PO issued",P153="Under manufacturing",P153="Inspection pending",P153="Ready for dispatch",P153="Dispatched",P153="Partly received",P153="Fully received"),1,0))</x:f>
        <x:v>0</x:v>
      </x:c>
      <x:c r="AE153" t="n">
        <x:f>IF(AC153=0,0,IF(P153="Fully received",1,0))</x:f>
        <x:v>0</x:v>
      </x:c>
      <x:c r="AF153" t="n">
        <x:f>IF(AC153=0,0,1-AD153)</x:f>
        <x:v>0</x:v>
      </x:c>
    </x:row>
    <x:row r="154" ht="28" customHeight="1">
      <x:c r="A154" s="55"/>
      <x:c r="B154" s="55"/>
      <x:c r="C154" s="60"/>
      <x:c r="D154" s="55"/>
      <x:c r="E154" s="55"/>
      <x:c r="F154" s="55"/>
      <x:c r="G154" s="55"/>
      <x:c r="H154" s="55"/>
      <x:c r="I154" s="63"/>
      <x:c r="J154" s="63"/>
      <x:c r="K154" s="55"/>
      <x:c r="L154" s="65" t="str">
        <x:f>IF(COUNT(I154,K154)&lt;2,"",I154-K154)</x:f>
      </x:c>
      <x:c r="M154" s="56"/>
      <x:c r="N154" s="56"/>
      <x:c r="O154" s="56"/>
      <x:c r="P154" s="55"/>
      <x:c r="Q154" s="55"/>
      <x:c r="R154" s="56"/>
      <x:c r="S154" s="56"/>
      <x:c r="T154" s="56"/>
      <x:c r="U154" s="55"/>
      <x:c r="V154" s="55"/>
      <x:c r="W154" s="55"/>
      <x:c r="X154" s="55"/>
      <x:c r="Y154" s="55"/>
      <x:c r="Z154" s="56"/>
      <x:c r="AA154" s="55"/>
      <x:c r="AC154" t="n">
        <x:f>IF(OR(A154="",D154=""),0,IF(COUNTIFS($A$17:A154,A154,$D$17:D154,D154)=1,1,0))</x:f>
        <x:v>0</x:v>
      </x:c>
      <x:c r="AD154" t="n">
        <x:f>IF(AC154=0,0,IF(OR(ISNUMBER(O154),P154="PO issued",P154="Under manufacturing",P154="Inspection pending",P154="Ready for dispatch",P154="Dispatched",P154="Partly received",P154="Fully received"),1,0))</x:f>
        <x:v>0</x:v>
      </x:c>
      <x:c r="AE154" t="n">
        <x:f>IF(AC154=0,0,IF(P154="Fully received",1,0))</x:f>
        <x:v>0</x:v>
      </x:c>
      <x:c r="AF154" t="n">
        <x:f>IF(AC154=0,0,1-AD154)</x:f>
        <x:v>0</x:v>
      </x:c>
    </x:row>
    <x:row r="155" ht="28" customHeight="1">
      <x:c r="A155" s="55"/>
      <x:c r="B155" s="55"/>
      <x:c r="C155" s="60"/>
      <x:c r="D155" s="55"/>
      <x:c r="E155" s="55"/>
      <x:c r="F155" s="55"/>
      <x:c r="G155" s="55"/>
      <x:c r="H155" s="55"/>
      <x:c r="I155" s="63"/>
      <x:c r="J155" s="63"/>
      <x:c r="K155" s="55"/>
      <x:c r="L155" s="65" t="str">
        <x:f>IF(COUNT(I155,K155)&lt;2,"",I155-K155)</x:f>
      </x:c>
      <x:c r="M155" s="56"/>
      <x:c r="N155" s="56"/>
      <x:c r="O155" s="56"/>
      <x:c r="P155" s="55"/>
      <x:c r="Q155" s="55"/>
      <x:c r="R155" s="56"/>
      <x:c r="S155" s="56"/>
      <x:c r="T155" s="56"/>
      <x:c r="U155" s="55"/>
      <x:c r="V155" s="55"/>
      <x:c r="W155" s="55"/>
      <x:c r="X155" s="55"/>
      <x:c r="Y155" s="55"/>
      <x:c r="Z155" s="56"/>
      <x:c r="AA155" s="55"/>
      <x:c r="AC155" t="n">
        <x:f>IF(OR(A155="",D155=""),0,IF(COUNTIFS($A$17:A155,A155,$D$17:D155,D155)=1,1,0))</x:f>
        <x:v>0</x:v>
      </x:c>
      <x:c r="AD155" t="n">
        <x:f>IF(AC155=0,0,IF(OR(ISNUMBER(O155),P155="PO issued",P155="Under manufacturing",P155="Inspection pending",P155="Ready for dispatch",P155="Dispatched",P155="Partly received",P155="Fully received"),1,0))</x:f>
        <x:v>0</x:v>
      </x:c>
      <x:c r="AE155" t="n">
        <x:f>IF(AC155=0,0,IF(P155="Fully received",1,0))</x:f>
        <x:v>0</x:v>
      </x:c>
      <x:c r="AF155" t="n">
        <x:f>IF(AC155=0,0,1-AD155)</x:f>
        <x:v>0</x:v>
      </x:c>
    </x:row>
    <x:row r="156" ht="28" customHeight="1">
      <x:c r="A156" s="55"/>
      <x:c r="B156" s="55"/>
      <x:c r="C156" s="60"/>
      <x:c r="D156" s="55"/>
      <x:c r="E156" s="55"/>
      <x:c r="F156" s="55"/>
      <x:c r="G156" s="55"/>
      <x:c r="H156" s="55"/>
      <x:c r="I156" s="63"/>
      <x:c r="J156" s="63"/>
      <x:c r="K156" s="55"/>
      <x:c r="L156" s="65" t="str">
        <x:f>IF(COUNT(I156,K156)&lt;2,"",I156-K156)</x:f>
      </x:c>
      <x:c r="M156" s="56"/>
      <x:c r="N156" s="56"/>
      <x:c r="O156" s="56"/>
      <x:c r="P156" s="55"/>
      <x:c r="Q156" s="55"/>
      <x:c r="R156" s="56"/>
      <x:c r="S156" s="56"/>
      <x:c r="T156" s="56"/>
      <x:c r="U156" s="55"/>
      <x:c r="V156" s="55"/>
      <x:c r="W156" s="55"/>
      <x:c r="X156" s="55"/>
      <x:c r="Y156" s="55"/>
      <x:c r="Z156" s="56"/>
      <x:c r="AA156" s="55"/>
      <x:c r="AC156" t="n">
        <x:f>IF(OR(A156="",D156=""),0,IF(COUNTIFS($A$17:A156,A156,$D$17:D156,D156)=1,1,0))</x:f>
        <x:v>0</x:v>
      </x:c>
      <x:c r="AD156" t="n">
        <x:f>IF(AC156=0,0,IF(OR(ISNUMBER(O156),P156="PO issued",P156="Under manufacturing",P156="Inspection pending",P156="Ready for dispatch",P156="Dispatched",P156="Partly received",P156="Fully received"),1,0))</x:f>
        <x:v>0</x:v>
      </x:c>
      <x:c r="AE156" t="n">
        <x:f>IF(AC156=0,0,IF(P156="Fully received",1,0))</x:f>
        <x:v>0</x:v>
      </x:c>
      <x:c r="AF156" t="n">
        <x:f>IF(AC156=0,0,1-AD156)</x:f>
        <x:v>0</x:v>
      </x:c>
    </x:row>
    <x:row r="157" ht="28" customHeight="1">
      <x:c r="A157" s="55"/>
      <x:c r="B157" s="55"/>
      <x:c r="C157" s="60"/>
      <x:c r="D157" s="55"/>
      <x:c r="E157" s="55"/>
      <x:c r="F157" s="55"/>
      <x:c r="G157" s="55"/>
      <x:c r="H157" s="55"/>
      <x:c r="I157" s="63"/>
      <x:c r="J157" s="63"/>
      <x:c r="K157" s="55"/>
      <x:c r="L157" s="65" t="str">
        <x:f>IF(COUNT(I157,K157)&lt;2,"",I157-K157)</x:f>
      </x:c>
      <x:c r="M157" s="56"/>
      <x:c r="N157" s="56"/>
      <x:c r="O157" s="56"/>
      <x:c r="P157" s="55"/>
      <x:c r="Q157" s="55"/>
      <x:c r="R157" s="56"/>
      <x:c r="S157" s="56"/>
      <x:c r="T157" s="56"/>
      <x:c r="U157" s="55"/>
      <x:c r="V157" s="55"/>
      <x:c r="W157" s="55"/>
      <x:c r="X157" s="55"/>
      <x:c r="Y157" s="55"/>
      <x:c r="Z157" s="56"/>
      <x:c r="AA157" s="55"/>
      <x:c r="AC157" t="n">
        <x:f>IF(OR(A157="",D157=""),0,IF(COUNTIFS($A$17:A157,A157,$D$17:D157,D157)=1,1,0))</x:f>
        <x:v>0</x:v>
      </x:c>
      <x:c r="AD157" t="n">
        <x:f>IF(AC157=0,0,IF(OR(ISNUMBER(O157),P157="PO issued",P157="Under manufacturing",P157="Inspection pending",P157="Ready for dispatch",P157="Dispatched",P157="Partly received",P157="Fully received"),1,0))</x:f>
        <x:v>0</x:v>
      </x:c>
      <x:c r="AE157" t="n">
        <x:f>IF(AC157=0,0,IF(P157="Fully received",1,0))</x:f>
        <x:v>0</x:v>
      </x:c>
      <x:c r="AF157" t="n">
        <x:f>IF(AC157=0,0,1-AD157)</x:f>
        <x:v>0</x:v>
      </x:c>
    </x:row>
    <x:row r="158" ht="28" customHeight="1">
      <x:c r="A158" s="55"/>
      <x:c r="B158" s="55"/>
      <x:c r="C158" s="60"/>
      <x:c r="D158" s="55"/>
      <x:c r="E158" s="55"/>
      <x:c r="F158" s="55"/>
      <x:c r="G158" s="55"/>
      <x:c r="H158" s="55"/>
      <x:c r="I158" s="63"/>
      <x:c r="J158" s="63"/>
      <x:c r="K158" s="55"/>
      <x:c r="L158" s="65" t="str">
        <x:f>IF(COUNT(I158,K158)&lt;2,"",I158-K158)</x:f>
      </x:c>
      <x:c r="M158" s="56"/>
      <x:c r="N158" s="56"/>
      <x:c r="O158" s="56"/>
      <x:c r="P158" s="55"/>
      <x:c r="Q158" s="55"/>
      <x:c r="R158" s="56"/>
      <x:c r="S158" s="56"/>
      <x:c r="T158" s="56"/>
      <x:c r="U158" s="55"/>
      <x:c r="V158" s="55"/>
      <x:c r="W158" s="55"/>
      <x:c r="X158" s="55"/>
      <x:c r="Y158" s="55"/>
      <x:c r="Z158" s="56"/>
      <x:c r="AA158" s="55"/>
      <x:c r="AC158" t="n">
        <x:f>IF(OR(A158="",D158=""),0,IF(COUNTIFS($A$17:A158,A158,$D$17:D158,D158)=1,1,0))</x:f>
        <x:v>0</x:v>
      </x:c>
      <x:c r="AD158" t="n">
        <x:f>IF(AC158=0,0,IF(OR(ISNUMBER(O158),P158="PO issued",P158="Under manufacturing",P158="Inspection pending",P158="Ready for dispatch",P158="Dispatched",P158="Partly received",P158="Fully received"),1,0))</x:f>
        <x:v>0</x:v>
      </x:c>
      <x:c r="AE158" t="n">
        <x:f>IF(AC158=0,0,IF(P158="Fully received",1,0))</x:f>
        <x:v>0</x:v>
      </x:c>
      <x:c r="AF158" t="n">
        <x:f>IF(AC158=0,0,1-AD158)</x:f>
        <x:v>0</x:v>
      </x:c>
    </x:row>
    <x:row r="159" ht="28" customHeight="1">
      <x:c r="A159" s="55"/>
      <x:c r="B159" s="55"/>
      <x:c r="C159" s="60"/>
      <x:c r="D159" s="55"/>
      <x:c r="E159" s="55"/>
      <x:c r="F159" s="55"/>
      <x:c r="G159" s="55"/>
      <x:c r="H159" s="55"/>
      <x:c r="I159" s="63"/>
      <x:c r="J159" s="63"/>
      <x:c r="K159" s="55"/>
      <x:c r="L159" s="65" t="str">
        <x:f>IF(COUNT(I159,K159)&lt;2,"",I159-K159)</x:f>
      </x:c>
      <x:c r="M159" s="56"/>
      <x:c r="N159" s="56"/>
      <x:c r="O159" s="56"/>
      <x:c r="P159" s="55"/>
      <x:c r="Q159" s="55"/>
      <x:c r="R159" s="56"/>
      <x:c r="S159" s="56"/>
      <x:c r="T159" s="56"/>
      <x:c r="U159" s="55"/>
      <x:c r="V159" s="55"/>
      <x:c r="W159" s="55"/>
      <x:c r="X159" s="55"/>
      <x:c r="Y159" s="55"/>
      <x:c r="Z159" s="56"/>
      <x:c r="AA159" s="55"/>
      <x:c r="AC159" t="n">
        <x:f>IF(OR(A159="",D159=""),0,IF(COUNTIFS($A$17:A159,A159,$D$17:D159,D159)=1,1,0))</x:f>
        <x:v>0</x:v>
      </x:c>
      <x:c r="AD159" t="n">
        <x:f>IF(AC159=0,0,IF(OR(ISNUMBER(O159),P159="PO issued",P159="Under manufacturing",P159="Inspection pending",P159="Ready for dispatch",P159="Dispatched",P159="Partly received",P159="Fully received"),1,0))</x:f>
        <x:v>0</x:v>
      </x:c>
      <x:c r="AE159" t="n">
        <x:f>IF(AC159=0,0,IF(P159="Fully received",1,0))</x:f>
        <x:v>0</x:v>
      </x:c>
      <x:c r="AF159" t="n">
        <x:f>IF(AC159=0,0,1-AD159)</x:f>
        <x:v>0</x:v>
      </x:c>
    </x:row>
    <x:row r="160" ht="28" customHeight="1">
      <x:c r="A160" s="55"/>
      <x:c r="B160" s="55"/>
      <x:c r="C160" s="60"/>
      <x:c r="D160" s="55"/>
      <x:c r="E160" s="55"/>
      <x:c r="F160" s="55"/>
      <x:c r="G160" s="55"/>
      <x:c r="H160" s="55"/>
      <x:c r="I160" s="63"/>
      <x:c r="J160" s="63"/>
      <x:c r="K160" s="55"/>
      <x:c r="L160" s="65" t="str">
        <x:f>IF(COUNT(I160,K160)&lt;2,"",I160-K160)</x:f>
      </x:c>
      <x:c r="M160" s="56"/>
      <x:c r="N160" s="56"/>
      <x:c r="O160" s="56"/>
      <x:c r="P160" s="55"/>
      <x:c r="Q160" s="55"/>
      <x:c r="R160" s="56"/>
      <x:c r="S160" s="56"/>
      <x:c r="T160" s="56"/>
      <x:c r="U160" s="55"/>
      <x:c r="V160" s="55"/>
      <x:c r="W160" s="55"/>
      <x:c r="X160" s="55"/>
      <x:c r="Y160" s="55"/>
      <x:c r="Z160" s="56"/>
      <x:c r="AA160" s="55"/>
      <x:c r="AC160" t="n">
        <x:f>IF(OR(A160="",D160=""),0,IF(COUNTIFS($A$17:A160,A160,$D$17:D160,D160)=1,1,0))</x:f>
        <x:v>0</x:v>
      </x:c>
      <x:c r="AD160" t="n">
        <x:f>IF(AC160=0,0,IF(OR(ISNUMBER(O160),P160="PO issued",P160="Under manufacturing",P160="Inspection pending",P160="Ready for dispatch",P160="Dispatched",P160="Partly received",P160="Fully received"),1,0))</x:f>
        <x:v>0</x:v>
      </x:c>
      <x:c r="AE160" t="n">
        <x:f>IF(AC160=0,0,IF(P160="Fully received",1,0))</x:f>
        <x:v>0</x:v>
      </x:c>
      <x:c r="AF160" t="n">
        <x:f>IF(AC160=0,0,1-AD160)</x:f>
        <x:v>0</x:v>
      </x:c>
    </x:row>
    <x:row r="161" ht="28" customHeight="1">
      <x:c r="A161" s="55"/>
      <x:c r="B161" s="55"/>
      <x:c r="C161" s="60"/>
      <x:c r="D161" s="55"/>
      <x:c r="E161" s="55"/>
      <x:c r="F161" s="55"/>
      <x:c r="G161" s="55"/>
      <x:c r="H161" s="55"/>
      <x:c r="I161" s="63"/>
      <x:c r="J161" s="63"/>
      <x:c r="K161" s="55"/>
      <x:c r="L161" s="65" t="str">
        <x:f>IF(COUNT(I161,K161)&lt;2,"",I161-K161)</x:f>
      </x:c>
      <x:c r="M161" s="56"/>
      <x:c r="N161" s="56"/>
      <x:c r="O161" s="56"/>
      <x:c r="P161" s="55"/>
      <x:c r="Q161" s="55"/>
      <x:c r="R161" s="56"/>
      <x:c r="S161" s="56"/>
      <x:c r="T161" s="56"/>
      <x:c r="U161" s="55"/>
      <x:c r="V161" s="55"/>
      <x:c r="W161" s="55"/>
      <x:c r="X161" s="55"/>
      <x:c r="Y161" s="55"/>
      <x:c r="Z161" s="56"/>
      <x:c r="AA161" s="55"/>
      <x:c r="AC161" t="n">
        <x:f>IF(OR(A161="",D161=""),0,IF(COUNTIFS($A$17:A161,A161,$D$17:D161,D161)=1,1,0))</x:f>
        <x:v>0</x:v>
      </x:c>
      <x:c r="AD161" t="n">
        <x:f>IF(AC161=0,0,IF(OR(ISNUMBER(O161),P161="PO issued",P161="Under manufacturing",P161="Inspection pending",P161="Ready for dispatch",P161="Dispatched",P161="Partly received",P161="Fully received"),1,0))</x:f>
        <x:v>0</x:v>
      </x:c>
      <x:c r="AE161" t="n">
        <x:f>IF(AC161=0,0,IF(P161="Fully received",1,0))</x:f>
        <x:v>0</x:v>
      </x:c>
      <x:c r="AF161" t="n">
        <x:f>IF(AC161=0,0,1-AD161)</x:f>
        <x:v>0</x:v>
      </x:c>
    </x:row>
    <x:row r="162" ht="28" customHeight="1">
      <x:c r="A162" s="55"/>
      <x:c r="B162" s="55"/>
      <x:c r="C162" s="60"/>
      <x:c r="D162" s="55"/>
      <x:c r="E162" s="55"/>
      <x:c r="F162" s="55"/>
      <x:c r="G162" s="55"/>
      <x:c r="H162" s="55"/>
      <x:c r="I162" s="63"/>
      <x:c r="J162" s="63"/>
      <x:c r="K162" s="55"/>
      <x:c r="L162" s="65" t="str">
        <x:f>IF(COUNT(I162,K162)&lt;2,"",I162-K162)</x:f>
      </x:c>
      <x:c r="M162" s="56"/>
      <x:c r="N162" s="56"/>
      <x:c r="O162" s="56"/>
      <x:c r="P162" s="55"/>
      <x:c r="Q162" s="55"/>
      <x:c r="R162" s="56"/>
      <x:c r="S162" s="56"/>
      <x:c r="T162" s="56"/>
      <x:c r="U162" s="55"/>
      <x:c r="V162" s="55"/>
      <x:c r="W162" s="55"/>
      <x:c r="X162" s="55"/>
      <x:c r="Y162" s="55"/>
      <x:c r="Z162" s="56"/>
      <x:c r="AA162" s="55"/>
      <x:c r="AC162" t="n">
        <x:f>IF(OR(A162="",D162=""),0,IF(COUNTIFS($A$17:A162,A162,$D$17:D162,D162)=1,1,0))</x:f>
        <x:v>0</x:v>
      </x:c>
      <x:c r="AD162" t="n">
        <x:f>IF(AC162=0,0,IF(OR(ISNUMBER(O162),P162="PO issued",P162="Under manufacturing",P162="Inspection pending",P162="Ready for dispatch",P162="Dispatched",P162="Partly received",P162="Fully received"),1,0))</x:f>
        <x:v>0</x:v>
      </x:c>
      <x:c r="AE162" t="n">
        <x:f>IF(AC162=0,0,IF(P162="Fully received",1,0))</x:f>
        <x:v>0</x:v>
      </x:c>
      <x:c r="AF162" t="n">
        <x:f>IF(AC162=0,0,1-AD162)</x:f>
        <x:v>0</x:v>
      </x:c>
    </x:row>
    <x:row r="163" ht="28" customHeight="1">
      <x:c r="A163" s="55"/>
      <x:c r="B163" s="55"/>
      <x:c r="C163" s="60"/>
      <x:c r="D163" s="55"/>
      <x:c r="E163" s="55"/>
      <x:c r="F163" s="55"/>
      <x:c r="G163" s="55"/>
      <x:c r="H163" s="55"/>
      <x:c r="I163" s="63"/>
      <x:c r="J163" s="63"/>
      <x:c r="K163" s="55"/>
      <x:c r="L163" s="65" t="str">
        <x:f>IF(COUNT(I163,K163)&lt;2,"",I163-K163)</x:f>
      </x:c>
      <x:c r="M163" s="56"/>
      <x:c r="N163" s="56"/>
      <x:c r="O163" s="56"/>
      <x:c r="P163" s="55"/>
      <x:c r="Q163" s="55"/>
      <x:c r="R163" s="56"/>
      <x:c r="S163" s="56"/>
      <x:c r="T163" s="56"/>
      <x:c r="U163" s="55"/>
      <x:c r="V163" s="55"/>
      <x:c r="W163" s="55"/>
      <x:c r="X163" s="55"/>
      <x:c r="Y163" s="55"/>
      <x:c r="Z163" s="56"/>
      <x:c r="AA163" s="55"/>
      <x:c r="AC163" t="n">
        <x:f>IF(OR(A163="",D163=""),0,IF(COUNTIFS($A$17:A163,A163,$D$17:D163,D163)=1,1,0))</x:f>
        <x:v>0</x:v>
      </x:c>
      <x:c r="AD163" t="n">
        <x:f>IF(AC163=0,0,IF(OR(ISNUMBER(O163),P163="PO issued",P163="Under manufacturing",P163="Inspection pending",P163="Ready for dispatch",P163="Dispatched",P163="Partly received",P163="Fully received"),1,0))</x:f>
        <x:v>0</x:v>
      </x:c>
      <x:c r="AE163" t="n">
        <x:f>IF(AC163=0,0,IF(P163="Fully received",1,0))</x:f>
        <x:v>0</x:v>
      </x:c>
      <x:c r="AF163" t="n">
        <x:f>IF(AC163=0,0,1-AD163)</x:f>
        <x:v>0</x:v>
      </x:c>
    </x:row>
    <x:row r="164" ht="28" customHeight="1">
      <x:c r="A164" s="55"/>
      <x:c r="B164" s="55"/>
      <x:c r="C164" s="60"/>
      <x:c r="D164" s="55"/>
      <x:c r="E164" s="55"/>
      <x:c r="F164" s="55"/>
      <x:c r="G164" s="55"/>
      <x:c r="H164" s="55"/>
      <x:c r="I164" s="63"/>
      <x:c r="J164" s="63"/>
      <x:c r="K164" s="55"/>
      <x:c r="L164" s="65" t="str">
        <x:f>IF(COUNT(I164,K164)&lt;2,"",I164-K164)</x:f>
      </x:c>
      <x:c r="M164" s="56"/>
      <x:c r="N164" s="56"/>
      <x:c r="O164" s="56"/>
      <x:c r="P164" s="55"/>
      <x:c r="Q164" s="55"/>
      <x:c r="R164" s="56"/>
      <x:c r="S164" s="56"/>
      <x:c r="T164" s="56"/>
      <x:c r="U164" s="55"/>
      <x:c r="V164" s="55"/>
      <x:c r="W164" s="55"/>
      <x:c r="X164" s="55"/>
      <x:c r="Y164" s="55"/>
      <x:c r="Z164" s="56"/>
      <x:c r="AA164" s="55"/>
      <x:c r="AC164" t="n">
        <x:f>IF(OR(A164="",D164=""),0,IF(COUNTIFS($A$17:A164,A164,$D$17:D164,D164)=1,1,0))</x:f>
        <x:v>0</x:v>
      </x:c>
      <x:c r="AD164" t="n">
        <x:f>IF(AC164=0,0,IF(OR(ISNUMBER(O164),P164="PO issued",P164="Under manufacturing",P164="Inspection pending",P164="Ready for dispatch",P164="Dispatched",P164="Partly received",P164="Fully received"),1,0))</x:f>
        <x:v>0</x:v>
      </x:c>
      <x:c r="AE164" t="n">
        <x:f>IF(AC164=0,0,IF(P164="Fully received",1,0))</x:f>
        <x:v>0</x:v>
      </x:c>
      <x:c r="AF164" t="n">
        <x:f>IF(AC164=0,0,1-AD164)</x:f>
        <x:v>0</x:v>
      </x:c>
    </x:row>
    <x:row r="165" ht="28" customHeight="1">
      <x:c r="A165" s="55"/>
      <x:c r="B165" s="55"/>
      <x:c r="C165" s="60"/>
      <x:c r="D165" s="55"/>
      <x:c r="E165" s="55"/>
      <x:c r="F165" s="55"/>
      <x:c r="G165" s="55"/>
      <x:c r="H165" s="55"/>
      <x:c r="I165" s="63"/>
      <x:c r="J165" s="63"/>
      <x:c r="K165" s="55"/>
      <x:c r="L165" s="65" t="str">
        <x:f>IF(COUNT(I165,K165)&lt;2,"",I165-K165)</x:f>
      </x:c>
      <x:c r="M165" s="56"/>
      <x:c r="N165" s="56"/>
      <x:c r="O165" s="56"/>
      <x:c r="P165" s="55"/>
      <x:c r="Q165" s="55"/>
      <x:c r="R165" s="56"/>
      <x:c r="S165" s="56"/>
      <x:c r="T165" s="56"/>
      <x:c r="U165" s="55"/>
      <x:c r="V165" s="55"/>
      <x:c r="W165" s="55"/>
      <x:c r="X165" s="55"/>
      <x:c r="Y165" s="55"/>
      <x:c r="Z165" s="56"/>
      <x:c r="AA165" s="55"/>
      <x:c r="AC165" t="n">
        <x:f>IF(OR(A165="",D165=""),0,IF(COUNTIFS($A$17:A165,A165,$D$17:D165,D165)=1,1,0))</x:f>
        <x:v>0</x:v>
      </x:c>
      <x:c r="AD165" t="n">
        <x:f>IF(AC165=0,0,IF(OR(ISNUMBER(O165),P165="PO issued",P165="Under manufacturing",P165="Inspection pending",P165="Ready for dispatch",P165="Dispatched",P165="Partly received",P165="Fully received"),1,0))</x:f>
        <x:v>0</x:v>
      </x:c>
      <x:c r="AE165" t="n">
        <x:f>IF(AC165=0,0,IF(P165="Fully received",1,0))</x:f>
        <x:v>0</x:v>
      </x:c>
      <x:c r="AF165" t="n">
        <x:f>IF(AC165=0,0,1-AD165)</x:f>
        <x:v>0</x:v>
      </x:c>
    </x:row>
    <x:row r="166" ht="28" customHeight="1">
      <x:c r="A166" s="55"/>
      <x:c r="B166" s="55"/>
      <x:c r="C166" s="60"/>
      <x:c r="D166" s="55"/>
      <x:c r="E166" s="55"/>
      <x:c r="F166" s="55"/>
      <x:c r="G166" s="55"/>
      <x:c r="H166" s="55"/>
      <x:c r="I166" s="63"/>
      <x:c r="J166" s="63"/>
      <x:c r="K166" s="55"/>
      <x:c r="L166" s="65" t="str">
        <x:f>IF(COUNT(I166,K166)&lt;2,"",I166-K166)</x:f>
      </x:c>
      <x:c r="M166" s="56"/>
      <x:c r="N166" s="56"/>
      <x:c r="O166" s="56"/>
      <x:c r="P166" s="55"/>
      <x:c r="Q166" s="55"/>
      <x:c r="R166" s="56"/>
      <x:c r="S166" s="56"/>
      <x:c r="T166" s="56"/>
      <x:c r="U166" s="55"/>
      <x:c r="V166" s="55"/>
      <x:c r="W166" s="55"/>
      <x:c r="X166" s="55"/>
      <x:c r="Y166" s="55"/>
      <x:c r="Z166" s="56"/>
      <x:c r="AA166" s="55"/>
      <x:c r="AC166" t="n">
        <x:f>IF(OR(A166="",D166=""),0,IF(COUNTIFS($A$17:A166,A166,$D$17:D166,D166)=1,1,0))</x:f>
        <x:v>0</x:v>
      </x:c>
      <x:c r="AD166" t="n">
        <x:f>IF(AC166=0,0,IF(OR(ISNUMBER(O166),P166="PO issued",P166="Under manufacturing",P166="Inspection pending",P166="Ready for dispatch",P166="Dispatched",P166="Partly received",P166="Fully received"),1,0))</x:f>
        <x:v>0</x:v>
      </x:c>
      <x:c r="AE166" t="n">
        <x:f>IF(AC166=0,0,IF(P166="Fully received",1,0))</x:f>
        <x:v>0</x:v>
      </x:c>
      <x:c r="AF166" t="n">
        <x:f>IF(AC166=0,0,1-AD166)</x:f>
        <x:v>0</x:v>
      </x:c>
    </x:row>
    <x:row r="167" ht="28" customHeight="1">
      <x:c r="A167" s="55"/>
      <x:c r="B167" s="55"/>
      <x:c r="C167" s="60"/>
      <x:c r="D167" s="55"/>
      <x:c r="E167" s="55"/>
      <x:c r="F167" s="55"/>
      <x:c r="G167" s="55"/>
      <x:c r="H167" s="55"/>
      <x:c r="I167" s="63"/>
      <x:c r="J167" s="63"/>
      <x:c r="K167" s="55"/>
      <x:c r="L167" s="65" t="str">
        <x:f>IF(COUNT(I167,K167)&lt;2,"",I167-K167)</x:f>
      </x:c>
      <x:c r="M167" s="56"/>
      <x:c r="N167" s="56"/>
      <x:c r="O167" s="56"/>
      <x:c r="P167" s="55"/>
      <x:c r="Q167" s="55"/>
      <x:c r="R167" s="56"/>
      <x:c r="S167" s="56"/>
      <x:c r="T167" s="56"/>
      <x:c r="U167" s="55"/>
      <x:c r="V167" s="55"/>
      <x:c r="W167" s="55"/>
      <x:c r="X167" s="55"/>
      <x:c r="Y167" s="55"/>
      <x:c r="Z167" s="56"/>
      <x:c r="AA167" s="55"/>
      <x:c r="AC167" t="n">
        <x:f>IF(OR(A167="",D167=""),0,IF(COUNTIFS($A$17:A167,A167,$D$17:D167,D167)=1,1,0))</x:f>
        <x:v>0</x:v>
      </x:c>
      <x:c r="AD167" t="n">
        <x:f>IF(AC167=0,0,IF(OR(ISNUMBER(O167),P167="PO issued",P167="Under manufacturing",P167="Inspection pending",P167="Ready for dispatch",P167="Dispatched",P167="Partly received",P167="Fully received"),1,0))</x:f>
        <x:v>0</x:v>
      </x:c>
      <x:c r="AE167" t="n">
        <x:f>IF(AC167=0,0,IF(P167="Fully received",1,0))</x:f>
        <x:v>0</x:v>
      </x:c>
      <x:c r="AF167" t="n">
        <x:f>IF(AC167=0,0,1-AD167)</x:f>
        <x:v>0</x:v>
      </x:c>
    </x:row>
    <x:row r="168" ht="28" customHeight="1">
      <x:c r="A168" s="55"/>
      <x:c r="B168" s="55"/>
      <x:c r="C168" s="60"/>
      <x:c r="D168" s="55"/>
      <x:c r="E168" s="55"/>
      <x:c r="F168" s="55"/>
      <x:c r="G168" s="55"/>
      <x:c r="H168" s="55"/>
      <x:c r="I168" s="63"/>
      <x:c r="J168" s="63"/>
      <x:c r="K168" s="55"/>
      <x:c r="L168" s="65" t="str">
        <x:f>IF(COUNT(I168,K168)&lt;2,"",I168-K168)</x:f>
      </x:c>
      <x:c r="M168" s="56"/>
      <x:c r="N168" s="56"/>
      <x:c r="O168" s="56"/>
      <x:c r="P168" s="55"/>
      <x:c r="Q168" s="55"/>
      <x:c r="R168" s="56"/>
      <x:c r="S168" s="56"/>
      <x:c r="T168" s="56"/>
      <x:c r="U168" s="55"/>
      <x:c r="V168" s="55"/>
      <x:c r="W168" s="55"/>
      <x:c r="X168" s="55"/>
      <x:c r="Y168" s="55"/>
      <x:c r="Z168" s="56"/>
      <x:c r="AA168" s="55"/>
      <x:c r="AC168" t="n">
        <x:f>IF(OR(A168="",D168=""),0,IF(COUNTIFS($A$17:A168,A168,$D$17:D168,D168)=1,1,0))</x:f>
        <x:v>0</x:v>
      </x:c>
      <x:c r="AD168" t="n">
        <x:f>IF(AC168=0,0,IF(OR(ISNUMBER(O168),P168="PO issued",P168="Under manufacturing",P168="Inspection pending",P168="Ready for dispatch",P168="Dispatched",P168="Partly received",P168="Fully received"),1,0))</x:f>
        <x:v>0</x:v>
      </x:c>
      <x:c r="AE168" t="n">
        <x:f>IF(AC168=0,0,IF(P168="Fully received",1,0))</x:f>
        <x:v>0</x:v>
      </x:c>
      <x:c r="AF168" t="n">
        <x:f>IF(AC168=0,0,1-AD168)</x:f>
        <x:v>0</x:v>
      </x:c>
    </x:row>
    <x:row r="169" ht="28" customHeight="1">
      <x:c r="A169" s="55"/>
      <x:c r="B169" s="55"/>
      <x:c r="C169" s="60"/>
      <x:c r="D169" s="55"/>
      <x:c r="E169" s="55"/>
      <x:c r="F169" s="55"/>
      <x:c r="G169" s="55"/>
      <x:c r="H169" s="55"/>
      <x:c r="I169" s="63"/>
      <x:c r="J169" s="63"/>
      <x:c r="K169" s="55"/>
      <x:c r="L169" s="65" t="str">
        <x:f>IF(COUNT(I169,K169)&lt;2,"",I169-K169)</x:f>
      </x:c>
      <x:c r="M169" s="56"/>
      <x:c r="N169" s="56"/>
      <x:c r="O169" s="56"/>
      <x:c r="P169" s="55"/>
      <x:c r="Q169" s="55"/>
      <x:c r="R169" s="56"/>
      <x:c r="S169" s="56"/>
      <x:c r="T169" s="56"/>
      <x:c r="U169" s="55"/>
      <x:c r="V169" s="55"/>
      <x:c r="W169" s="55"/>
      <x:c r="X169" s="55"/>
      <x:c r="Y169" s="55"/>
      <x:c r="Z169" s="56"/>
      <x:c r="AA169" s="55"/>
      <x:c r="AC169" t="n">
        <x:f>IF(OR(A169="",D169=""),0,IF(COUNTIFS($A$17:A169,A169,$D$17:D169,D169)=1,1,0))</x:f>
        <x:v>0</x:v>
      </x:c>
      <x:c r="AD169" t="n">
        <x:f>IF(AC169=0,0,IF(OR(ISNUMBER(O169),P169="PO issued",P169="Under manufacturing",P169="Inspection pending",P169="Ready for dispatch",P169="Dispatched",P169="Partly received",P169="Fully received"),1,0))</x:f>
        <x:v>0</x:v>
      </x:c>
      <x:c r="AE169" t="n">
        <x:f>IF(AC169=0,0,IF(P169="Fully received",1,0))</x:f>
        <x:v>0</x:v>
      </x:c>
      <x:c r="AF169" t="n">
        <x:f>IF(AC169=0,0,1-AD169)</x:f>
        <x:v>0</x:v>
      </x:c>
    </x:row>
    <x:row r="170" ht="28" customHeight="1">
      <x:c r="A170" s="55"/>
      <x:c r="B170" s="55"/>
      <x:c r="C170" s="60"/>
      <x:c r="D170" s="55"/>
      <x:c r="E170" s="55"/>
      <x:c r="F170" s="55"/>
      <x:c r="G170" s="55"/>
      <x:c r="H170" s="55"/>
      <x:c r="I170" s="63"/>
      <x:c r="J170" s="63"/>
      <x:c r="K170" s="55"/>
      <x:c r="L170" s="65" t="str">
        <x:f>IF(COUNT(I170,K170)&lt;2,"",I170-K170)</x:f>
      </x:c>
      <x:c r="M170" s="56"/>
      <x:c r="N170" s="56"/>
      <x:c r="O170" s="56"/>
      <x:c r="P170" s="55"/>
      <x:c r="Q170" s="55"/>
      <x:c r="R170" s="56"/>
      <x:c r="S170" s="56"/>
      <x:c r="T170" s="56"/>
      <x:c r="U170" s="55"/>
      <x:c r="V170" s="55"/>
      <x:c r="W170" s="55"/>
      <x:c r="X170" s="55"/>
      <x:c r="Y170" s="55"/>
      <x:c r="Z170" s="56"/>
      <x:c r="AA170" s="55"/>
      <x:c r="AC170" t="n">
        <x:f>IF(OR(A170="",D170=""),0,IF(COUNTIFS($A$17:A170,A170,$D$17:D170,D170)=1,1,0))</x:f>
        <x:v>0</x:v>
      </x:c>
      <x:c r="AD170" t="n">
        <x:f>IF(AC170=0,0,IF(OR(ISNUMBER(O170),P170="PO issued",P170="Under manufacturing",P170="Inspection pending",P170="Ready for dispatch",P170="Dispatched",P170="Partly received",P170="Fully received"),1,0))</x:f>
        <x:v>0</x:v>
      </x:c>
      <x:c r="AE170" t="n">
        <x:f>IF(AC170=0,0,IF(P170="Fully received",1,0))</x:f>
        <x:v>0</x:v>
      </x:c>
      <x:c r="AF170" t="n">
        <x:f>IF(AC170=0,0,1-AD170)</x:f>
        <x:v>0</x:v>
      </x:c>
    </x:row>
    <x:row r="171" ht="28" customHeight="1">
      <x:c r="A171" s="55"/>
      <x:c r="B171" s="55"/>
      <x:c r="C171" s="60"/>
      <x:c r="D171" s="55"/>
      <x:c r="E171" s="55"/>
      <x:c r="F171" s="55"/>
      <x:c r="G171" s="55"/>
      <x:c r="H171" s="55"/>
      <x:c r="I171" s="63"/>
      <x:c r="J171" s="63"/>
      <x:c r="K171" s="55"/>
      <x:c r="L171" s="65" t="str">
        <x:f>IF(COUNT(I171,K171)&lt;2,"",I171-K171)</x:f>
      </x:c>
      <x:c r="M171" s="56"/>
      <x:c r="N171" s="56"/>
      <x:c r="O171" s="56"/>
      <x:c r="P171" s="55"/>
      <x:c r="Q171" s="55"/>
      <x:c r="R171" s="56"/>
      <x:c r="S171" s="56"/>
      <x:c r="T171" s="56"/>
      <x:c r="U171" s="55"/>
      <x:c r="V171" s="55"/>
      <x:c r="W171" s="55"/>
      <x:c r="X171" s="55"/>
      <x:c r="Y171" s="55"/>
      <x:c r="Z171" s="56"/>
      <x:c r="AA171" s="55"/>
      <x:c r="AC171" t="n">
        <x:f>IF(OR(A171="",D171=""),0,IF(COUNTIFS($A$17:A171,A171,$D$17:D171,D171)=1,1,0))</x:f>
        <x:v>0</x:v>
      </x:c>
      <x:c r="AD171" t="n">
        <x:f>IF(AC171=0,0,IF(OR(ISNUMBER(O171),P171="PO issued",P171="Under manufacturing",P171="Inspection pending",P171="Ready for dispatch",P171="Dispatched",P171="Partly received",P171="Fully received"),1,0))</x:f>
        <x:v>0</x:v>
      </x:c>
      <x:c r="AE171" t="n">
        <x:f>IF(AC171=0,0,IF(P171="Fully received",1,0))</x:f>
        <x:v>0</x:v>
      </x:c>
      <x:c r="AF171" t="n">
        <x:f>IF(AC171=0,0,1-AD171)</x:f>
        <x:v>0</x:v>
      </x:c>
    </x:row>
    <x:row r="172" ht="28" customHeight="1">
      <x:c r="A172" s="55"/>
      <x:c r="B172" s="55"/>
      <x:c r="C172" s="60"/>
      <x:c r="D172" s="55"/>
      <x:c r="E172" s="55"/>
      <x:c r="F172" s="55"/>
      <x:c r="G172" s="55"/>
      <x:c r="H172" s="55"/>
      <x:c r="I172" s="63"/>
      <x:c r="J172" s="63"/>
      <x:c r="K172" s="55"/>
      <x:c r="L172" s="65" t="str">
        <x:f>IF(COUNT(I172,K172)&lt;2,"",I172-K172)</x:f>
      </x:c>
      <x:c r="M172" s="56"/>
      <x:c r="N172" s="56"/>
      <x:c r="O172" s="56"/>
      <x:c r="P172" s="55"/>
      <x:c r="Q172" s="55"/>
      <x:c r="R172" s="56"/>
      <x:c r="S172" s="56"/>
      <x:c r="T172" s="56"/>
      <x:c r="U172" s="55"/>
      <x:c r="V172" s="55"/>
      <x:c r="W172" s="55"/>
      <x:c r="X172" s="55"/>
      <x:c r="Y172" s="55"/>
      <x:c r="Z172" s="56"/>
      <x:c r="AA172" s="55"/>
      <x:c r="AC172" t="n">
        <x:f>IF(OR(A172="",D172=""),0,IF(COUNTIFS($A$17:A172,A172,$D$17:D172,D172)=1,1,0))</x:f>
        <x:v>0</x:v>
      </x:c>
      <x:c r="AD172" t="n">
        <x:f>IF(AC172=0,0,IF(OR(ISNUMBER(O172),P172="PO issued",P172="Under manufacturing",P172="Inspection pending",P172="Ready for dispatch",P172="Dispatched",P172="Partly received",P172="Fully received"),1,0))</x:f>
        <x:v>0</x:v>
      </x:c>
      <x:c r="AE172" t="n">
        <x:f>IF(AC172=0,0,IF(P172="Fully received",1,0))</x:f>
        <x:v>0</x:v>
      </x:c>
      <x:c r="AF172" t="n">
        <x:f>IF(AC172=0,0,1-AD172)</x:f>
        <x:v>0</x:v>
      </x:c>
    </x:row>
    <x:row r="173" ht="28" customHeight="1">
      <x:c r="A173" s="55"/>
      <x:c r="B173" s="55"/>
      <x:c r="C173" s="60"/>
      <x:c r="D173" s="55"/>
      <x:c r="E173" s="55"/>
      <x:c r="F173" s="55"/>
      <x:c r="G173" s="55"/>
      <x:c r="H173" s="55"/>
      <x:c r="I173" s="63"/>
      <x:c r="J173" s="63"/>
      <x:c r="K173" s="55"/>
      <x:c r="L173" s="65" t="str">
        <x:f>IF(COUNT(I173,K173)&lt;2,"",I173-K173)</x:f>
      </x:c>
      <x:c r="M173" s="56"/>
      <x:c r="N173" s="56"/>
      <x:c r="O173" s="56"/>
      <x:c r="P173" s="55"/>
      <x:c r="Q173" s="55"/>
      <x:c r="R173" s="56"/>
      <x:c r="S173" s="56"/>
      <x:c r="T173" s="56"/>
      <x:c r="U173" s="55"/>
      <x:c r="V173" s="55"/>
      <x:c r="W173" s="55"/>
      <x:c r="X173" s="55"/>
      <x:c r="Y173" s="55"/>
      <x:c r="Z173" s="56"/>
      <x:c r="AA173" s="55"/>
      <x:c r="AC173" t="n">
        <x:f>IF(OR(A173="",D173=""),0,IF(COUNTIFS($A$17:A173,A173,$D$17:D173,D173)=1,1,0))</x:f>
        <x:v>0</x:v>
      </x:c>
      <x:c r="AD173" t="n">
        <x:f>IF(AC173=0,0,IF(OR(ISNUMBER(O173),P173="PO issued",P173="Under manufacturing",P173="Inspection pending",P173="Ready for dispatch",P173="Dispatched",P173="Partly received",P173="Fully received"),1,0))</x:f>
        <x:v>0</x:v>
      </x:c>
      <x:c r="AE173" t="n">
        <x:f>IF(AC173=0,0,IF(P173="Fully received",1,0))</x:f>
        <x:v>0</x:v>
      </x:c>
      <x:c r="AF173" t="n">
        <x:f>IF(AC173=0,0,1-AD173)</x:f>
        <x:v>0</x:v>
      </x:c>
    </x:row>
    <x:row r="174" ht="28" customHeight="1">
      <x:c r="A174" s="55"/>
      <x:c r="B174" s="55"/>
      <x:c r="C174" s="60"/>
      <x:c r="D174" s="55"/>
      <x:c r="E174" s="55"/>
      <x:c r="F174" s="55"/>
      <x:c r="G174" s="55"/>
      <x:c r="H174" s="55"/>
      <x:c r="I174" s="63"/>
      <x:c r="J174" s="63"/>
      <x:c r="K174" s="55"/>
      <x:c r="L174" s="65" t="str">
        <x:f>IF(COUNT(I174,K174)&lt;2,"",I174-K174)</x:f>
      </x:c>
      <x:c r="M174" s="56"/>
      <x:c r="N174" s="56"/>
      <x:c r="O174" s="56"/>
      <x:c r="P174" s="55"/>
      <x:c r="Q174" s="55"/>
      <x:c r="R174" s="56"/>
      <x:c r="S174" s="56"/>
      <x:c r="T174" s="56"/>
      <x:c r="U174" s="55"/>
      <x:c r="V174" s="55"/>
      <x:c r="W174" s="55"/>
      <x:c r="X174" s="55"/>
      <x:c r="Y174" s="55"/>
      <x:c r="Z174" s="56"/>
      <x:c r="AA174" s="55"/>
      <x:c r="AC174" t="n">
        <x:f>IF(OR(A174="",D174=""),0,IF(COUNTIFS($A$17:A174,A174,$D$17:D174,D174)=1,1,0))</x:f>
        <x:v>0</x:v>
      </x:c>
      <x:c r="AD174" t="n">
        <x:f>IF(AC174=0,0,IF(OR(ISNUMBER(O174),P174="PO issued",P174="Under manufacturing",P174="Inspection pending",P174="Ready for dispatch",P174="Dispatched",P174="Partly received",P174="Fully received"),1,0))</x:f>
        <x:v>0</x:v>
      </x:c>
      <x:c r="AE174" t="n">
        <x:f>IF(AC174=0,0,IF(P174="Fully received",1,0))</x:f>
        <x:v>0</x:v>
      </x:c>
      <x:c r="AF174" t="n">
        <x:f>IF(AC174=0,0,1-AD174)</x:f>
        <x:v>0</x:v>
      </x:c>
    </x:row>
    <x:row r="175" ht="28" customHeight="1">
      <x:c r="A175" s="55"/>
      <x:c r="B175" s="55"/>
      <x:c r="C175" s="60"/>
      <x:c r="D175" s="55"/>
      <x:c r="E175" s="55"/>
      <x:c r="F175" s="55"/>
      <x:c r="G175" s="55"/>
      <x:c r="H175" s="55"/>
      <x:c r="I175" s="63"/>
      <x:c r="J175" s="63"/>
      <x:c r="K175" s="55"/>
      <x:c r="L175" s="65" t="str">
        <x:f>IF(COUNT(I175,K175)&lt;2,"",I175-K175)</x:f>
      </x:c>
      <x:c r="M175" s="56"/>
      <x:c r="N175" s="56"/>
      <x:c r="O175" s="56"/>
      <x:c r="P175" s="55"/>
      <x:c r="Q175" s="55"/>
      <x:c r="R175" s="56"/>
      <x:c r="S175" s="56"/>
      <x:c r="T175" s="56"/>
      <x:c r="U175" s="55"/>
      <x:c r="V175" s="55"/>
      <x:c r="W175" s="55"/>
      <x:c r="X175" s="55"/>
      <x:c r="Y175" s="55"/>
      <x:c r="Z175" s="56"/>
      <x:c r="AA175" s="55"/>
      <x:c r="AC175" t="n">
        <x:f>IF(OR(A175="",D175=""),0,IF(COUNTIFS($A$17:A175,A175,$D$17:D175,D175)=1,1,0))</x:f>
        <x:v>0</x:v>
      </x:c>
      <x:c r="AD175" t="n">
        <x:f>IF(AC175=0,0,IF(OR(ISNUMBER(O175),P175="PO issued",P175="Under manufacturing",P175="Inspection pending",P175="Ready for dispatch",P175="Dispatched",P175="Partly received",P175="Fully received"),1,0))</x:f>
        <x:v>0</x:v>
      </x:c>
      <x:c r="AE175" t="n">
        <x:f>IF(AC175=0,0,IF(P175="Fully received",1,0))</x:f>
        <x:v>0</x:v>
      </x:c>
      <x:c r="AF175" t="n">
        <x:f>IF(AC175=0,0,1-AD175)</x:f>
        <x:v>0</x:v>
      </x:c>
    </x:row>
    <x:row r="176" ht="28" customHeight="1">
      <x:c r="A176" s="55"/>
      <x:c r="B176" s="55"/>
      <x:c r="C176" s="60"/>
      <x:c r="D176" s="55"/>
      <x:c r="E176" s="55"/>
      <x:c r="F176" s="55"/>
      <x:c r="G176" s="55"/>
      <x:c r="H176" s="55"/>
      <x:c r="I176" s="63"/>
      <x:c r="J176" s="63"/>
      <x:c r="K176" s="55"/>
      <x:c r="L176" s="65" t="str">
        <x:f>IF(COUNT(I176,K176)&lt;2,"",I176-K176)</x:f>
      </x:c>
      <x:c r="M176" s="56"/>
      <x:c r="N176" s="56"/>
      <x:c r="O176" s="56"/>
      <x:c r="P176" s="55"/>
      <x:c r="Q176" s="55"/>
      <x:c r="R176" s="56"/>
      <x:c r="S176" s="56"/>
      <x:c r="T176" s="56"/>
      <x:c r="U176" s="55"/>
      <x:c r="V176" s="55"/>
      <x:c r="W176" s="55"/>
      <x:c r="X176" s="55"/>
      <x:c r="Y176" s="55"/>
      <x:c r="Z176" s="56"/>
      <x:c r="AA176" s="55"/>
      <x:c r="AC176" t="n">
        <x:f>IF(OR(A176="",D176=""),0,IF(COUNTIFS($A$17:A176,A176,$D$17:D176,D176)=1,1,0))</x:f>
        <x:v>0</x:v>
      </x:c>
      <x:c r="AD176" t="n">
        <x:f>IF(AC176=0,0,IF(OR(ISNUMBER(O176),P176="PO issued",P176="Under manufacturing",P176="Inspection pending",P176="Ready for dispatch",P176="Dispatched",P176="Partly received",P176="Fully received"),1,0))</x:f>
        <x:v>0</x:v>
      </x:c>
      <x:c r="AE176" t="n">
        <x:f>IF(AC176=0,0,IF(P176="Fully received",1,0))</x:f>
        <x:v>0</x:v>
      </x:c>
      <x:c r="AF176" t="n">
        <x:f>IF(AC176=0,0,1-AD176)</x:f>
        <x:v>0</x:v>
      </x:c>
    </x:row>
    <x:row r="177" ht="28" customHeight="1">
      <x:c r="A177" s="55"/>
      <x:c r="B177" s="55"/>
      <x:c r="C177" s="60"/>
      <x:c r="D177" s="55"/>
      <x:c r="E177" s="55"/>
      <x:c r="F177" s="55"/>
      <x:c r="G177" s="55"/>
      <x:c r="H177" s="55"/>
      <x:c r="I177" s="63"/>
      <x:c r="J177" s="63"/>
      <x:c r="K177" s="55"/>
      <x:c r="L177" s="65" t="str">
        <x:f>IF(COUNT(I177,K177)&lt;2,"",I177-K177)</x:f>
      </x:c>
      <x:c r="M177" s="56"/>
      <x:c r="N177" s="56"/>
      <x:c r="O177" s="56"/>
      <x:c r="P177" s="55"/>
      <x:c r="Q177" s="55"/>
      <x:c r="R177" s="56"/>
      <x:c r="S177" s="56"/>
      <x:c r="T177" s="56"/>
      <x:c r="U177" s="55"/>
      <x:c r="V177" s="55"/>
      <x:c r="W177" s="55"/>
      <x:c r="X177" s="55"/>
      <x:c r="Y177" s="55"/>
      <x:c r="Z177" s="56"/>
      <x:c r="AA177" s="55"/>
      <x:c r="AC177" t="n">
        <x:f>IF(OR(A177="",D177=""),0,IF(COUNTIFS($A$17:A177,A177,$D$17:D177,D177)=1,1,0))</x:f>
        <x:v>0</x:v>
      </x:c>
      <x:c r="AD177" t="n">
        <x:f>IF(AC177=0,0,IF(OR(ISNUMBER(O177),P177="PO issued",P177="Under manufacturing",P177="Inspection pending",P177="Ready for dispatch",P177="Dispatched",P177="Partly received",P177="Fully received"),1,0))</x:f>
        <x:v>0</x:v>
      </x:c>
      <x:c r="AE177" t="n">
        <x:f>IF(AC177=0,0,IF(P177="Fully received",1,0))</x:f>
        <x:v>0</x:v>
      </x:c>
      <x:c r="AF177" t="n">
        <x:f>IF(AC177=0,0,1-AD177)</x:f>
        <x:v>0</x:v>
      </x:c>
    </x:row>
    <x:row r="178" ht="28" customHeight="1">
      <x:c r="A178" s="55"/>
      <x:c r="B178" s="55"/>
      <x:c r="C178" s="60"/>
      <x:c r="D178" s="55"/>
      <x:c r="E178" s="55"/>
      <x:c r="F178" s="55"/>
      <x:c r="G178" s="55"/>
      <x:c r="H178" s="55"/>
      <x:c r="I178" s="63"/>
      <x:c r="J178" s="63"/>
      <x:c r="K178" s="55"/>
      <x:c r="L178" s="65" t="str">
        <x:f>IF(COUNT(I178,K178)&lt;2,"",I178-K178)</x:f>
      </x:c>
      <x:c r="M178" s="56"/>
      <x:c r="N178" s="56"/>
      <x:c r="O178" s="56"/>
      <x:c r="P178" s="55"/>
      <x:c r="Q178" s="55"/>
      <x:c r="R178" s="56"/>
      <x:c r="S178" s="56"/>
      <x:c r="T178" s="56"/>
      <x:c r="U178" s="55"/>
      <x:c r="V178" s="55"/>
      <x:c r="W178" s="55"/>
      <x:c r="X178" s="55"/>
      <x:c r="Y178" s="55"/>
      <x:c r="Z178" s="56"/>
      <x:c r="AA178" s="55"/>
      <x:c r="AC178" t="n">
        <x:f>IF(OR(A178="",D178=""),0,IF(COUNTIFS($A$17:A178,A178,$D$17:D178,D178)=1,1,0))</x:f>
        <x:v>0</x:v>
      </x:c>
      <x:c r="AD178" t="n">
        <x:f>IF(AC178=0,0,IF(OR(ISNUMBER(O178),P178="PO issued",P178="Under manufacturing",P178="Inspection pending",P178="Ready for dispatch",P178="Dispatched",P178="Partly received",P178="Fully received"),1,0))</x:f>
        <x:v>0</x:v>
      </x:c>
      <x:c r="AE178" t="n">
        <x:f>IF(AC178=0,0,IF(P178="Fully received",1,0))</x:f>
        <x:v>0</x:v>
      </x:c>
      <x:c r="AF178" t="n">
        <x:f>IF(AC178=0,0,1-AD178)</x:f>
        <x:v>0</x:v>
      </x:c>
    </x:row>
    <x:row r="179" ht="28" customHeight="1">
      <x:c r="A179" s="55"/>
      <x:c r="B179" s="55"/>
      <x:c r="C179" s="60"/>
      <x:c r="D179" s="55"/>
      <x:c r="E179" s="55"/>
      <x:c r="F179" s="55"/>
      <x:c r="G179" s="55"/>
      <x:c r="H179" s="55"/>
      <x:c r="I179" s="63"/>
      <x:c r="J179" s="63"/>
      <x:c r="K179" s="55"/>
      <x:c r="L179" s="65" t="str">
        <x:f>IF(COUNT(I179,K179)&lt;2,"",I179-K179)</x:f>
      </x:c>
      <x:c r="M179" s="56"/>
      <x:c r="N179" s="56"/>
      <x:c r="O179" s="56"/>
      <x:c r="P179" s="55"/>
      <x:c r="Q179" s="55"/>
      <x:c r="R179" s="56"/>
      <x:c r="S179" s="56"/>
      <x:c r="T179" s="56"/>
      <x:c r="U179" s="55"/>
      <x:c r="V179" s="55"/>
      <x:c r="W179" s="55"/>
      <x:c r="X179" s="55"/>
      <x:c r="Y179" s="55"/>
      <x:c r="Z179" s="56"/>
      <x:c r="AA179" s="55"/>
      <x:c r="AC179" t="n">
        <x:f>IF(OR(A179="",D179=""),0,IF(COUNTIFS($A$17:A179,A179,$D$17:D179,D179)=1,1,0))</x:f>
        <x:v>0</x:v>
      </x:c>
      <x:c r="AD179" t="n">
        <x:f>IF(AC179=0,0,IF(OR(ISNUMBER(O179),P179="PO issued",P179="Under manufacturing",P179="Inspection pending",P179="Ready for dispatch",P179="Dispatched",P179="Partly received",P179="Fully received"),1,0))</x:f>
        <x:v>0</x:v>
      </x:c>
      <x:c r="AE179" t="n">
        <x:f>IF(AC179=0,0,IF(P179="Fully received",1,0))</x:f>
        <x:v>0</x:v>
      </x:c>
      <x:c r="AF179" t="n">
        <x:f>IF(AC179=0,0,1-AD179)</x:f>
        <x:v>0</x:v>
      </x:c>
    </x:row>
    <x:row r="180" ht="28" customHeight="1">
      <x:c r="A180" s="55"/>
      <x:c r="B180" s="55"/>
      <x:c r="C180" s="60"/>
      <x:c r="D180" s="55"/>
      <x:c r="E180" s="55"/>
      <x:c r="F180" s="55"/>
      <x:c r="G180" s="55"/>
      <x:c r="H180" s="55"/>
      <x:c r="I180" s="63"/>
      <x:c r="J180" s="63"/>
      <x:c r="K180" s="55"/>
      <x:c r="L180" s="65" t="str">
        <x:f>IF(COUNT(I180,K180)&lt;2,"",I180-K180)</x:f>
      </x:c>
      <x:c r="M180" s="56"/>
      <x:c r="N180" s="56"/>
      <x:c r="O180" s="56"/>
      <x:c r="P180" s="55"/>
      <x:c r="Q180" s="55"/>
      <x:c r="R180" s="56"/>
      <x:c r="S180" s="56"/>
      <x:c r="T180" s="56"/>
      <x:c r="U180" s="55"/>
      <x:c r="V180" s="55"/>
      <x:c r="W180" s="55"/>
      <x:c r="X180" s="55"/>
      <x:c r="Y180" s="55"/>
      <x:c r="Z180" s="56"/>
      <x:c r="AA180" s="55"/>
      <x:c r="AC180" t="n">
        <x:f>IF(OR(A180="",D180=""),0,IF(COUNTIFS($A$17:A180,A180,$D$17:D180,D180)=1,1,0))</x:f>
        <x:v>0</x:v>
      </x:c>
      <x:c r="AD180" t="n">
        <x:f>IF(AC180=0,0,IF(OR(ISNUMBER(O180),P180="PO issued",P180="Under manufacturing",P180="Inspection pending",P180="Ready for dispatch",P180="Dispatched",P180="Partly received",P180="Fully received"),1,0))</x:f>
        <x:v>0</x:v>
      </x:c>
      <x:c r="AE180" t="n">
        <x:f>IF(AC180=0,0,IF(P180="Fully received",1,0))</x:f>
        <x:v>0</x:v>
      </x:c>
      <x:c r="AF180" t="n">
        <x:f>IF(AC180=0,0,1-AD180)</x:f>
        <x:v>0</x:v>
      </x:c>
    </x:row>
    <x:row r="181" ht="28" customHeight="1">
      <x:c r="A181" s="55"/>
      <x:c r="B181" s="55"/>
      <x:c r="C181" s="60"/>
      <x:c r="D181" s="55"/>
      <x:c r="E181" s="55"/>
      <x:c r="F181" s="55"/>
      <x:c r="G181" s="55"/>
      <x:c r="H181" s="55"/>
      <x:c r="I181" s="63"/>
      <x:c r="J181" s="63"/>
      <x:c r="K181" s="55"/>
      <x:c r="L181" s="65" t="str">
        <x:f>IF(COUNT(I181,K181)&lt;2,"",I181-K181)</x:f>
      </x:c>
      <x:c r="M181" s="56"/>
      <x:c r="N181" s="56"/>
      <x:c r="O181" s="56"/>
      <x:c r="P181" s="55"/>
      <x:c r="Q181" s="55"/>
      <x:c r="R181" s="56"/>
      <x:c r="S181" s="56"/>
      <x:c r="T181" s="56"/>
      <x:c r="U181" s="55"/>
      <x:c r="V181" s="55"/>
      <x:c r="W181" s="55"/>
      <x:c r="X181" s="55"/>
      <x:c r="Y181" s="55"/>
      <x:c r="Z181" s="56"/>
      <x:c r="AA181" s="55"/>
      <x:c r="AC181" t="n">
        <x:f>IF(OR(A181="",D181=""),0,IF(COUNTIFS($A$17:A181,A181,$D$17:D181,D181)=1,1,0))</x:f>
        <x:v>0</x:v>
      </x:c>
      <x:c r="AD181" t="n">
        <x:f>IF(AC181=0,0,IF(OR(ISNUMBER(O181),P181="PO issued",P181="Under manufacturing",P181="Inspection pending",P181="Ready for dispatch",P181="Dispatched",P181="Partly received",P181="Fully received"),1,0))</x:f>
        <x:v>0</x:v>
      </x:c>
      <x:c r="AE181" t="n">
        <x:f>IF(AC181=0,0,IF(P181="Fully received",1,0))</x:f>
        <x:v>0</x:v>
      </x:c>
      <x:c r="AF181" t="n">
        <x:f>IF(AC181=0,0,1-AD181)</x:f>
        <x:v>0</x:v>
      </x:c>
    </x:row>
    <x:row r="182" ht="28" customHeight="1">
      <x:c r="A182" s="55"/>
      <x:c r="B182" s="55"/>
      <x:c r="C182" s="60"/>
      <x:c r="D182" s="55"/>
      <x:c r="E182" s="55"/>
      <x:c r="F182" s="55"/>
      <x:c r="G182" s="55"/>
      <x:c r="H182" s="55"/>
      <x:c r="I182" s="63"/>
      <x:c r="J182" s="63"/>
      <x:c r="K182" s="55"/>
      <x:c r="L182" s="65" t="str">
        <x:f>IF(COUNT(I182,K182)&lt;2,"",I182-K182)</x:f>
      </x:c>
      <x:c r="M182" s="56"/>
      <x:c r="N182" s="56"/>
      <x:c r="O182" s="56"/>
      <x:c r="P182" s="55"/>
      <x:c r="Q182" s="55"/>
      <x:c r="R182" s="56"/>
      <x:c r="S182" s="56"/>
      <x:c r="T182" s="56"/>
      <x:c r="U182" s="55"/>
      <x:c r="V182" s="55"/>
      <x:c r="W182" s="55"/>
      <x:c r="X182" s="55"/>
      <x:c r="Y182" s="55"/>
      <x:c r="Z182" s="56"/>
      <x:c r="AA182" s="55"/>
      <x:c r="AC182" t="n">
        <x:f>IF(OR(A182="",D182=""),0,IF(COUNTIFS($A$17:A182,A182,$D$17:D182,D182)=1,1,0))</x:f>
        <x:v>0</x:v>
      </x:c>
      <x:c r="AD182" t="n">
        <x:f>IF(AC182=0,0,IF(OR(ISNUMBER(O182),P182="PO issued",P182="Under manufacturing",P182="Inspection pending",P182="Ready for dispatch",P182="Dispatched",P182="Partly received",P182="Fully received"),1,0))</x:f>
        <x:v>0</x:v>
      </x:c>
      <x:c r="AE182" t="n">
        <x:f>IF(AC182=0,0,IF(P182="Fully received",1,0))</x:f>
        <x:v>0</x:v>
      </x:c>
      <x:c r="AF182" t="n">
        <x:f>IF(AC182=0,0,1-AD182)</x:f>
        <x:v>0</x:v>
      </x:c>
    </x:row>
    <x:row r="183" ht="28" customHeight="1">
      <x:c r="A183" s="55"/>
      <x:c r="B183" s="55"/>
      <x:c r="C183" s="60"/>
      <x:c r="D183" s="55"/>
      <x:c r="E183" s="55"/>
      <x:c r="F183" s="55"/>
      <x:c r="G183" s="55"/>
      <x:c r="H183" s="55"/>
      <x:c r="I183" s="63"/>
      <x:c r="J183" s="63"/>
      <x:c r="K183" s="55"/>
      <x:c r="L183" s="65" t="str">
        <x:f>IF(COUNT(I183,K183)&lt;2,"",I183-K183)</x:f>
      </x:c>
      <x:c r="M183" s="56"/>
      <x:c r="N183" s="56"/>
      <x:c r="O183" s="56"/>
      <x:c r="P183" s="55"/>
      <x:c r="Q183" s="55"/>
      <x:c r="R183" s="56"/>
      <x:c r="S183" s="56"/>
      <x:c r="T183" s="56"/>
      <x:c r="U183" s="55"/>
      <x:c r="V183" s="55"/>
      <x:c r="W183" s="55"/>
      <x:c r="X183" s="55"/>
      <x:c r="Y183" s="55"/>
      <x:c r="Z183" s="56"/>
      <x:c r="AA183" s="55"/>
      <x:c r="AC183" t="n">
        <x:f>IF(OR(A183="",D183=""),0,IF(COUNTIFS($A$17:A183,A183,$D$17:D183,D183)=1,1,0))</x:f>
        <x:v>0</x:v>
      </x:c>
      <x:c r="AD183" t="n">
        <x:f>IF(AC183=0,0,IF(OR(ISNUMBER(O183),P183="PO issued",P183="Under manufacturing",P183="Inspection pending",P183="Ready for dispatch",P183="Dispatched",P183="Partly received",P183="Fully received"),1,0))</x:f>
        <x:v>0</x:v>
      </x:c>
      <x:c r="AE183" t="n">
        <x:f>IF(AC183=0,0,IF(P183="Fully received",1,0))</x:f>
        <x:v>0</x:v>
      </x:c>
      <x:c r="AF183" t="n">
        <x:f>IF(AC183=0,0,1-AD183)</x:f>
        <x:v>0</x:v>
      </x:c>
    </x:row>
    <x:row r="184" ht="28" customHeight="1">
      <x:c r="A184" s="55"/>
      <x:c r="B184" s="55"/>
      <x:c r="C184" s="60"/>
      <x:c r="D184" s="55"/>
      <x:c r="E184" s="55"/>
      <x:c r="F184" s="55"/>
      <x:c r="G184" s="55"/>
      <x:c r="H184" s="55"/>
      <x:c r="I184" s="63"/>
      <x:c r="J184" s="63"/>
      <x:c r="K184" s="55"/>
      <x:c r="L184" s="65" t="str">
        <x:f>IF(COUNT(I184,K184)&lt;2,"",I184-K184)</x:f>
      </x:c>
      <x:c r="M184" s="56"/>
      <x:c r="N184" s="56"/>
      <x:c r="O184" s="56"/>
      <x:c r="P184" s="55"/>
      <x:c r="Q184" s="55"/>
      <x:c r="R184" s="56"/>
      <x:c r="S184" s="56"/>
      <x:c r="T184" s="56"/>
      <x:c r="U184" s="55"/>
      <x:c r="V184" s="55"/>
      <x:c r="W184" s="55"/>
      <x:c r="X184" s="55"/>
      <x:c r="Y184" s="55"/>
      <x:c r="Z184" s="56"/>
      <x:c r="AA184" s="55"/>
      <x:c r="AC184" t="n">
        <x:f>IF(OR(A184="",D184=""),0,IF(COUNTIFS($A$17:A184,A184,$D$17:D184,D184)=1,1,0))</x:f>
        <x:v>0</x:v>
      </x:c>
      <x:c r="AD184" t="n">
        <x:f>IF(AC184=0,0,IF(OR(ISNUMBER(O184),P184="PO issued",P184="Under manufacturing",P184="Inspection pending",P184="Ready for dispatch",P184="Dispatched",P184="Partly received",P184="Fully received"),1,0))</x:f>
        <x:v>0</x:v>
      </x:c>
      <x:c r="AE184" t="n">
        <x:f>IF(AC184=0,0,IF(P184="Fully received",1,0))</x:f>
        <x:v>0</x:v>
      </x:c>
      <x:c r="AF184" t="n">
        <x:f>IF(AC184=0,0,1-AD184)</x:f>
        <x:v>0</x:v>
      </x:c>
    </x:row>
    <x:row r="185" ht="28" customHeight="1">
      <x:c r="A185" s="55"/>
      <x:c r="B185" s="55"/>
      <x:c r="C185" s="60"/>
      <x:c r="D185" s="55"/>
      <x:c r="E185" s="55"/>
      <x:c r="F185" s="55"/>
      <x:c r="G185" s="55"/>
      <x:c r="H185" s="55"/>
      <x:c r="I185" s="63"/>
      <x:c r="J185" s="63"/>
      <x:c r="K185" s="55"/>
      <x:c r="L185" s="65" t="str">
        <x:f>IF(COUNT(I185,K185)&lt;2,"",I185-K185)</x:f>
      </x:c>
      <x:c r="M185" s="56"/>
      <x:c r="N185" s="56"/>
      <x:c r="O185" s="56"/>
      <x:c r="P185" s="55"/>
      <x:c r="Q185" s="55"/>
      <x:c r="R185" s="56"/>
      <x:c r="S185" s="56"/>
      <x:c r="T185" s="56"/>
      <x:c r="U185" s="55"/>
      <x:c r="V185" s="55"/>
      <x:c r="W185" s="55"/>
      <x:c r="X185" s="55"/>
      <x:c r="Y185" s="55"/>
      <x:c r="Z185" s="56"/>
      <x:c r="AA185" s="55"/>
      <x:c r="AC185" t="n">
        <x:f>IF(OR(A185="",D185=""),0,IF(COUNTIFS($A$17:A185,A185,$D$17:D185,D185)=1,1,0))</x:f>
        <x:v>0</x:v>
      </x:c>
      <x:c r="AD185" t="n">
        <x:f>IF(AC185=0,0,IF(OR(ISNUMBER(O185),P185="PO issued",P185="Under manufacturing",P185="Inspection pending",P185="Ready for dispatch",P185="Dispatched",P185="Partly received",P185="Fully received"),1,0))</x:f>
        <x:v>0</x:v>
      </x:c>
      <x:c r="AE185" t="n">
        <x:f>IF(AC185=0,0,IF(P185="Fully received",1,0))</x:f>
        <x:v>0</x:v>
      </x:c>
      <x:c r="AF185" t="n">
        <x:f>IF(AC185=0,0,1-AD185)</x:f>
        <x:v>0</x:v>
      </x:c>
    </x:row>
    <x:row r="186" ht="28" customHeight="1">
      <x:c r="A186" s="55"/>
      <x:c r="B186" s="55"/>
      <x:c r="C186" s="60"/>
      <x:c r="D186" s="55"/>
      <x:c r="E186" s="55"/>
      <x:c r="F186" s="55"/>
      <x:c r="G186" s="55"/>
      <x:c r="H186" s="55"/>
      <x:c r="I186" s="63"/>
      <x:c r="J186" s="63"/>
      <x:c r="K186" s="55"/>
      <x:c r="L186" s="65" t="str">
        <x:f>IF(COUNT(I186,K186)&lt;2,"",I186-K186)</x:f>
      </x:c>
      <x:c r="M186" s="56"/>
      <x:c r="N186" s="56"/>
      <x:c r="O186" s="56"/>
      <x:c r="P186" s="55"/>
      <x:c r="Q186" s="55"/>
      <x:c r="R186" s="56"/>
      <x:c r="S186" s="56"/>
      <x:c r="T186" s="56"/>
      <x:c r="U186" s="55"/>
      <x:c r="V186" s="55"/>
      <x:c r="W186" s="55"/>
      <x:c r="X186" s="55"/>
      <x:c r="Y186" s="55"/>
      <x:c r="Z186" s="56"/>
      <x:c r="AA186" s="55"/>
      <x:c r="AC186" t="n">
        <x:f>IF(OR(A186="",D186=""),0,IF(COUNTIFS($A$17:A186,A186,$D$17:D186,D186)=1,1,0))</x:f>
        <x:v>0</x:v>
      </x:c>
      <x:c r="AD186" t="n">
        <x:f>IF(AC186=0,0,IF(OR(ISNUMBER(O186),P186="PO issued",P186="Under manufacturing",P186="Inspection pending",P186="Ready for dispatch",P186="Dispatched",P186="Partly received",P186="Fully received"),1,0))</x:f>
        <x:v>0</x:v>
      </x:c>
      <x:c r="AE186" t="n">
        <x:f>IF(AC186=0,0,IF(P186="Fully received",1,0))</x:f>
        <x:v>0</x:v>
      </x:c>
      <x:c r="AF186" t="n">
        <x:f>IF(AC186=0,0,1-AD186)</x:f>
        <x:v>0</x:v>
      </x:c>
    </x:row>
    <x:row r="187" ht="28" customHeight="1">
      <x:c r="A187" s="55"/>
      <x:c r="B187" s="55"/>
      <x:c r="C187" s="60"/>
      <x:c r="D187" s="55"/>
      <x:c r="E187" s="55"/>
      <x:c r="F187" s="55"/>
      <x:c r="G187" s="55"/>
      <x:c r="H187" s="55"/>
      <x:c r="I187" s="63"/>
      <x:c r="J187" s="63"/>
      <x:c r="K187" s="55"/>
      <x:c r="L187" s="65" t="str">
        <x:f>IF(COUNT(I187,K187)&lt;2,"",I187-K187)</x:f>
      </x:c>
      <x:c r="M187" s="56"/>
      <x:c r="N187" s="56"/>
      <x:c r="O187" s="56"/>
      <x:c r="P187" s="55"/>
      <x:c r="Q187" s="55"/>
      <x:c r="R187" s="56"/>
      <x:c r="S187" s="56"/>
      <x:c r="T187" s="56"/>
      <x:c r="U187" s="55"/>
      <x:c r="V187" s="55"/>
      <x:c r="W187" s="55"/>
      <x:c r="X187" s="55"/>
      <x:c r="Y187" s="55"/>
      <x:c r="Z187" s="56"/>
      <x:c r="AA187" s="55"/>
      <x:c r="AC187" t="n">
        <x:f>IF(OR(A187="",D187=""),0,IF(COUNTIFS($A$17:A187,A187,$D$17:D187,D187)=1,1,0))</x:f>
        <x:v>0</x:v>
      </x:c>
      <x:c r="AD187" t="n">
        <x:f>IF(AC187=0,0,IF(OR(ISNUMBER(O187),P187="PO issued",P187="Under manufacturing",P187="Inspection pending",P187="Ready for dispatch",P187="Dispatched",P187="Partly received",P187="Fully received"),1,0))</x:f>
        <x:v>0</x:v>
      </x:c>
      <x:c r="AE187" t="n">
        <x:f>IF(AC187=0,0,IF(P187="Fully received",1,0))</x:f>
        <x:v>0</x:v>
      </x:c>
      <x:c r="AF187" t="n">
        <x:f>IF(AC187=0,0,1-AD187)</x:f>
        <x:v>0</x:v>
      </x:c>
    </x:row>
    <x:row r="188" ht="28" customHeight="1">
      <x:c r="A188" s="55"/>
      <x:c r="B188" s="55"/>
      <x:c r="C188" s="60"/>
      <x:c r="D188" s="55"/>
      <x:c r="E188" s="55"/>
      <x:c r="F188" s="55"/>
      <x:c r="G188" s="55"/>
      <x:c r="H188" s="55"/>
      <x:c r="I188" s="63"/>
      <x:c r="J188" s="63"/>
      <x:c r="K188" s="55"/>
      <x:c r="L188" s="65" t="str">
        <x:f>IF(COUNT(I188,K188)&lt;2,"",I188-K188)</x:f>
      </x:c>
      <x:c r="M188" s="56"/>
      <x:c r="N188" s="56"/>
      <x:c r="O188" s="56"/>
      <x:c r="P188" s="55"/>
      <x:c r="Q188" s="55"/>
      <x:c r="R188" s="56"/>
      <x:c r="S188" s="56"/>
      <x:c r="T188" s="56"/>
      <x:c r="U188" s="55"/>
      <x:c r="V188" s="55"/>
      <x:c r="W188" s="55"/>
      <x:c r="X188" s="55"/>
      <x:c r="Y188" s="55"/>
      <x:c r="Z188" s="56"/>
      <x:c r="AA188" s="55"/>
      <x:c r="AC188" t="n">
        <x:f>IF(OR(A188="",D188=""),0,IF(COUNTIFS($A$17:A188,A188,$D$17:D188,D188)=1,1,0))</x:f>
        <x:v>0</x:v>
      </x:c>
      <x:c r="AD188" t="n">
        <x:f>IF(AC188=0,0,IF(OR(ISNUMBER(O188),P188="PO issued",P188="Under manufacturing",P188="Inspection pending",P188="Ready for dispatch",P188="Dispatched",P188="Partly received",P188="Fully received"),1,0))</x:f>
        <x:v>0</x:v>
      </x:c>
      <x:c r="AE188" t="n">
        <x:f>IF(AC188=0,0,IF(P188="Fully received",1,0))</x:f>
        <x:v>0</x:v>
      </x:c>
      <x:c r="AF188" t="n">
        <x:f>IF(AC188=0,0,1-AD188)</x:f>
        <x:v>0</x:v>
      </x:c>
    </x:row>
    <x:row r="189" ht="28" customHeight="1">
      <x:c r="A189" s="55"/>
      <x:c r="B189" s="55"/>
      <x:c r="C189" s="60"/>
      <x:c r="D189" s="55"/>
      <x:c r="E189" s="55"/>
      <x:c r="F189" s="55"/>
      <x:c r="G189" s="55"/>
      <x:c r="H189" s="55"/>
      <x:c r="I189" s="63"/>
      <x:c r="J189" s="63"/>
      <x:c r="K189" s="55"/>
      <x:c r="L189" s="65" t="str">
        <x:f>IF(COUNT(I189,K189)&lt;2,"",I189-K189)</x:f>
      </x:c>
      <x:c r="M189" s="56"/>
      <x:c r="N189" s="56"/>
      <x:c r="O189" s="56"/>
      <x:c r="P189" s="55"/>
      <x:c r="Q189" s="55"/>
      <x:c r="R189" s="56"/>
      <x:c r="S189" s="56"/>
      <x:c r="T189" s="56"/>
      <x:c r="U189" s="55"/>
      <x:c r="V189" s="55"/>
      <x:c r="W189" s="55"/>
      <x:c r="X189" s="55"/>
      <x:c r="Y189" s="55"/>
      <x:c r="Z189" s="56"/>
      <x:c r="AA189" s="55"/>
      <x:c r="AC189" t="n">
        <x:f>IF(OR(A189="",D189=""),0,IF(COUNTIFS($A$17:A189,A189,$D$17:D189,D189)=1,1,0))</x:f>
        <x:v>0</x:v>
      </x:c>
      <x:c r="AD189" t="n">
        <x:f>IF(AC189=0,0,IF(OR(ISNUMBER(O189),P189="PO issued",P189="Under manufacturing",P189="Inspection pending",P189="Ready for dispatch",P189="Dispatched",P189="Partly received",P189="Fully received"),1,0))</x:f>
        <x:v>0</x:v>
      </x:c>
      <x:c r="AE189" t="n">
        <x:f>IF(AC189=0,0,IF(P189="Fully received",1,0))</x:f>
        <x:v>0</x:v>
      </x:c>
      <x:c r="AF189" t="n">
        <x:f>IF(AC189=0,0,1-AD189)</x:f>
        <x:v>0</x:v>
      </x:c>
    </x:row>
    <x:row r="190" ht="28" customHeight="1">
      <x:c r="A190" s="55"/>
      <x:c r="B190" s="55"/>
      <x:c r="C190" s="60"/>
      <x:c r="D190" s="55"/>
      <x:c r="E190" s="55"/>
      <x:c r="F190" s="55"/>
      <x:c r="G190" s="55"/>
      <x:c r="H190" s="55"/>
      <x:c r="I190" s="63"/>
      <x:c r="J190" s="63"/>
      <x:c r="K190" s="55"/>
      <x:c r="L190" s="65" t="str">
        <x:f>IF(COUNT(I190,K190)&lt;2,"",I190-K190)</x:f>
      </x:c>
      <x:c r="M190" s="56"/>
      <x:c r="N190" s="56"/>
      <x:c r="O190" s="56"/>
      <x:c r="P190" s="55"/>
      <x:c r="Q190" s="55"/>
      <x:c r="R190" s="56"/>
      <x:c r="S190" s="56"/>
      <x:c r="T190" s="56"/>
      <x:c r="U190" s="55"/>
      <x:c r="V190" s="55"/>
      <x:c r="W190" s="55"/>
      <x:c r="X190" s="55"/>
      <x:c r="Y190" s="55"/>
      <x:c r="Z190" s="56"/>
      <x:c r="AA190" s="55"/>
      <x:c r="AC190" t="n">
        <x:f>IF(OR(A190="",D190=""),0,IF(COUNTIFS($A$17:A190,A190,$D$17:D190,D190)=1,1,0))</x:f>
        <x:v>0</x:v>
      </x:c>
      <x:c r="AD190" t="n">
        <x:f>IF(AC190=0,0,IF(OR(ISNUMBER(O190),P190="PO issued",P190="Under manufacturing",P190="Inspection pending",P190="Ready for dispatch",P190="Dispatched",P190="Partly received",P190="Fully received"),1,0))</x:f>
        <x:v>0</x:v>
      </x:c>
      <x:c r="AE190" t="n">
        <x:f>IF(AC190=0,0,IF(P190="Fully received",1,0))</x:f>
        <x:v>0</x:v>
      </x:c>
      <x:c r="AF190" t="n">
        <x:f>IF(AC190=0,0,1-AD190)</x:f>
        <x:v>0</x:v>
      </x:c>
    </x:row>
    <x:row r="191" ht="28" customHeight="1">
      <x:c r="A191" s="55"/>
      <x:c r="B191" s="55"/>
      <x:c r="C191" s="60"/>
      <x:c r="D191" s="55"/>
      <x:c r="E191" s="55"/>
      <x:c r="F191" s="55"/>
      <x:c r="G191" s="55"/>
      <x:c r="H191" s="55"/>
      <x:c r="I191" s="63"/>
      <x:c r="J191" s="63"/>
      <x:c r="K191" s="55"/>
      <x:c r="L191" s="65" t="str">
        <x:f>IF(COUNT(I191,K191)&lt;2,"",I191-K191)</x:f>
      </x:c>
      <x:c r="M191" s="56"/>
      <x:c r="N191" s="56"/>
      <x:c r="O191" s="56"/>
      <x:c r="P191" s="55"/>
      <x:c r="Q191" s="55"/>
      <x:c r="R191" s="56"/>
      <x:c r="S191" s="56"/>
      <x:c r="T191" s="56"/>
      <x:c r="U191" s="55"/>
      <x:c r="V191" s="55"/>
      <x:c r="W191" s="55"/>
      <x:c r="X191" s="55"/>
      <x:c r="Y191" s="55"/>
      <x:c r="Z191" s="56"/>
      <x:c r="AA191" s="55"/>
      <x:c r="AC191" t="n">
        <x:f>IF(OR(A191="",D191=""),0,IF(COUNTIFS($A$17:A191,A191,$D$17:D191,D191)=1,1,0))</x:f>
        <x:v>0</x:v>
      </x:c>
      <x:c r="AD191" t="n">
        <x:f>IF(AC191=0,0,IF(OR(ISNUMBER(O191),P191="PO issued",P191="Under manufacturing",P191="Inspection pending",P191="Ready for dispatch",P191="Dispatched",P191="Partly received",P191="Fully received"),1,0))</x:f>
        <x:v>0</x:v>
      </x:c>
      <x:c r="AE191" t="n">
        <x:f>IF(AC191=0,0,IF(P191="Fully received",1,0))</x:f>
        <x:v>0</x:v>
      </x:c>
      <x:c r="AF191" t="n">
        <x:f>IF(AC191=0,0,1-AD191)</x:f>
        <x:v>0</x:v>
      </x:c>
    </x:row>
    <x:row r="192" ht="28" customHeight="1">
      <x:c r="A192" s="55"/>
      <x:c r="B192" s="55"/>
      <x:c r="C192" s="60"/>
      <x:c r="D192" s="55"/>
      <x:c r="E192" s="55"/>
      <x:c r="F192" s="55"/>
      <x:c r="G192" s="55"/>
      <x:c r="H192" s="55"/>
      <x:c r="I192" s="63"/>
      <x:c r="J192" s="63"/>
      <x:c r="K192" s="55"/>
      <x:c r="L192" s="65" t="str">
        <x:f>IF(COUNT(I192,K192)&lt;2,"",I192-K192)</x:f>
      </x:c>
      <x:c r="M192" s="56"/>
      <x:c r="N192" s="56"/>
      <x:c r="O192" s="56"/>
      <x:c r="P192" s="55"/>
      <x:c r="Q192" s="55"/>
      <x:c r="R192" s="56"/>
      <x:c r="S192" s="56"/>
      <x:c r="T192" s="56"/>
      <x:c r="U192" s="55"/>
      <x:c r="V192" s="55"/>
      <x:c r="W192" s="55"/>
      <x:c r="X192" s="55"/>
      <x:c r="Y192" s="55"/>
      <x:c r="Z192" s="56"/>
      <x:c r="AA192" s="55"/>
      <x:c r="AC192" t="n">
        <x:f>IF(OR(A192="",D192=""),0,IF(COUNTIFS($A$17:A192,A192,$D$17:D192,D192)=1,1,0))</x:f>
        <x:v>0</x:v>
      </x:c>
      <x:c r="AD192" t="n">
        <x:f>IF(AC192=0,0,IF(OR(ISNUMBER(O192),P192="PO issued",P192="Under manufacturing",P192="Inspection pending",P192="Ready for dispatch",P192="Dispatched",P192="Partly received",P192="Fully received"),1,0))</x:f>
        <x:v>0</x:v>
      </x:c>
      <x:c r="AE192" t="n">
        <x:f>IF(AC192=0,0,IF(P192="Fully received",1,0))</x:f>
        <x:v>0</x:v>
      </x:c>
      <x:c r="AF192" t="n">
        <x:f>IF(AC192=0,0,1-AD192)</x:f>
        <x:v>0</x:v>
      </x:c>
    </x:row>
    <x:row r="193" ht="28" customHeight="1">
      <x:c r="A193" s="55"/>
      <x:c r="B193" s="55"/>
      <x:c r="C193" s="60"/>
      <x:c r="D193" s="55"/>
      <x:c r="E193" s="55"/>
      <x:c r="F193" s="55"/>
      <x:c r="G193" s="55"/>
      <x:c r="H193" s="55"/>
      <x:c r="I193" s="63"/>
      <x:c r="J193" s="63"/>
      <x:c r="K193" s="55"/>
      <x:c r="L193" s="65" t="str">
        <x:f>IF(COUNT(I193,K193)&lt;2,"",I193-K193)</x:f>
      </x:c>
      <x:c r="M193" s="56"/>
      <x:c r="N193" s="56"/>
      <x:c r="O193" s="56"/>
      <x:c r="P193" s="55"/>
      <x:c r="Q193" s="55"/>
      <x:c r="R193" s="56"/>
      <x:c r="S193" s="56"/>
      <x:c r="T193" s="56"/>
      <x:c r="U193" s="55"/>
      <x:c r="V193" s="55"/>
      <x:c r="W193" s="55"/>
      <x:c r="X193" s="55"/>
      <x:c r="Y193" s="55"/>
      <x:c r="Z193" s="56"/>
      <x:c r="AA193" s="55"/>
      <x:c r="AC193" t="n">
        <x:f>IF(OR(A193="",D193=""),0,IF(COUNTIFS($A$17:A193,A193,$D$17:D193,D193)=1,1,0))</x:f>
        <x:v>0</x:v>
      </x:c>
      <x:c r="AD193" t="n">
        <x:f>IF(AC193=0,0,IF(OR(ISNUMBER(O193),P193="PO issued",P193="Under manufacturing",P193="Inspection pending",P193="Ready for dispatch",P193="Dispatched",P193="Partly received",P193="Fully received"),1,0))</x:f>
        <x:v>0</x:v>
      </x:c>
      <x:c r="AE193" t="n">
        <x:f>IF(AC193=0,0,IF(P193="Fully received",1,0))</x:f>
        <x:v>0</x:v>
      </x:c>
      <x:c r="AF193" t="n">
        <x:f>IF(AC193=0,0,1-AD193)</x:f>
        <x:v>0</x:v>
      </x:c>
    </x:row>
    <x:row r="194" ht="28" customHeight="1">
      <x:c r="A194" s="55"/>
      <x:c r="B194" s="55"/>
      <x:c r="C194" s="60"/>
      <x:c r="D194" s="55"/>
      <x:c r="E194" s="55"/>
      <x:c r="F194" s="55"/>
      <x:c r="G194" s="55"/>
      <x:c r="H194" s="55"/>
      <x:c r="I194" s="63"/>
      <x:c r="J194" s="63"/>
      <x:c r="K194" s="55"/>
      <x:c r="L194" s="65" t="str">
        <x:f>IF(COUNT(I194,K194)&lt;2,"",I194-K194)</x:f>
      </x:c>
      <x:c r="M194" s="56"/>
      <x:c r="N194" s="56"/>
      <x:c r="O194" s="56"/>
      <x:c r="P194" s="55"/>
      <x:c r="Q194" s="55"/>
      <x:c r="R194" s="56"/>
      <x:c r="S194" s="56"/>
      <x:c r="T194" s="56"/>
      <x:c r="U194" s="55"/>
      <x:c r="V194" s="55"/>
      <x:c r="W194" s="55"/>
      <x:c r="X194" s="55"/>
      <x:c r="Y194" s="55"/>
      <x:c r="Z194" s="56"/>
      <x:c r="AA194" s="55"/>
      <x:c r="AC194" t="n">
        <x:f>IF(OR(A194="",D194=""),0,IF(COUNTIFS($A$17:A194,A194,$D$17:D194,D194)=1,1,0))</x:f>
        <x:v>0</x:v>
      </x:c>
      <x:c r="AD194" t="n">
        <x:f>IF(AC194=0,0,IF(OR(ISNUMBER(O194),P194="PO issued",P194="Under manufacturing",P194="Inspection pending",P194="Ready for dispatch",P194="Dispatched",P194="Partly received",P194="Fully received"),1,0))</x:f>
        <x:v>0</x:v>
      </x:c>
      <x:c r="AE194" t="n">
        <x:f>IF(AC194=0,0,IF(P194="Fully received",1,0))</x:f>
        <x:v>0</x:v>
      </x:c>
      <x:c r="AF194" t="n">
        <x:f>IF(AC194=0,0,1-AD194)</x:f>
        <x:v>0</x:v>
      </x:c>
    </x:row>
    <x:row r="195" ht="28" customHeight="1">
      <x:c r="A195" s="55"/>
      <x:c r="B195" s="55"/>
      <x:c r="C195" s="60"/>
      <x:c r="D195" s="55"/>
      <x:c r="E195" s="55"/>
      <x:c r="F195" s="55"/>
      <x:c r="G195" s="55"/>
      <x:c r="H195" s="55"/>
      <x:c r="I195" s="63"/>
      <x:c r="J195" s="63"/>
      <x:c r="K195" s="55"/>
      <x:c r="L195" s="65" t="str">
        <x:f>IF(COUNT(I195,K195)&lt;2,"",I195-K195)</x:f>
      </x:c>
      <x:c r="M195" s="56"/>
      <x:c r="N195" s="56"/>
      <x:c r="O195" s="56"/>
      <x:c r="P195" s="55"/>
      <x:c r="Q195" s="55"/>
      <x:c r="R195" s="56"/>
      <x:c r="S195" s="56"/>
      <x:c r="T195" s="56"/>
      <x:c r="U195" s="55"/>
      <x:c r="V195" s="55"/>
      <x:c r="W195" s="55"/>
      <x:c r="X195" s="55"/>
      <x:c r="Y195" s="55"/>
      <x:c r="Z195" s="56"/>
      <x:c r="AA195" s="55"/>
      <x:c r="AC195" t="n">
        <x:f>IF(OR(A195="",D195=""),0,IF(COUNTIFS($A$17:A195,A195,$D$17:D195,D195)=1,1,0))</x:f>
        <x:v>0</x:v>
      </x:c>
      <x:c r="AD195" t="n">
        <x:f>IF(AC195=0,0,IF(OR(ISNUMBER(O195),P195="PO issued",P195="Under manufacturing",P195="Inspection pending",P195="Ready for dispatch",P195="Dispatched",P195="Partly received",P195="Fully received"),1,0))</x:f>
        <x:v>0</x:v>
      </x:c>
      <x:c r="AE195" t="n">
        <x:f>IF(AC195=0,0,IF(P195="Fully received",1,0))</x:f>
        <x:v>0</x:v>
      </x:c>
      <x:c r="AF195" t="n">
        <x:f>IF(AC195=0,0,1-AD195)</x:f>
        <x:v>0</x:v>
      </x:c>
    </x:row>
    <x:row r="196" ht="28" customHeight="1">
      <x:c r="A196" s="55"/>
      <x:c r="B196" s="55"/>
      <x:c r="C196" s="60"/>
      <x:c r="D196" s="55"/>
      <x:c r="E196" s="55"/>
      <x:c r="F196" s="55"/>
      <x:c r="G196" s="55"/>
      <x:c r="H196" s="55"/>
      <x:c r="I196" s="63"/>
      <x:c r="J196" s="63"/>
      <x:c r="K196" s="55"/>
      <x:c r="L196" s="65" t="str">
        <x:f>IF(COUNT(I196,K196)&lt;2,"",I196-K196)</x:f>
      </x:c>
      <x:c r="M196" s="56"/>
      <x:c r="N196" s="56"/>
      <x:c r="O196" s="56"/>
      <x:c r="P196" s="55"/>
      <x:c r="Q196" s="55"/>
      <x:c r="R196" s="56"/>
      <x:c r="S196" s="56"/>
      <x:c r="T196" s="56"/>
      <x:c r="U196" s="55"/>
      <x:c r="V196" s="55"/>
      <x:c r="W196" s="55"/>
      <x:c r="X196" s="55"/>
      <x:c r="Y196" s="55"/>
      <x:c r="Z196" s="56"/>
      <x:c r="AA196" s="55"/>
      <x:c r="AC196" t="n">
        <x:f>IF(OR(A196="",D196=""),0,IF(COUNTIFS($A$17:A196,A196,$D$17:D196,D196)=1,1,0))</x:f>
        <x:v>0</x:v>
      </x:c>
      <x:c r="AD196" t="n">
        <x:f>IF(AC196=0,0,IF(OR(ISNUMBER(O196),P196="PO issued",P196="Under manufacturing",P196="Inspection pending",P196="Ready for dispatch",P196="Dispatched",P196="Partly received",P196="Fully received"),1,0))</x:f>
        <x:v>0</x:v>
      </x:c>
      <x:c r="AE196" t="n">
        <x:f>IF(AC196=0,0,IF(P196="Fully received",1,0))</x:f>
        <x:v>0</x:v>
      </x:c>
      <x:c r="AF196" t="n">
        <x:f>IF(AC196=0,0,1-AD196)</x:f>
        <x:v>0</x:v>
      </x:c>
    </x:row>
    <x:row r="197" ht="28" customHeight="1">
      <x:c r="A197" s="55"/>
      <x:c r="B197" s="55"/>
      <x:c r="C197" s="60"/>
      <x:c r="D197" s="55"/>
      <x:c r="E197" s="55"/>
      <x:c r="F197" s="55"/>
      <x:c r="G197" s="55"/>
      <x:c r="H197" s="55"/>
      <x:c r="I197" s="63"/>
      <x:c r="J197" s="63"/>
      <x:c r="K197" s="55"/>
      <x:c r="L197" s="65" t="str">
        <x:f>IF(COUNT(I197,K197)&lt;2,"",I197-K197)</x:f>
      </x:c>
      <x:c r="M197" s="56"/>
      <x:c r="N197" s="56"/>
      <x:c r="O197" s="56"/>
      <x:c r="P197" s="55"/>
      <x:c r="Q197" s="55"/>
      <x:c r="R197" s="56"/>
      <x:c r="S197" s="56"/>
      <x:c r="T197" s="56"/>
      <x:c r="U197" s="55"/>
      <x:c r="V197" s="55"/>
      <x:c r="W197" s="55"/>
      <x:c r="X197" s="55"/>
      <x:c r="Y197" s="55"/>
      <x:c r="Z197" s="56"/>
      <x:c r="AA197" s="55"/>
      <x:c r="AC197" t="n">
        <x:f>IF(OR(A197="",D197=""),0,IF(COUNTIFS($A$17:A197,A197,$D$17:D197,D197)=1,1,0))</x:f>
        <x:v>0</x:v>
      </x:c>
      <x:c r="AD197" t="n">
        <x:f>IF(AC197=0,0,IF(OR(ISNUMBER(O197),P197="PO issued",P197="Under manufacturing",P197="Inspection pending",P197="Ready for dispatch",P197="Dispatched",P197="Partly received",P197="Fully received"),1,0))</x:f>
        <x:v>0</x:v>
      </x:c>
      <x:c r="AE197" t="n">
        <x:f>IF(AC197=0,0,IF(P197="Fully received",1,0))</x:f>
        <x:v>0</x:v>
      </x:c>
      <x:c r="AF197" t="n">
        <x:f>IF(AC197=0,0,1-AD197)</x:f>
        <x:v>0</x:v>
      </x:c>
    </x:row>
    <x:row r="198" ht="28" customHeight="1">
      <x:c r="A198" s="55"/>
      <x:c r="B198" s="55"/>
      <x:c r="C198" s="60"/>
      <x:c r="D198" s="55"/>
      <x:c r="E198" s="55"/>
      <x:c r="F198" s="55"/>
      <x:c r="G198" s="55"/>
      <x:c r="H198" s="55"/>
      <x:c r="I198" s="63"/>
      <x:c r="J198" s="63"/>
      <x:c r="K198" s="55"/>
      <x:c r="L198" s="65" t="str">
        <x:f>IF(COUNT(I198,K198)&lt;2,"",I198-K198)</x:f>
      </x:c>
      <x:c r="M198" s="56"/>
      <x:c r="N198" s="56"/>
      <x:c r="O198" s="56"/>
      <x:c r="P198" s="55"/>
      <x:c r="Q198" s="55"/>
      <x:c r="R198" s="56"/>
      <x:c r="S198" s="56"/>
      <x:c r="T198" s="56"/>
      <x:c r="U198" s="55"/>
      <x:c r="V198" s="55"/>
      <x:c r="W198" s="55"/>
      <x:c r="X198" s="55"/>
      <x:c r="Y198" s="55"/>
      <x:c r="Z198" s="56"/>
      <x:c r="AA198" s="55"/>
      <x:c r="AC198" t="n">
        <x:f>IF(OR(A198="",D198=""),0,IF(COUNTIFS($A$17:A198,A198,$D$17:D198,D198)=1,1,0))</x:f>
        <x:v>0</x:v>
      </x:c>
      <x:c r="AD198" t="n">
        <x:f>IF(AC198=0,0,IF(OR(ISNUMBER(O198),P198="PO issued",P198="Under manufacturing",P198="Inspection pending",P198="Ready for dispatch",P198="Dispatched",P198="Partly received",P198="Fully received"),1,0))</x:f>
        <x:v>0</x:v>
      </x:c>
      <x:c r="AE198" t="n">
        <x:f>IF(AC198=0,0,IF(P198="Fully received",1,0))</x:f>
        <x:v>0</x:v>
      </x:c>
      <x:c r="AF198" t="n">
        <x:f>IF(AC198=0,0,1-AD198)</x:f>
        <x:v>0</x:v>
      </x:c>
    </x:row>
    <x:row r="199" ht="28" customHeight="1">
      <x:c r="A199" s="55"/>
      <x:c r="B199" s="55"/>
      <x:c r="C199" s="60"/>
      <x:c r="D199" s="55"/>
      <x:c r="E199" s="55"/>
      <x:c r="F199" s="55"/>
      <x:c r="G199" s="55"/>
      <x:c r="H199" s="55"/>
      <x:c r="I199" s="63"/>
      <x:c r="J199" s="63"/>
      <x:c r="K199" s="55"/>
      <x:c r="L199" s="65" t="str">
        <x:f>IF(COUNT(I199,K199)&lt;2,"",I199-K199)</x:f>
      </x:c>
      <x:c r="M199" s="56"/>
      <x:c r="N199" s="56"/>
      <x:c r="O199" s="56"/>
      <x:c r="P199" s="55"/>
      <x:c r="Q199" s="55"/>
      <x:c r="R199" s="56"/>
      <x:c r="S199" s="56"/>
      <x:c r="T199" s="56"/>
      <x:c r="U199" s="55"/>
      <x:c r="V199" s="55"/>
      <x:c r="W199" s="55"/>
      <x:c r="X199" s="55"/>
      <x:c r="Y199" s="55"/>
      <x:c r="Z199" s="56"/>
      <x:c r="AA199" s="55"/>
      <x:c r="AC199" t="n">
        <x:f>IF(OR(A199="",D199=""),0,IF(COUNTIFS($A$17:A199,A199,$D$17:D199,D199)=1,1,0))</x:f>
        <x:v>0</x:v>
      </x:c>
      <x:c r="AD199" t="n">
        <x:f>IF(AC199=0,0,IF(OR(ISNUMBER(O199),P199="PO issued",P199="Under manufacturing",P199="Inspection pending",P199="Ready for dispatch",P199="Dispatched",P199="Partly received",P199="Fully received"),1,0))</x:f>
        <x:v>0</x:v>
      </x:c>
      <x:c r="AE199" t="n">
        <x:f>IF(AC199=0,0,IF(P199="Fully received",1,0))</x:f>
        <x:v>0</x:v>
      </x:c>
      <x:c r="AF199" t="n">
        <x:f>IF(AC199=0,0,1-AD199)</x:f>
        <x:v>0</x:v>
      </x:c>
    </x:row>
    <x:row r="200" ht="28" customHeight="1">
      <x:c r="A200" s="55"/>
      <x:c r="B200" s="55"/>
      <x:c r="C200" s="60"/>
      <x:c r="D200" s="55"/>
      <x:c r="E200" s="55"/>
      <x:c r="F200" s="55"/>
      <x:c r="G200" s="55"/>
      <x:c r="H200" s="55"/>
      <x:c r="I200" s="63"/>
      <x:c r="J200" s="63"/>
      <x:c r="K200" s="55"/>
      <x:c r="L200" s="65" t="str">
        <x:f>IF(COUNT(I200,K200)&lt;2,"",I200-K200)</x:f>
      </x:c>
      <x:c r="M200" s="56"/>
      <x:c r="N200" s="56"/>
      <x:c r="O200" s="56"/>
      <x:c r="P200" s="55"/>
      <x:c r="Q200" s="55"/>
      <x:c r="R200" s="56"/>
      <x:c r="S200" s="56"/>
      <x:c r="T200" s="56"/>
      <x:c r="U200" s="55"/>
      <x:c r="V200" s="55"/>
      <x:c r="W200" s="55"/>
      <x:c r="X200" s="55"/>
      <x:c r="Y200" s="55"/>
      <x:c r="Z200" s="56"/>
      <x:c r="AA200" s="55"/>
      <x:c r="AC200" t="n">
        <x:f>IF(OR(A200="",D200=""),0,IF(COUNTIFS($A$17:A200,A200,$D$17:D200,D200)=1,1,0))</x:f>
        <x:v>0</x:v>
      </x:c>
      <x:c r="AD200" t="n">
        <x:f>IF(AC200=0,0,IF(OR(ISNUMBER(O200),P200="PO issued",P200="Under manufacturing",P200="Inspection pending",P200="Ready for dispatch",P200="Dispatched",P200="Partly received",P200="Fully received"),1,0))</x:f>
        <x:v>0</x:v>
      </x:c>
      <x:c r="AE200" t="n">
        <x:f>IF(AC200=0,0,IF(P200="Fully received",1,0))</x:f>
        <x:v>0</x:v>
      </x:c>
      <x:c r="AF200" t="n">
        <x:f>IF(AC200=0,0,1-AD200)</x:f>
        <x:v>0</x:v>
      </x:c>
    </x:row>
    <x:row r="201" ht="28" customHeight="1">
      <x:c r="A201" s="55"/>
      <x:c r="B201" s="55"/>
      <x:c r="C201" s="60"/>
      <x:c r="D201" s="55"/>
      <x:c r="E201" s="55"/>
      <x:c r="F201" s="55"/>
      <x:c r="G201" s="55"/>
      <x:c r="H201" s="55"/>
      <x:c r="I201" s="63"/>
      <x:c r="J201" s="63"/>
      <x:c r="K201" s="55"/>
      <x:c r="L201" s="65" t="str">
        <x:f>IF(COUNT(I201,K201)&lt;2,"",I201-K201)</x:f>
      </x:c>
      <x:c r="M201" s="56"/>
      <x:c r="N201" s="56"/>
      <x:c r="O201" s="56"/>
      <x:c r="P201" s="55"/>
      <x:c r="Q201" s="55"/>
      <x:c r="R201" s="56"/>
      <x:c r="S201" s="56"/>
      <x:c r="T201" s="56"/>
      <x:c r="U201" s="55"/>
      <x:c r="V201" s="55"/>
      <x:c r="W201" s="55"/>
      <x:c r="X201" s="55"/>
      <x:c r="Y201" s="55"/>
      <x:c r="Z201" s="56"/>
      <x:c r="AA201" s="55"/>
      <x:c r="AC201" t="n">
        <x:f>IF(OR(A201="",D201=""),0,IF(COUNTIFS($A$17:A201,A201,$D$17:D201,D201)=1,1,0))</x:f>
        <x:v>0</x:v>
      </x:c>
      <x:c r="AD201" t="n">
        <x:f>IF(AC201=0,0,IF(OR(ISNUMBER(O201),P201="PO issued",P201="Under manufacturing",P201="Inspection pending",P201="Ready for dispatch",P201="Dispatched",P201="Partly received",P201="Fully received"),1,0))</x:f>
        <x:v>0</x:v>
      </x:c>
      <x:c r="AE201" t="n">
        <x:f>IF(AC201=0,0,IF(P201="Fully received",1,0))</x:f>
        <x:v>0</x:v>
      </x:c>
      <x:c r="AF201" t="n">
        <x:f>IF(AC201=0,0,1-AD201)</x:f>
        <x:v>0</x:v>
      </x:c>
    </x:row>
    <x:row r="202" ht="28" customHeight="1">
      <x:c r="A202" s="55"/>
      <x:c r="B202" s="55"/>
      <x:c r="C202" s="60"/>
      <x:c r="D202" s="55"/>
      <x:c r="E202" s="55"/>
      <x:c r="F202" s="55"/>
      <x:c r="G202" s="55"/>
      <x:c r="H202" s="55"/>
      <x:c r="I202" s="63"/>
      <x:c r="J202" s="63"/>
      <x:c r="K202" s="55"/>
      <x:c r="L202" s="65" t="str">
        <x:f>IF(COUNT(I202,K202)&lt;2,"",I202-K202)</x:f>
      </x:c>
      <x:c r="M202" s="56"/>
      <x:c r="N202" s="56"/>
      <x:c r="O202" s="56"/>
      <x:c r="P202" s="55"/>
      <x:c r="Q202" s="55"/>
      <x:c r="R202" s="56"/>
      <x:c r="S202" s="56"/>
      <x:c r="T202" s="56"/>
      <x:c r="U202" s="55"/>
      <x:c r="V202" s="55"/>
      <x:c r="W202" s="55"/>
      <x:c r="X202" s="55"/>
      <x:c r="Y202" s="55"/>
      <x:c r="Z202" s="56"/>
      <x:c r="AA202" s="55"/>
      <x:c r="AC202" t="n">
        <x:f>IF(OR(A202="",D202=""),0,IF(COUNTIFS($A$17:A202,A202,$D$17:D202,D202)=1,1,0))</x:f>
        <x:v>0</x:v>
      </x:c>
      <x:c r="AD202" t="n">
        <x:f>IF(AC202=0,0,IF(OR(ISNUMBER(O202),P202="PO issued",P202="Under manufacturing",P202="Inspection pending",P202="Ready for dispatch",P202="Dispatched",P202="Partly received",P202="Fully received"),1,0))</x:f>
        <x:v>0</x:v>
      </x:c>
      <x:c r="AE202" t="n">
        <x:f>IF(AC202=0,0,IF(P202="Fully received",1,0))</x:f>
        <x:v>0</x:v>
      </x:c>
      <x:c r="AF202" t="n">
        <x:f>IF(AC202=0,0,1-AD202)</x:f>
        <x:v>0</x:v>
      </x:c>
    </x:row>
    <x:row r="203" ht="28" customHeight="1">
      <x:c r="A203" s="55"/>
      <x:c r="B203" s="55"/>
      <x:c r="C203" s="60"/>
      <x:c r="D203" s="55"/>
      <x:c r="E203" s="55"/>
      <x:c r="F203" s="55"/>
      <x:c r="G203" s="55"/>
      <x:c r="H203" s="55"/>
      <x:c r="I203" s="63"/>
      <x:c r="J203" s="63"/>
      <x:c r="K203" s="55"/>
      <x:c r="L203" s="65" t="str">
        <x:f>IF(COUNT(I203,K203)&lt;2,"",I203-K203)</x:f>
      </x:c>
      <x:c r="M203" s="56"/>
      <x:c r="N203" s="56"/>
      <x:c r="O203" s="56"/>
      <x:c r="P203" s="55"/>
      <x:c r="Q203" s="55"/>
      <x:c r="R203" s="56"/>
      <x:c r="S203" s="56"/>
      <x:c r="T203" s="56"/>
      <x:c r="U203" s="55"/>
      <x:c r="V203" s="55"/>
      <x:c r="W203" s="55"/>
      <x:c r="X203" s="55"/>
      <x:c r="Y203" s="55"/>
      <x:c r="Z203" s="56"/>
      <x:c r="AA203" s="55"/>
      <x:c r="AC203" t="n">
        <x:f>IF(OR(A203="",D203=""),0,IF(COUNTIFS($A$17:A203,A203,$D$17:D203,D203)=1,1,0))</x:f>
        <x:v>0</x:v>
      </x:c>
      <x:c r="AD203" t="n">
        <x:f>IF(AC203=0,0,IF(OR(ISNUMBER(O203),P203="PO issued",P203="Under manufacturing",P203="Inspection pending",P203="Ready for dispatch",P203="Dispatched",P203="Partly received",P203="Fully received"),1,0))</x:f>
        <x:v>0</x:v>
      </x:c>
      <x:c r="AE203" t="n">
        <x:f>IF(AC203=0,0,IF(P203="Fully received",1,0))</x:f>
        <x:v>0</x:v>
      </x:c>
      <x:c r="AF203" t="n">
        <x:f>IF(AC203=0,0,1-AD203)</x:f>
        <x:v>0</x:v>
      </x:c>
    </x:row>
    <x:row r="204" ht="28" customHeight="1">
      <x:c r="A204" s="55"/>
      <x:c r="B204" s="55"/>
      <x:c r="C204" s="60"/>
      <x:c r="D204" s="55"/>
      <x:c r="E204" s="55"/>
      <x:c r="F204" s="55"/>
      <x:c r="G204" s="55"/>
      <x:c r="H204" s="55"/>
      <x:c r="I204" s="63"/>
      <x:c r="J204" s="63"/>
      <x:c r="K204" s="55"/>
      <x:c r="L204" s="65" t="str">
        <x:f>IF(COUNT(I204,K204)&lt;2,"",I204-K204)</x:f>
      </x:c>
      <x:c r="M204" s="56"/>
      <x:c r="N204" s="56"/>
      <x:c r="O204" s="56"/>
      <x:c r="P204" s="55"/>
      <x:c r="Q204" s="55"/>
      <x:c r="R204" s="56"/>
      <x:c r="S204" s="56"/>
      <x:c r="T204" s="56"/>
      <x:c r="U204" s="55"/>
      <x:c r="V204" s="55"/>
      <x:c r="W204" s="55"/>
      <x:c r="X204" s="55"/>
      <x:c r="Y204" s="55"/>
      <x:c r="Z204" s="56"/>
      <x:c r="AA204" s="55"/>
      <x:c r="AC204" t="n">
        <x:f>IF(OR(A204="",D204=""),0,IF(COUNTIFS($A$17:A204,A204,$D$17:D204,D204)=1,1,0))</x:f>
        <x:v>0</x:v>
      </x:c>
      <x:c r="AD204" t="n">
        <x:f>IF(AC204=0,0,IF(OR(ISNUMBER(O204),P204="PO issued",P204="Under manufacturing",P204="Inspection pending",P204="Ready for dispatch",P204="Dispatched",P204="Partly received",P204="Fully received"),1,0))</x:f>
        <x:v>0</x:v>
      </x:c>
      <x:c r="AE204" t="n">
        <x:f>IF(AC204=0,0,IF(P204="Fully received",1,0))</x:f>
        <x:v>0</x:v>
      </x:c>
      <x:c r="AF204" t="n">
        <x:f>IF(AC204=0,0,1-AD204)</x:f>
        <x:v>0</x:v>
      </x:c>
    </x:row>
    <x:row r="205" ht="28" customHeight="1">
      <x:c r="A205" s="55"/>
      <x:c r="B205" s="55"/>
      <x:c r="C205" s="60"/>
      <x:c r="D205" s="55"/>
      <x:c r="E205" s="55"/>
      <x:c r="F205" s="55"/>
      <x:c r="G205" s="55"/>
      <x:c r="H205" s="55"/>
      <x:c r="I205" s="63"/>
      <x:c r="J205" s="63"/>
      <x:c r="K205" s="55"/>
      <x:c r="L205" s="65" t="str">
        <x:f>IF(COUNT(I205,K205)&lt;2,"",I205-K205)</x:f>
      </x:c>
      <x:c r="M205" s="56"/>
      <x:c r="N205" s="56"/>
      <x:c r="O205" s="56"/>
      <x:c r="P205" s="55"/>
      <x:c r="Q205" s="55"/>
      <x:c r="R205" s="56"/>
      <x:c r="S205" s="56"/>
      <x:c r="T205" s="56"/>
      <x:c r="U205" s="55"/>
      <x:c r="V205" s="55"/>
      <x:c r="W205" s="55"/>
      <x:c r="X205" s="55"/>
      <x:c r="Y205" s="55"/>
      <x:c r="Z205" s="56"/>
      <x:c r="AA205" s="55"/>
      <x:c r="AC205" t="n">
        <x:f>IF(OR(A205="",D205=""),0,IF(COUNTIFS($A$17:A205,A205,$D$17:D205,D205)=1,1,0))</x:f>
        <x:v>0</x:v>
      </x:c>
      <x:c r="AD205" t="n">
        <x:f>IF(AC205=0,0,IF(OR(ISNUMBER(O205),P205="PO issued",P205="Under manufacturing",P205="Inspection pending",P205="Ready for dispatch",P205="Dispatched",P205="Partly received",P205="Fully received"),1,0))</x:f>
        <x:v>0</x:v>
      </x:c>
      <x:c r="AE205" t="n">
        <x:f>IF(AC205=0,0,IF(P205="Fully received",1,0))</x:f>
        <x:v>0</x:v>
      </x:c>
      <x:c r="AF205" t="n">
        <x:f>IF(AC205=0,0,1-AD205)</x:f>
        <x:v>0</x:v>
      </x:c>
    </x:row>
    <x:row r="206" ht="28" customHeight="1">
      <x:c r="A206" s="55"/>
      <x:c r="B206" s="55"/>
      <x:c r="C206" s="60"/>
      <x:c r="D206" s="55"/>
      <x:c r="E206" s="55"/>
      <x:c r="F206" s="55"/>
      <x:c r="G206" s="55"/>
      <x:c r="H206" s="55"/>
      <x:c r="I206" s="63"/>
      <x:c r="J206" s="63"/>
      <x:c r="K206" s="55"/>
      <x:c r="L206" s="65" t="str">
        <x:f>IF(COUNT(I206,K206)&lt;2,"",I206-K206)</x:f>
      </x:c>
      <x:c r="M206" s="56"/>
      <x:c r="N206" s="56"/>
      <x:c r="O206" s="56"/>
      <x:c r="P206" s="55"/>
      <x:c r="Q206" s="55"/>
      <x:c r="R206" s="56"/>
      <x:c r="S206" s="56"/>
      <x:c r="T206" s="56"/>
      <x:c r="U206" s="55"/>
      <x:c r="V206" s="55"/>
      <x:c r="W206" s="55"/>
      <x:c r="X206" s="55"/>
      <x:c r="Y206" s="55"/>
      <x:c r="Z206" s="56"/>
      <x:c r="AA206" s="55"/>
      <x:c r="AC206" t="n">
        <x:f>IF(OR(A206="",D206=""),0,IF(COUNTIFS($A$17:A206,A206,$D$17:D206,D206)=1,1,0))</x:f>
        <x:v>0</x:v>
      </x:c>
      <x:c r="AD206" t="n">
        <x:f>IF(AC206=0,0,IF(OR(ISNUMBER(O206),P206="PO issued",P206="Under manufacturing",P206="Inspection pending",P206="Ready for dispatch",P206="Dispatched",P206="Partly received",P206="Fully received"),1,0))</x:f>
        <x:v>0</x:v>
      </x:c>
      <x:c r="AE206" t="n">
        <x:f>IF(AC206=0,0,IF(P206="Fully received",1,0))</x:f>
        <x:v>0</x:v>
      </x:c>
      <x:c r="AF206" t="n">
        <x:f>IF(AC206=0,0,1-AD206)</x:f>
        <x:v>0</x:v>
      </x:c>
    </x:row>
    <x:row r="207" ht="28" customHeight="1">
      <x:c r="A207" s="55"/>
      <x:c r="B207" s="55"/>
      <x:c r="C207" s="60"/>
      <x:c r="D207" s="55"/>
      <x:c r="E207" s="55"/>
      <x:c r="F207" s="55"/>
      <x:c r="G207" s="55"/>
      <x:c r="H207" s="55"/>
      <x:c r="I207" s="63"/>
      <x:c r="J207" s="63"/>
      <x:c r="K207" s="55"/>
      <x:c r="L207" s="65" t="str">
        <x:f>IF(COUNT(I207,K207)&lt;2,"",I207-K207)</x:f>
      </x:c>
      <x:c r="M207" s="56"/>
      <x:c r="N207" s="56"/>
      <x:c r="O207" s="56"/>
      <x:c r="P207" s="55"/>
      <x:c r="Q207" s="55"/>
      <x:c r="R207" s="56"/>
      <x:c r="S207" s="56"/>
      <x:c r="T207" s="56"/>
      <x:c r="U207" s="55"/>
      <x:c r="V207" s="55"/>
      <x:c r="W207" s="55"/>
      <x:c r="X207" s="55"/>
      <x:c r="Y207" s="55"/>
      <x:c r="Z207" s="56"/>
      <x:c r="AA207" s="55"/>
      <x:c r="AC207" t="n">
        <x:f>IF(OR(A207="",D207=""),0,IF(COUNTIFS($A$17:A207,A207,$D$17:D207,D207)=1,1,0))</x:f>
        <x:v>0</x:v>
      </x:c>
      <x:c r="AD207" t="n">
        <x:f>IF(AC207=0,0,IF(OR(ISNUMBER(O207),P207="PO issued",P207="Under manufacturing",P207="Inspection pending",P207="Ready for dispatch",P207="Dispatched",P207="Partly received",P207="Fully received"),1,0))</x:f>
        <x:v>0</x:v>
      </x:c>
      <x:c r="AE207" t="n">
        <x:f>IF(AC207=0,0,IF(P207="Fully received",1,0))</x:f>
        <x:v>0</x:v>
      </x:c>
      <x:c r="AF207" t="n">
        <x:f>IF(AC207=0,0,1-AD207)</x:f>
        <x:v>0</x:v>
      </x:c>
    </x:row>
    <x:row r="208" ht="28" customHeight="1">
      <x:c r="A208" s="55"/>
      <x:c r="B208" s="55"/>
      <x:c r="C208" s="60"/>
      <x:c r="D208" s="55"/>
      <x:c r="E208" s="55"/>
      <x:c r="F208" s="55"/>
      <x:c r="G208" s="55"/>
      <x:c r="H208" s="55"/>
      <x:c r="I208" s="63"/>
      <x:c r="J208" s="63"/>
      <x:c r="K208" s="55"/>
      <x:c r="L208" s="65" t="str">
        <x:f>IF(COUNT(I208,K208)&lt;2,"",I208-K208)</x:f>
      </x:c>
      <x:c r="M208" s="56"/>
      <x:c r="N208" s="56"/>
      <x:c r="O208" s="56"/>
      <x:c r="P208" s="55"/>
      <x:c r="Q208" s="55"/>
      <x:c r="R208" s="56"/>
      <x:c r="S208" s="56"/>
      <x:c r="T208" s="56"/>
      <x:c r="U208" s="55"/>
      <x:c r="V208" s="55"/>
      <x:c r="W208" s="55"/>
      <x:c r="X208" s="55"/>
      <x:c r="Y208" s="55"/>
      <x:c r="Z208" s="56"/>
      <x:c r="AA208" s="55"/>
      <x:c r="AC208" t="n">
        <x:f>IF(OR(A208="",D208=""),0,IF(COUNTIFS($A$17:A208,A208,$D$17:D208,D208)=1,1,0))</x:f>
        <x:v>0</x:v>
      </x:c>
      <x:c r="AD208" t="n">
        <x:f>IF(AC208=0,0,IF(OR(ISNUMBER(O208),P208="PO issued",P208="Under manufacturing",P208="Inspection pending",P208="Ready for dispatch",P208="Dispatched",P208="Partly received",P208="Fully received"),1,0))</x:f>
        <x:v>0</x:v>
      </x:c>
      <x:c r="AE208" t="n">
        <x:f>IF(AC208=0,0,IF(P208="Fully received",1,0))</x:f>
        <x:v>0</x:v>
      </x:c>
      <x:c r="AF208" t="n">
        <x:f>IF(AC208=0,0,1-AD208)</x:f>
        <x:v>0</x:v>
      </x:c>
    </x:row>
    <x:row r="209" ht="28" customHeight="1">
      <x:c r="A209" s="55"/>
      <x:c r="B209" s="55"/>
      <x:c r="C209" s="60"/>
      <x:c r="D209" s="55"/>
      <x:c r="E209" s="55"/>
      <x:c r="F209" s="55"/>
      <x:c r="G209" s="55"/>
      <x:c r="H209" s="55"/>
      <x:c r="I209" s="63"/>
      <x:c r="J209" s="63"/>
      <x:c r="K209" s="55"/>
      <x:c r="L209" s="65" t="str">
        <x:f>IF(COUNT(I209,K209)&lt;2,"",I209-K209)</x:f>
      </x:c>
      <x:c r="M209" s="56"/>
      <x:c r="N209" s="56"/>
      <x:c r="O209" s="56"/>
      <x:c r="P209" s="55"/>
      <x:c r="Q209" s="55"/>
      <x:c r="R209" s="56"/>
      <x:c r="S209" s="56"/>
      <x:c r="T209" s="56"/>
      <x:c r="U209" s="55"/>
      <x:c r="V209" s="55"/>
      <x:c r="W209" s="55"/>
      <x:c r="X209" s="55"/>
      <x:c r="Y209" s="55"/>
      <x:c r="Z209" s="56"/>
      <x:c r="AA209" s="55"/>
      <x:c r="AC209" t="n">
        <x:f>IF(OR(A209="",D209=""),0,IF(COUNTIFS($A$17:A209,A209,$D$17:D209,D209)=1,1,0))</x:f>
        <x:v>0</x:v>
      </x:c>
      <x:c r="AD209" t="n">
        <x:f>IF(AC209=0,0,IF(OR(ISNUMBER(O209),P209="PO issued",P209="Under manufacturing",P209="Inspection pending",P209="Ready for dispatch",P209="Dispatched",P209="Partly received",P209="Fully received"),1,0))</x:f>
        <x:v>0</x:v>
      </x:c>
      <x:c r="AE209" t="n">
        <x:f>IF(AC209=0,0,IF(P209="Fully received",1,0))</x:f>
        <x:v>0</x:v>
      </x:c>
      <x:c r="AF209" t="n">
        <x:f>IF(AC209=0,0,1-AD209)</x:f>
        <x:v>0</x:v>
      </x:c>
    </x:row>
    <x:row r="210" ht="28" customHeight="1">
      <x:c r="A210" s="55"/>
      <x:c r="B210" s="55"/>
      <x:c r="C210" s="60"/>
      <x:c r="D210" s="55"/>
      <x:c r="E210" s="55"/>
      <x:c r="F210" s="55"/>
      <x:c r="G210" s="55"/>
      <x:c r="H210" s="55"/>
      <x:c r="I210" s="63"/>
      <x:c r="J210" s="63"/>
      <x:c r="K210" s="55"/>
      <x:c r="L210" s="65" t="str">
        <x:f>IF(COUNT(I210,K210)&lt;2,"",I210-K210)</x:f>
      </x:c>
      <x:c r="M210" s="56"/>
      <x:c r="N210" s="56"/>
      <x:c r="O210" s="56"/>
      <x:c r="P210" s="55"/>
      <x:c r="Q210" s="55"/>
      <x:c r="R210" s="56"/>
      <x:c r="S210" s="56"/>
      <x:c r="T210" s="56"/>
      <x:c r="U210" s="55"/>
      <x:c r="V210" s="55"/>
      <x:c r="W210" s="55"/>
      <x:c r="X210" s="55"/>
      <x:c r="Y210" s="55"/>
      <x:c r="Z210" s="56"/>
      <x:c r="AA210" s="55"/>
      <x:c r="AC210" t="n">
        <x:f>IF(OR(A210="",D210=""),0,IF(COUNTIFS($A$17:A210,A210,$D$17:D210,D210)=1,1,0))</x:f>
        <x:v>0</x:v>
      </x:c>
      <x:c r="AD210" t="n">
        <x:f>IF(AC210=0,0,IF(OR(ISNUMBER(O210),P210="PO issued",P210="Under manufacturing",P210="Inspection pending",P210="Ready for dispatch",P210="Dispatched",P210="Partly received",P210="Fully received"),1,0))</x:f>
        <x:v>0</x:v>
      </x:c>
      <x:c r="AE210" t="n">
        <x:f>IF(AC210=0,0,IF(P210="Fully received",1,0))</x:f>
        <x:v>0</x:v>
      </x:c>
      <x:c r="AF210" t="n">
        <x:f>IF(AC210=0,0,1-AD210)</x:f>
        <x:v>0</x:v>
      </x:c>
    </x:row>
    <x:row r="211" ht="28" customHeight="1">
      <x:c r="A211" s="55"/>
      <x:c r="B211" s="55"/>
      <x:c r="C211" s="60"/>
      <x:c r="D211" s="55"/>
      <x:c r="E211" s="55"/>
      <x:c r="F211" s="55"/>
      <x:c r="G211" s="55"/>
      <x:c r="H211" s="55"/>
      <x:c r="I211" s="63"/>
      <x:c r="J211" s="63"/>
      <x:c r="K211" s="55"/>
      <x:c r="L211" s="65" t="str">
        <x:f>IF(COUNT(I211,K211)&lt;2,"",I211-K211)</x:f>
      </x:c>
      <x:c r="M211" s="56"/>
      <x:c r="N211" s="56"/>
      <x:c r="O211" s="56"/>
      <x:c r="P211" s="55"/>
      <x:c r="Q211" s="55"/>
      <x:c r="R211" s="56"/>
      <x:c r="S211" s="56"/>
      <x:c r="T211" s="56"/>
      <x:c r="U211" s="55"/>
      <x:c r="V211" s="55"/>
      <x:c r="W211" s="55"/>
      <x:c r="X211" s="55"/>
      <x:c r="Y211" s="55"/>
      <x:c r="Z211" s="56"/>
      <x:c r="AA211" s="55"/>
      <x:c r="AC211" t="n">
        <x:f>IF(OR(A211="",D211=""),0,IF(COUNTIFS($A$17:A211,A211,$D$17:D211,D211)=1,1,0))</x:f>
        <x:v>0</x:v>
      </x:c>
      <x:c r="AD211" t="n">
        <x:f>IF(AC211=0,0,IF(OR(ISNUMBER(O211),P211="PO issued",P211="Under manufacturing",P211="Inspection pending",P211="Ready for dispatch",P211="Dispatched",P211="Partly received",P211="Fully received"),1,0))</x:f>
        <x:v>0</x:v>
      </x:c>
      <x:c r="AE211" t="n">
        <x:f>IF(AC211=0,0,IF(P211="Fully received",1,0))</x:f>
        <x:v>0</x:v>
      </x:c>
      <x:c r="AF211" t="n">
        <x:f>IF(AC211=0,0,1-AD211)</x:f>
        <x:v>0</x:v>
      </x:c>
    </x:row>
    <x:row r="212" ht="28" customHeight="1">
      <x:c r="A212" s="55"/>
      <x:c r="B212" s="55"/>
      <x:c r="C212" s="60"/>
      <x:c r="D212" s="55"/>
      <x:c r="E212" s="55"/>
      <x:c r="F212" s="55"/>
      <x:c r="G212" s="55"/>
      <x:c r="H212" s="55"/>
      <x:c r="I212" s="63"/>
      <x:c r="J212" s="63"/>
      <x:c r="K212" s="55"/>
      <x:c r="L212" s="65" t="str">
        <x:f>IF(COUNT(I212,K212)&lt;2,"",I212-K212)</x:f>
      </x:c>
      <x:c r="M212" s="56"/>
      <x:c r="N212" s="56"/>
      <x:c r="O212" s="56"/>
      <x:c r="P212" s="55"/>
      <x:c r="Q212" s="55"/>
      <x:c r="R212" s="56"/>
      <x:c r="S212" s="56"/>
      <x:c r="T212" s="56"/>
      <x:c r="U212" s="55"/>
      <x:c r="V212" s="55"/>
      <x:c r="W212" s="55"/>
      <x:c r="X212" s="55"/>
      <x:c r="Y212" s="55"/>
      <x:c r="Z212" s="56"/>
      <x:c r="AA212" s="55"/>
      <x:c r="AC212" t="n">
        <x:f>IF(OR(A212="",D212=""),0,IF(COUNTIFS($A$17:A212,A212,$D$17:D212,D212)=1,1,0))</x:f>
        <x:v>0</x:v>
      </x:c>
      <x:c r="AD212" t="n">
        <x:f>IF(AC212=0,0,IF(OR(ISNUMBER(O212),P212="PO issued",P212="Under manufacturing",P212="Inspection pending",P212="Ready for dispatch",P212="Dispatched",P212="Partly received",P212="Fully received"),1,0))</x:f>
        <x:v>0</x:v>
      </x:c>
      <x:c r="AE212" t="n">
        <x:f>IF(AC212=0,0,IF(P212="Fully received",1,0))</x:f>
        <x:v>0</x:v>
      </x:c>
      <x:c r="AF212" t="n">
        <x:f>IF(AC212=0,0,1-AD212)</x:f>
        <x:v>0</x:v>
      </x:c>
    </x:row>
    <x:row r="213" ht="28" customHeight="1">
      <x:c r="A213" s="55"/>
      <x:c r="B213" s="55"/>
      <x:c r="C213" s="60"/>
      <x:c r="D213" s="55"/>
      <x:c r="E213" s="55"/>
      <x:c r="F213" s="55"/>
      <x:c r="G213" s="55"/>
      <x:c r="H213" s="55"/>
      <x:c r="I213" s="63"/>
      <x:c r="J213" s="63"/>
      <x:c r="K213" s="55"/>
      <x:c r="L213" s="65" t="str">
        <x:f>IF(COUNT(I213,K213)&lt;2,"",I213-K213)</x:f>
      </x:c>
      <x:c r="M213" s="56"/>
      <x:c r="N213" s="56"/>
      <x:c r="O213" s="56"/>
      <x:c r="P213" s="55"/>
      <x:c r="Q213" s="55"/>
      <x:c r="R213" s="56"/>
      <x:c r="S213" s="56"/>
      <x:c r="T213" s="56"/>
      <x:c r="U213" s="55"/>
      <x:c r="V213" s="55"/>
      <x:c r="W213" s="55"/>
      <x:c r="X213" s="55"/>
      <x:c r="Y213" s="55"/>
      <x:c r="Z213" s="56"/>
      <x:c r="AA213" s="55"/>
      <x:c r="AC213" t="n">
        <x:f>IF(OR(A213="",D213=""),0,IF(COUNTIFS($A$17:A213,A213,$D$17:D213,D213)=1,1,0))</x:f>
        <x:v>0</x:v>
      </x:c>
      <x:c r="AD213" t="n">
        <x:f>IF(AC213=0,0,IF(OR(ISNUMBER(O213),P213="PO issued",P213="Under manufacturing",P213="Inspection pending",P213="Ready for dispatch",P213="Dispatched",P213="Partly received",P213="Fully received"),1,0))</x:f>
        <x:v>0</x:v>
      </x:c>
      <x:c r="AE213" t="n">
        <x:f>IF(AC213=0,0,IF(P213="Fully received",1,0))</x:f>
        <x:v>0</x:v>
      </x:c>
      <x:c r="AF213" t="n">
        <x:f>IF(AC213=0,0,1-AD213)</x:f>
        <x:v>0</x:v>
      </x:c>
    </x:row>
    <x:row r="214" ht="28" customHeight="1">
      <x:c r="A214" s="55"/>
      <x:c r="B214" s="55"/>
      <x:c r="C214" s="60"/>
      <x:c r="D214" s="55"/>
      <x:c r="E214" s="55"/>
      <x:c r="F214" s="55"/>
      <x:c r="G214" s="55"/>
      <x:c r="H214" s="55"/>
      <x:c r="I214" s="63"/>
      <x:c r="J214" s="63"/>
      <x:c r="K214" s="55"/>
      <x:c r="L214" s="65" t="str">
        <x:f>IF(COUNT(I214,K214)&lt;2,"",I214-K214)</x:f>
      </x:c>
      <x:c r="M214" s="56"/>
      <x:c r="N214" s="56"/>
      <x:c r="O214" s="56"/>
      <x:c r="P214" s="55"/>
      <x:c r="Q214" s="55"/>
      <x:c r="R214" s="56"/>
      <x:c r="S214" s="56"/>
      <x:c r="T214" s="56"/>
      <x:c r="U214" s="55"/>
      <x:c r="V214" s="55"/>
      <x:c r="W214" s="55"/>
      <x:c r="X214" s="55"/>
      <x:c r="Y214" s="55"/>
      <x:c r="Z214" s="56"/>
      <x:c r="AA214" s="55"/>
      <x:c r="AC214" t="n">
        <x:f>IF(OR(A214="",D214=""),0,IF(COUNTIFS($A$17:A214,A214,$D$17:D214,D214)=1,1,0))</x:f>
        <x:v>0</x:v>
      </x:c>
      <x:c r="AD214" t="n">
        <x:f>IF(AC214=0,0,IF(OR(ISNUMBER(O214),P214="PO issued",P214="Under manufacturing",P214="Inspection pending",P214="Ready for dispatch",P214="Dispatched",P214="Partly received",P214="Fully received"),1,0))</x:f>
        <x:v>0</x:v>
      </x:c>
      <x:c r="AE214" t="n">
        <x:f>IF(AC214=0,0,IF(P214="Fully received",1,0))</x:f>
        <x:v>0</x:v>
      </x:c>
      <x:c r="AF214" t="n">
        <x:f>IF(AC214=0,0,1-AD214)</x:f>
        <x:v>0</x:v>
      </x:c>
    </x:row>
    <x:row r="215" ht="28" customHeight="1">
      <x:c r="A215" s="55"/>
      <x:c r="B215" s="55"/>
      <x:c r="C215" s="60"/>
      <x:c r="D215" s="55"/>
      <x:c r="E215" s="55"/>
      <x:c r="F215" s="55"/>
      <x:c r="G215" s="55"/>
      <x:c r="H215" s="55"/>
      <x:c r="I215" s="63"/>
      <x:c r="J215" s="63"/>
      <x:c r="K215" s="55"/>
      <x:c r="L215" s="65" t="str">
        <x:f>IF(COUNT(I215,K215)&lt;2,"",I215-K215)</x:f>
      </x:c>
      <x:c r="M215" s="56"/>
      <x:c r="N215" s="56"/>
      <x:c r="O215" s="56"/>
      <x:c r="P215" s="55"/>
      <x:c r="Q215" s="55"/>
      <x:c r="R215" s="56"/>
      <x:c r="S215" s="56"/>
      <x:c r="T215" s="56"/>
      <x:c r="U215" s="55"/>
      <x:c r="V215" s="55"/>
      <x:c r="W215" s="55"/>
      <x:c r="X215" s="55"/>
      <x:c r="Y215" s="55"/>
      <x:c r="Z215" s="56"/>
      <x:c r="AA215" s="55"/>
      <x:c r="AC215" t="n">
        <x:f>IF(OR(A215="",D215=""),0,IF(COUNTIFS($A$17:A215,A215,$D$17:D215,D215)=1,1,0))</x:f>
        <x:v>0</x:v>
      </x:c>
      <x:c r="AD215" t="n">
        <x:f>IF(AC215=0,0,IF(OR(ISNUMBER(O215),P215="PO issued",P215="Under manufacturing",P215="Inspection pending",P215="Ready for dispatch",P215="Dispatched",P215="Partly received",P215="Fully received"),1,0))</x:f>
        <x:v>0</x:v>
      </x:c>
      <x:c r="AE215" t="n">
        <x:f>IF(AC215=0,0,IF(P215="Fully received",1,0))</x:f>
        <x:v>0</x:v>
      </x:c>
      <x:c r="AF215" t="n">
        <x:f>IF(AC215=0,0,1-AD215)</x:f>
        <x:v>0</x:v>
      </x:c>
    </x:row>
    <x:row r="216" ht="28" customHeight="1">
      <x:c r="A216" s="55"/>
      <x:c r="B216" s="55"/>
      <x:c r="C216" s="60"/>
      <x:c r="D216" s="55"/>
      <x:c r="E216" s="55"/>
      <x:c r="F216" s="55"/>
      <x:c r="G216" s="55"/>
      <x:c r="H216" s="55"/>
      <x:c r="I216" s="63"/>
      <x:c r="J216" s="63"/>
      <x:c r="K216" s="55"/>
      <x:c r="L216" s="65" t="str">
        <x:f>IF(COUNT(I216,K216)&lt;2,"",I216-K216)</x:f>
      </x:c>
      <x:c r="M216" s="56"/>
      <x:c r="N216" s="56"/>
      <x:c r="O216" s="56"/>
      <x:c r="P216" s="55"/>
      <x:c r="Q216" s="55"/>
      <x:c r="R216" s="56"/>
      <x:c r="S216" s="56"/>
      <x:c r="T216" s="56"/>
      <x:c r="U216" s="55"/>
      <x:c r="V216" s="55"/>
      <x:c r="W216" s="55"/>
      <x:c r="X216" s="55"/>
      <x:c r="Y216" s="55"/>
      <x:c r="Z216" s="56"/>
      <x:c r="AA216" s="55"/>
      <x:c r="AC216" t="n">
        <x:f>IF(OR(A216="",D216=""),0,IF(COUNTIFS($A$17:A216,A216,$D$17:D216,D216)=1,1,0))</x:f>
        <x:v>0</x:v>
      </x:c>
      <x:c r="AD216" t="n">
        <x:f>IF(AC216=0,0,IF(OR(ISNUMBER(O216),P216="PO issued",P216="Under manufacturing",P216="Inspection pending",P216="Ready for dispatch",P216="Dispatched",P216="Partly received",P216="Fully received"),1,0))</x:f>
        <x:v>0</x:v>
      </x:c>
      <x:c r="AE216" t="n">
        <x:f>IF(AC216=0,0,IF(P216="Fully received",1,0))</x:f>
        <x:v>0</x:v>
      </x:c>
      <x:c r="AF216" t="n">
        <x:f>IF(AC216=0,0,1-AD216)</x:f>
        <x:v>0</x:v>
      </x:c>
    </x:row>
  </x:sheetData>
  <x:conditionalFormatting sqref="L17:L216">
    <x:cfRule type="expression" dxfId="31" priority="1">
      <x:formula>AND(ISNUMBER(L17),L17&lt;0)</x:formula>
    </x:cfRule>
  </x:conditionalFormatting>
  <x:conditionalFormatting sqref="D17:D216">
    <x:cfRule type="expression" dxfId="34" priority="2">
      <x:formula>AND(D17&lt;&gt;"",COUNTIFS($A$17:$A$216,$A17,$D$17:$D$216,D17)&gt;1)</x:formula>
    </x:cfRule>
  </x:conditionalFormatting>
  <x:dataValidations count="5">
    <x:dataValidation type="list" sqref="B4">
      <x:formula1>INDIRECT("'Project Status &amp; EVM'!$A$17:$A$216")</x:formula1>
    </x:dataValidation>
    <x:dataValidation type="list" sqref="P17:P216">
      <x:formula1>"Requirement finalised,Enquiry issued,Offers under evaluation,Approval pending,PO issued,Under manufacturing,Inspection pending,Ready for dispatch,Dispatched,Partly received,Fully received,On hold,Cancelled"</x:formula1>
    </x:dataValidation>
    <x:dataValidation type="list" sqref="Q17:Q216">
      <x:formula1>"Requirement finalised,Enquiry issued,Offers under evaluation,Approval pending,PO issued,Under manufacturing,Inspection pending,Ready for dispatch,Dispatched,Partly received,Fully received,On hold,Cancelled"</x:formula1>
    </x:dataValidation>
    <x:dataValidation type="list" sqref="A17:A216">
      <x:formula1>INDIRECT("'Project Status &amp; EVM'!$A$17:$A$216")</x:formula1>
    </x:dataValidation>
    <x:dataValidation type="list" sqref="Y17:Y216">
      <x:formula1>INDIRECT("'MD Decisions'!$C$17:$C$216")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67a15da4f549bc"/>
  </x:tableParts>
</x:worksheet>
</file>

<file path=xl/worksheets/sheet8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22" hidden="0" customWidth="1"/>
    <x:col min="5" max="5" width="46" hidden="0" customWidth="1"/>
    <x:col min="6" max="6" width="22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  <x:col min="11" max="11" width="18" hidden="0" customWidth="1"/>
    <x:col min="12" max="12" width="22" hidden="0" customWidth="1"/>
    <x:col min="13" max="13" width="46" hidden="0" customWidth="1"/>
    <x:col min="14" max="14" width="25" hidden="0" customWidth="1"/>
    <x:col min="15" max="15" width="17" hidden="0" customWidth="1"/>
    <x:col min="16" max="16" width="46" hidden="0" customWidth="1"/>
    <x:col min="17" max="17" width="22" hidden="0" customWidth="1"/>
    <x:col min="18" max="18" width="25" hidden="0" customWidth="1"/>
    <x:col min="19" max="19" width="25" hidden="0" customWidth="1"/>
    <x:col min="20" max="20" width="17" hidden="0" customWidth="1"/>
    <x:col min="21" max="21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0" customHeight="1">
      <x:c r="A2" s="4" t="str">
        <x:v>8. Lookahead Plan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4" customHeight="1">
      <x:c r="A4" s="3" t="str">
        <x:v>Project code</x:v>
      </x:c>
      <x:c r="B4" s="6" t="str">
        <x:v>S25WRJ01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4" customHeight="1">
      <x:c r="A5" s="3" t="str">
        <x:v>Review date</x:v>
      </x:c>
      <x:c r="B5" s="8" t="n">
        <x:v>46285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4" customHeight="1">
      <x:c r="A11" s="3" t="str">
        <x:v>One row per project/activity/week. Actual output remains in Construction &amp; Resources using the same project, activity ID and week.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4" customHeight="1">
      <x:c r="A12" s="3" t="str">
        <x:v>Red clearance dates indicate a deliberate test conflict: clearance is later than planned start. Actual output is on Construction &amp; Resources.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54" customHeight="1">
      <x:c r="A16" s="13" t="str">
        <x:v>Project code</x:v>
      </x:c>
      <x:c r="B16" s="13" t="str">
        <x:v>Site / location</x:v>
      </x:c>
      <x:c r="C16" s="13" t="str">
        <x:v>Plan Month</x:v>
      </x:c>
      <x:c r="D16" s="13" t="str">
        <x:v>Front / activity ID</x:v>
      </x:c>
      <x:c r="E16" s="13" t="str">
        <x:v>Work front / structure</x:v>
      </x:c>
      <x:c r="F16" s="13" t="str">
        <x:v>Planned activity</x:v>
      </x:c>
      <x:c r="G16" s="13" t="str">
        <x:v>Week starting</x:v>
      </x:c>
      <x:c r="H16" s="13" t="str">
        <x:v>Planned start</x:v>
      </x:c>
      <x:c r="I16" s="13" t="str">
        <x:v>Planned finish</x:v>
      </x:c>
      <x:c r="J16" s="13" t="str">
        <x:v>Unit</x:v>
      </x:c>
      <x:c r="K16" s="13" t="str">
        <x:v>Planned quantity for the week</x:v>
      </x:c>
      <x:c r="L16" s="13" t="str">
        <x:v>Execution readiness</x:v>
      </x:c>
      <x:c r="M16" s="13" t="str">
        <x:v>Constraint / support required</x:v>
      </x:c>
      <x:c r="N16" s="13" t="str">
        <x:v>Constraint owner</x:v>
      </x:c>
      <x:c r="O16" s="13" t="str">
        <x:v>Constraint clearance target date</x:v>
      </x:c>
      <x:c r="P16" s="13" t="str">
        <x:v>MD support required</x:v>
      </x:c>
      <x:c r="Q16" s="13" t="str">
        <x:v>Linked Decision ID</x:v>
      </x:c>
      <x:c r="R16" s="13" t="str">
        <x:v>Activity owner</x:v>
      </x:c>
      <x:c r="S16" s="13" t="str">
        <x:v>Activity status</x:v>
      </x:c>
      <x:c r="T16" s="13" t="str">
        <x:v>Last updated</x:v>
      </x:c>
      <x:c r="U16" s="13" t="str">
        <x:v>Source / entry notes</x:v>
      </x:c>
    </x:row>
    <x:row r="17" ht="102" customHeight="1">
      <x:c r="A17" s="55" t="str">
        <x:v>S25WRJ01</x:v>
      </x:c>
      <x:c r="B17" s="55" t="str">
        <x:v>P1-SITE-1</x:v>
      </x:c>
      <x:c r="C17" s="60" t="n">
        <x:v>46266</x:v>
      </x:c>
      <x:c r="D17" s="55" t="str">
        <x:v>S25WRJ01-ACT-01</x:v>
      </x:c>
      <x:c r="E17" s="55" t="str">
        <x:v>Clear water reservoir</x:v>
      </x:c>
      <x:c r="F17" s="55" t="str">
        <x:v>RCC concreting</x:v>
      </x:c>
      <x:c r="G17" s="56" t="n">
        <x:v>46272</x:v>
      </x:c>
      <x:c r="H17" s="56" t="n">
        <x:v>46272</x:v>
      </x:c>
      <x:c r="I17" s="56" t="n">
        <x:v>46276</x:v>
      </x:c>
      <x:c r="J17" s="55" t="str">
        <x:v>m3</x:v>
      </x:c>
      <x:c r="K17" s="63" t="n">
        <x:v>200</x:v>
      </x:c>
      <x:c r="L17" s="55" t="str">
        <x:v>Ready</x:v>
      </x:c>
      <x:c r="M17" s="55" t="str">
        <x:v>No current shortage; resolved test item.</x:v>
      </x:c>
      <x:c r="N17" s="55" t="str">
        <x:v>Demo Construction Lead P1</x:v>
      </x:c>
      <x:c r="O17" s="56" t="n">
        <x:v>46271</x:v>
      </x:c>
      <x:c r="P17" s="55" t="str">
        <x:v>No further support; completed.</x:v>
      </x:c>
      <x:c r="Q17" s="55" t="str">
        <x:v>S25WRJ01-DEC-01</x:v>
      </x:c>
      <x:c r="R17" s="55" t="str">
        <x:v>Demo Site Engineer P1</x:v>
      </x:c>
      <x:c r="S17" s="55" t="str">
        <x:v>Completed</x:v>
      </x:c>
      <x:c r="T17" s="56" t="n">
        <x:v>46285</x:v>
      </x:c>
      <x:c r="U17" s="55" t="str">
        <x:v>FICTIONAL TEST DATA. All people, quantities, money, dates and statuses are invented; not project records.</x:v>
      </x:c>
    </x:row>
    <x:row r="18" ht="102" customHeight="1">
      <x:c r="A18" s="55" t="str">
        <x:v>S25WRJ01</x:v>
      </x:c>
      <x:c r="B18" s="55" t="str">
        <x:v>P1-SITE-2</x:v>
      </x:c>
      <x:c r="C18" s="60" t="n">
        <x:v>46266</x:v>
      </x:c>
      <x:c r="D18" s="55" t="str">
        <x:v>S25WRJ01-ACT-02</x:v>
      </x:c>
      <x:c r="E18" s="55" t="str">
        <x:v>Pipe corridor</x:v>
      </x:c>
      <x:c r="F18" s="55" t="str">
        <x:v>RCC concreting</x:v>
      </x:c>
      <x:c r="G18" s="56" t="n">
        <x:v>46279</x:v>
      </x:c>
      <x:c r="H18" s="56" t="n">
        <x:v>46279</x:v>
      </x:c>
      <x:c r="I18" s="56" t="n">
        <x:v>46283</x:v>
      </x:c>
      <x:c r="J18" s="55" t="str">
        <x:v>m3</x:v>
      </x:c>
      <x:c r="K18" s="63" t="n">
        <x:v>220</x:v>
      </x:c>
      <x:c r="L18" s="55" t="str">
        <x:v>At risk</x:v>
      </x:c>
      <x:c r="M18" s="55" t="str">
        <x:v>One standby concrete pump required.</x:v>
      </x:c>
      <x:c r="N18" s="55" t="str">
        <x:v>Demo Construction Lead P1</x:v>
      </x:c>
      <x:c r="O18" s="56" t="n">
        <x:v>46278</x:v>
      </x:c>
      <x:c r="P18" s="55" t="str">
        <x:v>Mobilise the listed resource and confirm readiness before start.</x:v>
      </x:c>
      <x:c r="Q18" s="55" t="str">
        <x:v>S25WRJ01-DEC-02</x:v>
      </x:c>
      <x:c r="R18" s="55" t="str">
        <x:v>Demo Site Engineer P1</x:v>
      </x:c>
      <x:c r="S18" s="55" t="str">
        <x:v>In progress</x:v>
      </x:c>
      <x:c r="T18" s="56" t="n">
        <x:v>46285</x:v>
      </x:c>
      <x:c r="U18" s="55" t="str">
        <x:v>FICTIONAL TEST DATA. All people, quantities, money, dates and statuses are invented; not project records.</x:v>
      </x:c>
    </x:row>
    <x:row r="19" ht="102" customHeight="1">
      <x:c r="A19" s="55" t="str">
        <x:v>S25WRJ01</x:v>
      </x:c>
      <x:c r="B19" s="55" t="str">
        <x:v>P1-SITE-1</x:v>
      </x:c>
      <x:c r="C19" s="60" t="n">
        <x:v>46266</x:v>
      </x:c>
      <x:c r="D19" s="55" t="str">
        <x:v>S25WRJ01-ACT-03</x:v>
      </x:c>
      <x:c r="E19" s="55" t="str">
        <x:v>Pump house</x:v>
      </x:c>
      <x:c r="F19" s="55" t="str">
        <x:v>RCC concreting</x:v>
      </x:c>
      <x:c r="G19" s="56" t="n">
        <x:v>46286</x:v>
      </x:c>
      <x:c r="H19" s="56" t="n">
        <x:v>46286</x:v>
      </x:c>
      <x:c r="I19" s="56" t="n">
        <x:v>46290</x:v>
      </x:c>
      <x:c r="J19" s="55" t="str">
        <x:v>m3</x:v>
      </x:c>
      <x:c r="K19" s="63" t="n">
        <x:v>240</x:v>
      </x:c>
      <x:c r="L19" s="55" t="str">
        <x:v>Blocked</x:v>
      </x:c>
      <x:c r="M19" s="55" t="str">
        <x:v>Mobilise one crane and 150 m2 shuttering.</x:v>
      </x:c>
      <x:c r="N19" s="55" t="str">
        <x:v>Demo Construction Lead P1</x:v>
      </x:c>
      <x:c r="O19" s="56" t="n">
        <x:v>46288</x:v>
      </x:c>
      <x:c r="P19" s="55" t="str">
        <x:v>Mobilise the listed resource and confirm readiness before start.</x:v>
      </x:c>
      <x:c r="Q19" s="55" t="str">
        <x:v>S25WRJ01-DEC-03</x:v>
      </x:c>
      <x:c r="R19" s="55" t="str">
        <x:v>Demo Site Engineer P1</x:v>
      </x:c>
      <x:c r="S19" s="55" t="str">
        <x:v>Not started</x:v>
      </x:c>
      <x:c r="T19" s="56" t="n">
        <x:v>46285</x:v>
      </x:c>
      <x:c r="U19" s="55" t="str">
        <x:v>FICTIONAL TEST DATA. All people, quantities, money, dates and statuses are invented; not project records.</x:v>
      </x:c>
    </x:row>
    <x:row r="20" ht="102" customHeight="1">
      <x:c r="A20" s="55" t="str">
        <x:v>S25WRJ01</x:v>
      </x:c>
      <x:c r="B20" s="55" t="str">
        <x:v>P1-SITE-2</x:v>
      </x:c>
      <x:c r="C20" s="60" t="n">
        <x:v>46266</x:v>
      </x:c>
      <x:c r="D20" s="55" t="str">
        <x:v>S25WRJ01-ACT-04</x:v>
      </x:c>
      <x:c r="E20" s="55" t="str">
        <x:v>Treatment plant</x:v>
      </x:c>
      <x:c r="F20" s="55" t="str">
        <x:v>Earth excavation</x:v>
      </x:c>
      <x:c r="G20" s="56" t="n">
        <x:v>46293</x:v>
      </x:c>
      <x:c r="H20" s="56" t="n">
        <x:v>46293</x:v>
      </x:c>
      <x:c r="I20" s="56" t="n">
        <x:v>46295</x:v>
      </x:c>
      <x:c r="J20" s="55" t="str">
        <x:v>m3</x:v>
      </x:c>
      <x:c r="K20" s="63" t="n">
        <x:v>260</x:v>
      </x:c>
      <x:c r="L20" s="55" t="str">
        <x:v>Ready</x:v>
      </x:c>
      <x:c r="M20" s="55" t="str">
        <x:v>Reserve one excavator and two dumpers.</x:v>
      </x:c>
      <x:c r="N20" s="55" t="str">
        <x:v>Demo Construction Lead P1</x:v>
      </x:c>
      <x:c r="O20" s="56" t="n">
        <x:v>46292</x:v>
      </x:c>
      <x:c r="P20" s="55" t="str">
        <x:v>Mobilise the listed resource and confirm readiness before start.</x:v>
      </x:c>
      <x:c r="Q20" s="55" t="str">
        <x:v>S25WRJ01-DEC-04</x:v>
      </x:c>
      <x:c r="R20" s="55" t="str">
        <x:v>Demo Site Engineer P1</x:v>
      </x:c>
      <x:c r="S20" s="55" t="str">
        <x:v>Not started</x:v>
      </x:c>
      <x:c r="T20" s="56" t="n">
        <x:v>46285</x:v>
      </x:c>
      <x:c r="U20" s="55" t="str">
        <x:v>FICTIONAL TEST DATA. All people, quantities, money, dates and statuses are invented; not project records.</x:v>
      </x:c>
    </x:row>
    <x:row r="21" ht="102" customHeight="1">
      <x:c r="A21" s="55" t="str">
        <x:v>S25WJH01</x:v>
      </x:c>
      <x:c r="B21" s="55" t="str">
        <x:v>P2-SITE-1</x:v>
      </x:c>
      <x:c r="C21" s="60" t="n">
        <x:v>46266</x:v>
      </x:c>
      <x:c r="D21" s="55" t="str">
        <x:v>S25WJH01-ACT-01</x:v>
      </x:c>
      <x:c r="E21" s="55" t="str">
        <x:v>Canal headworks</x:v>
      </x:c>
      <x:c r="F21" s="55" t="str">
        <x:v>RCC concreting</x:v>
      </x:c>
      <x:c r="G21" s="56" t="n">
        <x:v>46272</x:v>
      </x:c>
      <x:c r="H21" s="56" t="n">
        <x:v>46272</x:v>
      </x:c>
      <x:c r="I21" s="56" t="n">
        <x:v>46276</x:v>
      </x:c>
      <x:c r="J21" s="55" t="str">
        <x:v>m3</x:v>
      </x:c>
      <x:c r="K21" s="63" t="n">
        <x:v>225</x:v>
      </x:c>
      <x:c r="L21" s="55" t="str">
        <x:v>Ready</x:v>
      </x:c>
      <x:c r="M21" s="55" t="str">
        <x:v>No current shortage; resolved test item.</x:v>
      </x:c>
      <x:c r="N21" s="55" t="str">
        <x:v>Demo Construction Lead P2</x:v>
      </x:c>
      <x:c r="O21" s="56" t="n">
        <x:v>46271</x:v>
      </x:c>
      <x:c r="P21" s="55" t="str">
        <x:v>No further support; completed.</x:v>
      </x:c>
      <x:c r="Q21" s="55" t="str">
        <x:v>S25WJH01-DEC-01</x:v>
      </x:c>
      <x:c r="R21" s="55" t="str">
        <x:v>Demo Site Engineer P2</x:v>
      </x:c>
      <x:c r="S21" s="55" t="str">
        <x:v>Completed</x:v>
      </x:c>
      <x:c r="T21" s="56" t="n">
        <x:v>46285</x:v>
      </x:c>
      <x:c r="U21" s="55" t="str">
        <x:v>FICTIONAL TEST DATA. All people, quantities, money, dates and statuses are invented; not project records.</x:v>
      </x:c>
    </x:row>
    <x:row r="22" ht="102" customHeight="1">
      <x:c r="A22" s="55" t="str">
        <x:v>S25WJH01</x:v>
      </x:c>
      <x:c r="B22" s="55" t="str">
        <x:v>P2-SITE-2</x:v>
      </x:c>
      <x:c r="C22" s="60" t="n">
        <x:v>46266</x:v>
      </x:c>
      <x:c r="D22" s="55" t="str">
        <x:v>S25WJH01-ACT-02</x:v>
      </x:c>
      <x:c r="E22" s="55" t="str">
        <x:v>Canal reach</x:v>
      </x:c>
      <x:c r="F22" s="55" t="str">
        <x:v>RCC concreting</x:v>
      </x:c>
      <x:c r="G22" s="56" t="n">
        <x:v>46279</x:v>
      </x:c>
      <x:c r="H22" s="56" t="n">
        <x:v>46279</x:v>
      </x:c>
      <x:c r="I22" s="56" t="n">
        <x:v>46283</x:v>
      </x:c>
      <x:c r="J22" s="55" t="str">
        <x:v>m3</x:v>
      </x:c>
      <x:c r="K22" s="63" t="n">
        <x:v>245</x:v>
      </x:c>
      <x:c r="L22" s="55" t="str">
        <x:v>At risk</x:v>
      </x:c>
      <x:c r="M22" s="55" t="str">
        <x:v>One standby concrete pump required.</x:v>
      </x:c>
      <x:c r="N22" s="55" t="str">
        <x:v>Demo Construction Lead P2</x:v>
      </x:c>
      <x:c r="O22" s="56" t="n">
        <x:v>46278</x:v>
      </x:c>
      <x:c r="P22" s="55" t="str">
        <x:v>Mobilise the listed resource and confirm readiness before start.</x:v>
      </x:c>
      <x:c r="Q22" s="55" t="str">
        <x:v>S25WJH01-DEC-02</x:v>
      </x:c>
      <x:c r="R22" s="55" t="str">
        <x:v>Demo Site Engineer P2</x:v>
      </x:c>
      <x:c r="S22" s="55" t="str">
        <x:v>In progress</x:v>
      </x:c>
      <x:c r="T22" s="56" t="n">
        <x:v>46285</x:v>
      </x:c>
      <x:c r="U22" s="55" t="str">
        <x:v>FICTIONAL TEST DATA. All people, quantities, money, dates and statuses are invented; not project records.</x:v>
      </x:c>
    </x:row>
    <x:row r="23" ht="102" customHeight="1">
      <x:c r="A23" s="55" t="str">
        <x:v>S25WJH01</x:v>
      </x:c>
      <x:c r="B23" s="55" t="str">
        <x:v>P2-SITE-1</x:v>
      </x:c>
      <x:c r="C23" s="60" t="n">
        <x:v>46266</x:v>
      </x:c>
      <x:c r="D23" s="55" t="str">
        <x:v>S25WJH01-ACT-03</x:v>
      </x:c>
      <x:c r="E23" s="55" t="str">
        <x:v>Cross regulator</x:v>
      </x:c>
      <x:c r="F23" s="55" t="str">
        <x:v>RCC concreting</x:v>
      </x:c>
      <x:c r="G23" s="56" t="n">
        <x:v>46286</x:v>
      </x:c>
      <x:c r="H23" s="56" t="n">
        <x:v>46286</x:v>
      </x:c>
      <x:c r="I23" s="56" t="n">
        <x:v>46290</x:v>
      </x:c>
      <x:c r="J23" s="55" t="str">
        <x:v>m3</x:v>
      </x:c>
      <x:c r="K23" s="63" t="n">
        <x:v>265</x:v>
      </x:c>
      <x:c r="L23" s="55" t="str">
        <x:v>Blocked</x:v>
      </x:c>
      <x:c r="M23" s="55" t="str">
        <x:v>Mobilise one crane and 150 m2 shuttering.</x:v>
      </x:c>
      <x:c r="N23" s="55" t="str">
        <x:v>Demo Construction Lead P2</x:v>
      </x:c>
      <x:c r="O23" s="56" t="n">
        <x:v>46288</x:v>
      </x:c>
      <x:c r="P23" s="55" t="str">
        <x:v>Mobilise the listed resource and confirm readiness before start.</x:v>
      </x:c>
      <x:c r="Q23" s="55" t="str">
        <x:v>S25WJH01-DEC-03</x:v>
      </x:c>
      <x:c r="R23" s="55" t="str">
        <x:v>Demo Site Engineer P2</x:v>
      </x:c>
      <x:c r="S23" s="55" t="str">
        <x:v>Not started</x:v>
      </x:c>
      <x:c r="T23" s="56" t="n">
        <x:v>46285</x:v>
      </x:c>
      <x:c r="U23" s="55" t="str">
        <x:v>FICTIONAL TEST DATA. All people, quantities, money, dates and statuses are invented; not project records.</x:v>
      </x:c>
    </x:row>
    <x:row r="24" ht="102" customHeight="1">
      <x:c r="A24" s="55" t="str">
        <x:v>S25WJH01</x:v>
      </x:c>
      <x:c r="B24" s="55" t="str">
        <x:v>P2-SITE-2</x:v>
      </x:c>
      <x:c r="C24" s="60" t="n">
        <x:v>46266</x:v>
      </x:c>
      <x:c r="D24" s="55" t="str">
        <x:v>S25WJH01-ACT-04</x:v>
      </x:c>
      <x:c r="E24" s="55" t="str">
        <x:v>Pump station</x:v>
      </x:c>
      <x:c r="F24" s="55" t="str">
        <x:v>Earth excavation</x:v>
      </x:c>
      <x:c r="G24" s="56" t="n">
        <x:v>46293</x:v>
      </x:c>
      <x:c r="H24" s="56" t="n">
        <x:v>46293</x:v>
      </x:c>
      <x:c r="I24" s="56" t="n">
        <x:v>46295</x:v>
      </x:c>
      <x:c r="J24" s="55" t="str">
        <x:v>m3</x:v>
      </x:c>
      <x:c r="K24" s="63" t="n">
        <x:v>285</x:v>
      </x:c>
      <x:c r="L24" s="55" t="str">
        <x:v>Ready</x:v>
      </x:c>
      <x:c r="M24" s="55" t="str">
        <x:v>Reserve one excavator and two dumpers.</x:v>
      </x:c>
      <x:c r="N24" s="55" t="str">
        <x:v>Demo Construction Lead P2</x:v>
      </x:c>
      <x:c r="O24" s="56" t="n">
        <x:v>46292</x:v>
      </x:c>
      <x:c r="P24" s="55" t="str">
        <x:v>Mobilise the listed resource and confirm readiness before start.</x:v>
      </x:c>
      <x:c r="Q24" s="55" t="str">
        <x:v>S25WJH01-DEC-04</x:v>
      </x:c>
      <x:c r="R24" s="55" t="str">
        <x:v>Demo Site Engineer P2</x:v>
      </x:c>
      <x:c r="S24" s="55" t="str">
        <x:v>Not started</x:v>
      </x:c>
      <x:c r="T24" s="56" t="n">
        <x:v>46285</x:v>
      </x:c>
      <x:c r="U24" s="55" t="str">
        <x:v>FICTIONAL TEST DATA. All people, quantities, money, dates and statuses are invented; not project records.</x:v>
      </x:c>
    </x:row>
    <x:row r="25" ht="102" customHeight="1">
      <x:c r="A25" s="55" t="str">
        <x:v>S25WMP01</x:v>
      </x:c>
      <x:c r="B25" s="55" t="str">
        <x:v>P3-SITE-1</x:v>
      </x:c>
      <x:c r="C25" s="60" t="n">
        <x:v>46266</x:v>
      </x:c>
      <x:c r="D25" s="55" t="str">
        <x:v>S25WMP01-ACT-01</x:v>
      </x:c>
      <x:c r="E25" s="55" t="str">
        <x:v>Service reservoir</x:v>
      </x:c>
      <x:c r="F25" s="55" t="str">
        <x:v>RCC concreting</x:v>
      </x:c>
      <x:c r="G25" s="56" t="n">
        <x:v>46272</x:v>
      </x:c>
      <x:c r="H25" s="56" t="n">
        <x:v>46272</x:v>
      </x:c>
      <x:c r="I25" s="56" t="n">
        <x:v>46276</x:v>
      </x:c>
      <x:c r="J25" s="55" t="str">
        <x:v>m3</x:v>
      </x:c>
      <x:c r="K25" s="63" t="n">
        <x:v>250</x:v>
      </x:c>
      <x:c r="L25" s="55" t="str">
        <x:v>Ready</x:v>
      </x:c>
      <x:c r="M25" s="55" t="str">
        <x:v>No current shortage; resolved test item.</x:v>
      </x:c>
      <x:c r="N25" s="55" t="str">
        <x:v>Demo Construction Lead P3</x:v>
      </x:c>
      <x:c r="O25" s="56" t="n">
        <x:v>46271</x:v>
      </x:c>
      <x:c r="P25" s="55" t="str">
        <x:v>No further support; completed.</x:v>
      </x:c>
      <x:c r="Q25" s="55" t="str">
        <x:v>S25WMP01-DEC-01</x:v>
      </x:c>
      <x:c r="R25" s="55" t="str">
        <x:v>Demo Site Engineer P3</x:v>
      </x:c>
      <x:c r="S25" s="55" t="str">
        <x:v>Completed</x:v>
      </x:c>
      <x:c r="T25" s="56" t="n">
        <x:v>46285</x:v>
      </x:c>
      <x:c r="U25" s="55" t="str">
        <x:v>FICTIONAL TEST DATA. All people, quantities, money, dates and statuses are invented; not project records.</x:v>
      </x:c>
    </x:row>
    <x:row r="26" ht="102" customHeight="1">
      <x:c r="A26" s="55" t="str">
        <x:v>S25WMP01</x:v>
      </x:c>
      <x:c r="B26" s="55" t="str">
        <x:v>P3-SITE-2</x:v>
      </x:c>
      <x:c r="C26" s="60" t="n">
        <x:v>46266</x:v>
      </x:c>
      <x:c r="D26" s="55" t="str">
        <x:v>S25WMP01-ACT-02</x:v>
      </x:c>
      <x:c r="E26" s="55" t="str">
        <x:v>Distribution zone</x:v>
      </x:c>
      <x:c r="F26" s="55" t="str">
        <x:v>RCC concreting</x:v>
      </x:c>
      <x:c r="G26" s="56" t="n">
        <x:v>46279</x:v>
      </x:c>
      <x:c r="H26" s="56" t="n">
        <x:v>46279</x:v>
      </x:c>
      <x:c r="I26" s="56" t="n">
        <x:v>46283</x:v>
      </x:c>
      <x:c r="J26" s="55" t="str">
        <x:v>m3</x:v>
      </x:c>
      <x:c r="K26" s="63" t="n">
        <x:v>270</x:v>
      </x:c>
      <x:c r="L26" s="55" t="str">
        <x:v>At risk</x:v>
      </x:c>
      <x:c r="M26" s="55" t="str">
        <x:v>One standby concrete pump required.</x:v>
      </x:c>
      <x:c r="N26" s="55" t="str">
        <x:v>Demo Construction Lead P3</x:v>
      </x:c>
      <x:c r="O26" s="56" t="n">
        <x:v>46278</x:v>
      </x:c>
      <x:c r="P26" s="55" t="str">
        <x:v>Mobilise the listed resource and confirm readiness before start.</x:v>
      </x:c>
      <x:c r="Q26" s="55" t="str">
        <x:v>S25WMP01-DEC-02</x:v>
      </x:c>
      <x:c r="R26" s="55" t="str">
        <x:v>Demo Site Engineer P3</x:v>
      </x:c>
      <x:c r="S26" s="55" t="str">
        <x:v>In progress</x:v>
      </x:c>
      <x:c r="T26" s="56" t="n">
        <x:v>46285</x:v>
      </x:c>
      <x:c r="U26" s="55" t="str">
        <x:v>FICTIONAL TEST DATA. All people, quantities, money, dates and statuses are invented; not project records.</x:v>
      </x:c>
    </x:row>
    <x:row r="27" ht="102" customHeight="1">
      <x:c r="A27" s="55" t="str">
        <x:v>S25WMP01</x:v>
      </x:c>
      <x:c r="B27" s="55" t="str">
        <x:v>P3-SITE-1</x:v>
      </x:c>
      <x:c r="C27" s="60" t="n">
        <x:v>46266</x:v>
      </x:c>
      <x:c r="D27" s="55" t="str">
        <x:v>S25WMP01-ACT-03</x:v>
      </x:c>
      <x:c r="E27" s="55" t="str">
        <x:v>Pump house</x:v>
      </x:c>
      <x:c r="F27" s="55" t="str">
        <x:v>RCC concreting</x:v>
      </x:c>
      <x:c r="G27" s="56" t="n">
        <x:v>46286</x:v>
      </x:c>
      <x:c r="H27" s="56" t="n">
        <x:v>46286</x:v>
      </x:c>
      <x:c r="I27" s="56" t="n">
        <x:v>46290</x:v>
      </x:c>
      <x:c r="J27" s="55" t="str">
        <x:v>m3</x:v>
      </x:c>
      <x:c r="K27" s="63" t="n">
        <x:v>290</x:v>
      </x:c>
      <x:c r="L27" s="55" t="str">
        <x:v>Blocked</x:v>
      </x:c>
      <x:c r="M27" s="55" t="str">
        <x:v>Mobilise one crane and 150 m2 shuttering.</x:v>
      </x:c>
      <x:c r="N27" s="55" t="str">
        <x:v>Demo Construction Lead P3</x:v>
      </x:c>
      <x:c r="O27" s="56" t="n">
        <x:v>46288</x:v>
      </x:c>
      <x:c r="P27" s="55" t="str">
        <x:v>Mobilise the listed resource and confirm readiness before start.</x:v>
      </x:c>
      <x:c r="Q27" s="55" t="str">
        <x:v>S25WMP01-DEC-03</x:v>
      </x:c>
      <x:c r="R27" s="55" t="str">
        <x:v>Demo Site Engineer P3</x:v>
      </x:c>
      <x:c r="S27" s="55" t="str">
        <x:v>Not started</x:v>
      </x:c>
      <x:c r="T27" s="56" t="n">
        <x:v>46285</x:v>
      </x:c>
      <x:c r="U27" s="55" t="str">
        <x:v>FICTIONAL TEST DATA. All people, quantities, money, dates and statuses are invented; not project records.</x:v>
      </x:c>
    </x:row>
    <x:row r="28" ht="102" customHeight="1">
      <x:c r="A28" s="55" t="str">
        <x:v>S25WMP01</x:v>
      </x:c>
      <x:c r="B28" s="55" t="str">
        <x:v>P3-SITE-2</x:v>
      </x:c>
      <x:c r="C28" s="60" t="n">
        <x:v>46266</x:v>
      </x:c>
      <x:c r="D28" s="55" t="str">
        <x:v>S25WMP01-ACT-04</x:v>
      </x:c>
      <x:c r="E28" s="55" t="str">
        <x:v>Water treatment plant</x:v>
      </x:c>
      <x:c r="F28" s="55" t="str">
        <x:v>Earth excavation</x:v>
      </x:c>
      <x:c r="G28" s="56" t="n">
        <x:v>46293</x:v>
      </x:c>
      <x:c r="H28" s="56" t="n">
        <x:v>46293</x:v>
      </x:c>
      <x:c r="I28" s="56" t="n">
        <x:v>46295</x:v>
      </x:c>
      <x:c r="J28" s="55" t="str">
        <x:v>m3</x:v>
      </x:c>
      <x:c r="K28" s="63" t="n">
        <x:v>310</x:v>
      </x:c>
      <x:c r="L28" s="55" t="str">
        <x:v>Ready</x:v>
      </x:c>
      <x:c r="M28" s="55" t="str">
        <x:v>Reserve one excavator and two dumpers.</x:v>
      </x:c>
      <x:c r="N28" s="55" t="str">
        <x:v>Demo Construction Lead P3</x:v>
      </x:c>
      <x:c r="O28" s="56" t="n">
        <x:v>46292</x:v>
      </x:c>
      <x:c r="P28" s="55" t="str">
        <x:v>Mobilise the listed resource and confirm readiness before start.</x:v>
      </x:c>
      <x:c r="Q28" s="55" t="str">
        <x:v>S25WMP01-DEC-04</x:v>
      </x:c>
      <x:c r="R28" s="55" t="str">
        <x:v>Demo Site Engineer P3</x:v>
      </x:c>
      <x:c r="S28" s="55" t="str">
        <x:v>Not started</x:v>
      </x:c>
      <x:c r="T28" s="56" t="n">
        <x:v>46285</x:v>
      </x:c>
      <x:c r="U28" s="55" t="str">
        <x:v>FICTIONAL TEST DATA. All people, quantities, money, dates and statuses are invented; not project records.</x:v>
      </x:c>
    </x:row>
    <x:row r="29" ht="102" customHeight="1">
      <x:c r="A29" s="55" t="str">
        <x:v>S26BBI01</x:v>
      </x:c>
      <x:c r="B29" s="55" t="str">
        <x:v>P4-SITE-1</x:v>
      </x:c>
      <x:c r="C29" s="60" t="n">
        <x:v>46266</x:v>
      </x:c>
      <x:c r="D29" s="55" t="str">
        <x:v>S26BBI01-ACT-01</x:v>
      </x:c>
      <x:c r="E29" s="55" t="str">
        <x:v>Cooling water structure</x:v>
      </x:c>
      <x:c r="F29" s="55" t="str">
        <x:v>RCC concreting</x:v>
      </x:c>
      <x:c r="G29" s="56" t="n">
        <x:v>46272</x:v>
      </x:c>
      <x:c r="H29" s="56" t="n">
        <x:v>46272</x:v>
      </x:c>
      <x:c r="I29" s="56" t="n">
        <x:v>46276</x:v>
      </x:c>
      <x:c r="J29" s="55" t="str">
        <x:v>m3</x:v>
      </x:c>
      <x:c r="K29" s="63" t="n">
        <x:v>275</x:v>
      </x:c>
      <x:c r="L29" s="55" t="str">
        <x:v>Ready</x:v>
      </x:c>
      <x:c r="M29" s="55" t="str">
        <x:v>No current shortage; resolved test item.</x:v>
      </x:c>
      <x:c r="N29" s="55" t="str">
        <x:v>Demo Construction Lead P4</x:v>
      </x:c>
      <x:c r="O29" s="56" t="n">
        <x:v>46271</x:v>
      </x:c>
      <x:c r="P29" s="55" t="str">
        <x:v>No further support; completed.</x:v>
      </x:c>
      <x:c r="Q29" s="55" t="str">
        <x:v>S26BBI01-DEC-01</x:v>
      </x:c>
      <x:c r="R29" s="55" t="str">
        <x:v>Demo Site Engineer P4</x:v>
      </x:c>
      <x:c r="S29" s="55" t="str">
        <x:v>Completed</x:v>
      </x:c>
      <x:c r="T29" s="56" t="n">
        <x:v>46285</x:v>
      </x:c>
      <x:c r="U29" s="55" t="str">
        <x:v>FICTIONAL TEST DATA. All people, quantities, money, dates and statuses are invented; not project records.</x:v>
      </x:c>
    </x:row>
    <x:row r="30" ht="102" customHeight="1">
      <x:c r="A30" s="55" t="str">
        <x:v>S26BBI01</x:v>
      </x:c>
      <x:c r="B30" s="55" t="str">
        <x:v>P4-SITE-2</x:v>
      </x:c>
      <x:c r="C30" s="60" t="n">
        <x:v>46266</x:v>
      </x:c>
      <x:c r="D30" s="55" t="str">
        <x:v>S26BBI01-ACT-02</x:v>
      </x:c>
      <x:c r="E30" s="55" t="str">
        <x:v>Utility corridor</x:v>
      </x:c>
      <x:c r="F30" s="55" t="str">
        <x:v>RCC concreting</x:v>
      </x:c>
      <x:c r="G30" s="56" t="n">
        <x:v>46279</x:v>
      </x:c>
      <x:c r="H30" s="56" t="n">
        <x:v>46279</x:v>
      </x:c>
      <x:c r="I30" s="56" t="n">
        <x:v>46283</x:v>
      </x:c>
      <x:c r="J30" s="55" t="str">
        <x:v>m3</x:v>
      </x:c>
      <x:c r="K30" s="63" t="n">
        <x:v>295</x:v>
      </x:c>
      <x:c r="L30" s="55" t="str">
        <x:v>At risk</x:v>
      </x:c>
      <x:c r="M30" s="55" t="str">
        <x:v>One standby concrete pump required.</x:v>
      </x:c>
      <x:c r="N30" s="55" t="str">
        <x:v>Demo Construction Lead P4</x:v>
      </x:c>
      <x:c r="O30" s="56" t="n">
        <x:v>46278</x:v>
      </x:c>
      <x:c r="P30" s="55" t="str">
        <x:v>Mobilise the listed resource and confirm readiness before start.</x:v>
      </x:c>
      <x:c r="Q30" s="55" t="str">
        <x:v>S26BBI01-DEC-02</x:v>
      </x:c>
      <x:c r="R30" s="55" t="str">
        <x:v>Demo Site Engineer P4</x:v>
      </x:c>
      <x:c r="S30" s="55" t="str">
        <x:v>In progress</x:v>
      </x:c>
      <x:c r="T30" s="56" t="n">
        <x:v>46285</x:v>
      </x:c>
      <x:c r="U30" s="55" t="str">
        <x:v>FICTIONAL TEST DATA. All people, quantities, money, dates and statuses are invented; not project records.</x:v>
      </x:c>
    </x:row>
    <x:row r="31" ht="102" customHeight="1">
      <x:c r="A31" s="55" t="str">
        <x:v>S26BBI01</x:v>
      </x:c>
      <x:c r="B31" s="55" t="str">
        <x:v>P4-SITE-1</x:v>
      </x:c>
      <x:c r="C31" s="60" t="n">
        <x:v>46266</x:v>
      </x:c>
      <x:c r="D31" s="55" t="str">
        <x:v>S26BBI01-ACT-03</x:v>
      </x:c>
      <x:c r="E31" s="55" t="str">
        <x:v>Pump foundation</x:v>
      </x:c>
      <x:c r="F31" s="55" t="str">
        <x:v>RCC concreting</x:v>
      </x:c>
      <x:c r="G31" s="56" t="n">
        <x:v>46286</x:v>
      </x:c>
      <x:c r="H31" s="56" t="n">
        <x:v>46286</x:v>
      </x:c>
      <x:c r="I31" s="56" t="n">
        <x:v>46290</x:v>
      </x:c>
      <x:c r="J31" s="55" t="str">
        <x:v>m3</x:v>
      </x:c>
      <x:c r="K31" s="63" t="n">
        <x:v>315</x:v>
      </x:c>
      <x:c r="L31" s="55" t="str">
        <x:v>Blocked</x:v>
      </x:c>
      <x:c r="M31" s="55" t="str">
        <x:v>Mobilise one crane and 150 m2 shuttering.</x:v>
      </x:c>
      <x:c r="N31" s="55" t="str">
        <x:v>Demo Construction Lead P4</x:v>
      </x:c>
      <x:c r="O31" s="56" t="n">
        <x:v>46288</x:v>
      </x:c>
      <x:c r="P31" s="55" t="str">
        <x:v>Mobilise the listed resource and confirm readiness before start.</x:v>
      </x:c>
      <x:c r="Q31" s="55" t="str">
        <x:v>S26BBI01-DEC-03</x:v>
      </x:c>
      <x:c r="R31" s="55" t="str">
        <x:v>Demo Site Engineer P4</x:v>
      </x:c>
      <x:c r="S31" s="55" t="str">
        <x:v>Not started</x:v>
      </x:c>
      <x:c r="T31" s="56" t="n">
        <x:v>46285</x:v>
      </x:c>
      <x:c r="U31" s="55" t="str">
        <x:v>FICTIONAL TEST DATA. All people, quantities, money, dates and statuses are invented; not project records.</x:v>
      </x:c>
    </x:row>
    <x:row r="32" ht="102" customHeight="1">
      <x:c r="A32" s="55" t="str">
        <x:v>S26BBI01</x:v>
      </x:c>
      <x:c r="B32" s="55" t="str">
        <x:v>P4-SITE-2</x:v>
      </x:c>
      <x:c r="C32" s="60" t="n">
        <x:v>46266</x:v>
      </x:c>
      <x:c r="D32" s="55" t="str">
        <x:v>S26BBI01-ACT-04</x:v>
      </x:c>
      <x:c r="E32" s="55" t="str">
        <x:v>Service building</x:v>
      </x:c>
      <x:c r="F32" s="55" t="str">
        <x:v>Earth excavation</x:v>
      </x:c>
      <x:c r="G32" s="56" t="n">
        <x:v>46293</x:v>
      </x:c>
      <x:c r="H32" s="56" t="n">
        <x:v>46293</x:v>
      </x:c>
      <x:c r="I32" s="56" t="n">
        <x:v>46295</x:v>
      </x:c>
      <x:c r="J32" s="55" t="str">
        <x:v>m3</x:v>
      </x:c>
      <x:c r="K32" s="63" t="n">
        <x:v>335</x:v>
      </x:c>
      <x:c r="L32" s="55" t="str">
        <x:v>Ready</x:v>
      </x:c>
      <x:c r="M32" s="55" t="str">
        <x:v>Reserve one excavator and two dumpers.</x:v>
      </x:c>
      <x:c r="N32" s="55" t="str">
        <x:v>Demo Construction Lead P4</x:v>
      </x:c>
      <x:c r="O32" s="56" t="n">
        <x:v>46292</x:v>
      </x:c>
      <x:c r="P32" s="55" t="str">
        <x:v>Mobilise the listed resource and confirm readiness before start.</x:v>
      </x:c>
      <x:c r="Q32" s="55" t="str">
        <x:v>S26BBI01-DEC-04</x:v>
      </x:c>
      <x:c r="R32" s="55" t="str">
        <x:v>Demo Site Engineer P4</x:v>
      </x:c>
      <x:c r="S32" s="55" t="str">
        <x:v>Not started</x:v>
      </x:c>
      <x:c r="T32" s="56" t="n">
        <x:v>46285</x:v>
      </x:c>
      <x:c r="U32" s="55" t="str">
        <x:v>FICTIONAL TEST DATA. All people, quantities, money, dates and statuses are invented; not project records.</x:v>
      </x:c>
    </x:row>
    <x:row r="33" ht="102" customHeight="1">
      <x:c r="A33" s="55" t="str">
        <x:v>S26PRJ01</x:v>
      </x:c>
      <x:c r="B33" s="55" t="str">
        <x:v>P5-SITE-1</x:v>
      </x:c>
      <x:c r="C33" s="60" t="n">
        <x:v>46266</x:v>
      </x:c>
      <x:c r="D33" s="55" t="str">
        <x:v>S26PRJ01-ACT-01</x:v>
      </x:c>
      <x:c r="E33" s="55" t="str">
        <x:v>Transformer foundation</x:v>
      </x:c>
      <x:c r="F33" s="55" t="str">
        <x:v>RCC concreting</x:v>
      </x:c>
      <x:c r="G33" s="56" t="n">
        <x:v>46272</x:v>
      </x:c>
      <x:c r="H33" s="56" t="n">
        <x:v>46272</x:v>
      </x:c>
      <x:c r="I33" s="56" t="n">
        <x:v>46276</x:v>
      </x:c>
      <x:c r="J33" s="55" t="str">
        <x:v>m3</x:v>
      </x:c>
      <x:c r="K33" s="63" t="n">
        <x:v>300</x:v>
      </x:c>
      <x:c r="L33" s="55" t="str">
        <x:v>Ready</x:v>
      </x:c>
      <x:c r="M33" s="55" t="str">
        <x:v>No current shortage; resolved test item.</x:v>
      </x:c>
      <x:c r="N33" s="55" t="str">
        <x:v>Demo Construction Lead P5</x:v>
      </x:c>
      <x:c r="O33" s="56" t="n">
        <x:v>46271</x:v>
      </x:c>
      <x:c r="P33" s="55" t="str">
        <x:v>No further support; completed.</x:v>
      </x:c>
      <x:c r="Q33" s="55" t="str">
        <x:v>S26PRJ01-DEC-01</x:v>
      </x:c>
      <x:c r="R33" s="55" t="str">
        <x:v>Demo Site Engineer P5</x:v>
      </x:c>
      <x:c r="S33" s="55" t="str">
        <x:v>Completed</x:v>
      </x:c>
      <x:c r="T33" s="56" t="n">
        <x:v>46285</x:v>
      </x:c>
      <x:c r="U33" s="55" t="str">
        <x:v>FICTIONAL TEST DATA. All people, quantities, money, dates and statuses are invented; not project records.</x:v>
      </x:c>
    </x:row>
    <x:row r="34" ht="102" customHeight="1">
      <x:c r="A34" s="55" t="str">
        <x:v>S26PRJ01</x:v>
      </x:c>
      <x:c r="B34" s="55" t="str">
        <x:v>P5-SITE-2</x:v>
      </x:c>
      <x:c r="C34" s="60" t="n">
        <x:v>46266</x:v>
      </x:c>
      <x:c r="D34" s="55" t="str">
        <x:v>S26PRJ01-ACT-02</x:v>
      </x:c>
      <x:c r="E34" s="55" t="str">
        <x:v>Cable trench</x:v>
      </x:c>
      <x:c r="F34" s="55" t="str">
        <x:v>RCC concreting</x:v>
      </x:c>
      <x:c r="G34" s="56" t="n">
        <x:v>46279</x:v>
      </x:c>
      <x:c r="H34" s="56" t="n">
        <x:v>46279</x:v>
      </x:c>
      <x:c r="I34" s="56" t="n">
        <x:v>46283</x:v>
      </x:c>
      <x:c r="J34" s="55" t="str">
        <x:v>m3</x:v>
      </x:c>
      <x:c r="K34" s="63" t="n">
        <x:v>320</x:v>
      </x:c>
      <x:c r="L34" s="55" t="str">
        <x:v>At risk</x:v>
      </x:c>
      <x:c r="M34" s="55" t="str">
        <x:v>One standby concrete pump required.</x:v>
      </x:c>
      <x:c r="N34" s="55" t="str">
        <x:v>Demo Construction Lead P5</x:v>
      </x:c>
      <x:c r="O34" s="56" t="n">
        <x:v>46278</x:v>
      </x:c>
      <x:c r="P34" s="55" t="str">
        <x:v>Mobilise the listed resource and confirm readiness before start.</x:v>
      </x:c>
      <x:c r="Q34" s="55" t="str">
        <x:v>S26PRJ01-DEC-02</x:v>
      </x:c>
      <x:c r="R34" s="55" t="str">
        <x:v>Demo Site Engineer P5</x:v>
      </x:c>
      <x:c r="S34" s="55" t="str">
        <x:v>In progress</x:v>
      </x:c>
      <x:c r="T34" s="56" t="n">
        <x:v>46285</x:v>
      </x:c>
      <x:c r="U34" s="55" t="str">
        <x:v>FICTIONAL TEST DATA. All people, quantities, money, dates and statuses are invented; not project records.</x:v>
      </x:c>
    </x:row>
    <x:row r="35" ht="102" customHeight="1">
      <x:c r="A35" s="55" t="str">
        <x:v>S26PRJ01</x:v>
      </x:c>
      <x:c r="B35" s="55" t="str">
        <x:v>P5-SITE-1</x:v>
      </x:c>
      <x:c r="C35" s="60" t="n">
        <x:v>46266</x:v>
      </x:c>
      <x:c r="D35" s="55" t="str">
        <x:v>S26PRJ01-ACT-03</x:v>
      </x:c>
      <x:c r="E35" s="55" t="str">
        <x:v>Control room</x:v>
      </x:c>
      <x:c r="F35" s="55" t="str">
        <x:v>RCC concreting</x:v>
      </x:c>
      <x:c r="G35" s="56" t="n">
        <x:v>46286</x:v>
      </x:c>
      <x:c r="H35" s="56" t="n">
        <x:v>46286</x:v>
      </x:c>
      <x:c r="I35" s="56" t="n">
        <x:v>46290</x:v>
      </x:c>
      <x:c r="J35" s="55" t="str">
        <x:v>m3</x:v>
      </x:c>
      <x:c r="K35" s="63" t="n">
        <x:v>340</x:v>
      </x:c>
      <x:c r="L35" s="55" t="str">
        <x:v>Blocked</x:v>
      </x:c>
      <x:c r="M35" s="55" t="str">
        <x:v>Mobilise one crane and 150 m2 shuttering.</x:v>
      </x:c>
      <x:c r="N35" s="55" t="str">
        <x:v>Demo Construction Lead P5</x:v>
      </x:c>
      <x:c r="O35" s="56" t="n">
        <x:v>46288</x:v>
      </x:c>
      <x:c r="P35" s="55" t="str">
        <x:v>Mobilise the listed resource and confirm readiness before start.</x:v>
      </x:c>
      <x:c r="Q35" s="55" t="str">
        <x:v>S26PRJ01-DEC-03</x:v>
      </x:c>
      <x:c r="R35" s="55" t="str">
        <x:v>Demo Site Engineer P5</x:v>
      </x:c>
      <x:c r="S35" s="55" t="str">
        <x:v>Not started</x:v>
      </x:c>
      <x:c r="T35" s="56" t="n">
        <x:v>46285</x:v>
      </x:c>
      <x:c r="U35" s="55" t="str">
        <x:v>FICTIONAL TEST DATA. All people, quantities, money, dates and statuses are invented; not project records.</x:v>
      </x:c>
    </x:row>
    <x:row r="36" ht="102" customHeight="1">
      <x:c r="A36" s="55" t="str">
        <x:v>S26PRJ01</x:v>
      </x:c>
      <x:c r="B36" s="55" t="str">
        <x:v>P5-SITE-2</x:v>
      </x:c>
      <x:c r="C36" s="60" t="n">
        <x:v>46266</x:v>
      </x:c>
      <x:c r="D36" s="55" t="str">
        <x:v>S26PRJ01-ACT-04</x:v>
      </x:c>
      <x:c r="E36" s="55" t="str">
        <x:v>Switchyard road</x:v>
      </x:c>
      <x:c r="F36" s="55" t="str">
        <x:v>Earth excavation</x:v>
      </x:c>
      <x:c r="G36" s="56" t="n">
        <x:v>46293</x:v>
      </x:c>
      <x:c r="H36" s="56" t="n">
        <x:v>46293</x:v>
      </x:c>
      <x:c r="I36" s="56" t="n">
        <x:v>46295</x:v>
      </x:c>
      <x:c r="J36" s="55" t="str">
        <x:v>m3</x:v>
      </x:c>
      <x:c r="K36" s="63" t="n">
        <x:v>360</x:v>
      </x:c>
      <x:c r="L36" s="55" t="str">
        <x:v>Ready</x:v>
      </x:c>
      <x:c r="M36" s="55" t="str">
        <x:v>Reserve one excavator and two dumpers.</x:v>
      </x:c>
      <x:c r="N36" s="55" t="str">
        <x:v>Demo Construction Lead P5</x:v>
      </x:c>
      <x:c r="O36" s="56" t="n">
        <x:v>46292</x:v>
      </x:c>
      <x:c r="P36" s="55" t="str">
        <x:v>Mobilise the listed resource and confirm readiness before start.</x:v>
      </x:c>
      <x:c r="Q36" s="55" t="str">
        <x:v>S26PRJ01-DEC-04</x:v>
      </x:c>
      <x:c r="R36" s="55" t="str">
        <x:v>Demo Site Engineer P5</x:v>
      </x:c>
      <x:c r="S36" s="55" t="str">
        <x:v>Not started</x:v>
      </x:c>
      <x:c r="T36" s="56" t="n">
        <x:v>46285</x:v>
      </x:c>
      <x:c r="U36" s="55" t="str">
        <x:v>FICTIONAL TEST DATA. All people, quantities, money, dates and statuses are invented; not project records.</x:v>
      </x:c>
    </x:row>
    <x:row r="37" ht="28" customHeight="1">
      <x:c r="A37" s="55"/>
      <x:c r="B37" s="55"/>
      <x:c r="C37" s="60"/>
      <x:c r="D37" s="55"/>
      <x:c r="E37" s="55"/>
      <x:c r="F37" s="55"/>
      <x:c r="G37" s="56"/>
      <x:c r="H37" s="56"/>
      <x:c r="I37" s="56"/>
      <x:c r="J37" s="55"/>
      <x:c r="K37" s="63"/>
      <x:c r="L37" s="55"/>
      <x:c r="M37" s="55"/>
      <x:c r="N37" s="55"/>
      <x:c r="O37" s="56"/>
      <x:c r="P37" s="55"/>
      <x:c r="Q37" s="55"/>
      <x:c r="R37" s="55"/>
      <x:c r="S37" s="55"/>
      <x:c r="T37" s="56"/>
      <x:c r="U37" s="55"/>
    </x:row>
    <x:row r="38" ht="28" customHeight="1">
      <x:c r="A38" s="55"/>
      <x:c r="B38" s="55"/>
      <x:c r="C38" s="60"/>
      <x:c r="D38" s="55"/>
      <x:c r="E38" s="55"/>
      <x:c r="F38" s="55"/>
      <x:c r="G38" s="56"/>
      <x:c r="H38" s="56"/>
      <x:c r="I38" s="56"/>
      <x:c r="J38" s="55"/>
      <x:c r="K38" s="63"/>
      <x:c r="L38" s="55"/>
      <x:c r="M38" s="55"/>
      <x:c r="N38" s="55"/>
      <x:c r="O38" s="56"/>
      <x:c r="P38" s="55"/>
      <x:c r="Q38" s="55"/>
      <x:c r="R38" s="55"/>
      <x:c r="S38" s="55"/>
      <x:c r="T38" s="56"/>
      <x:c r="U38" s="55"/>
    </x:row>
    <x:row r="39" ht="28" customHeight="1">
      <x:c r="A39" s="55"/>
      <x:c r="B39" s="55"/>
      <x:c r="C39" s="60"/>
      <x:c r="D39" s="55"/>
      <x:c r="E39" s="55"/>
      <x:c r="F39" s="55"/>
      <x:c r="G39" s="56"/>
      <x:c r="H39" s="56"/>
      <x:c r="I39" s="56"/>
      <x:c r="J39" s="55"/>
      <x:c r="K39" s="63"/>
      <x:c r="L39" s="55"/>
      <x:c r="M39" s="55"/>
      <x:c r="N39" s="55"/>
      <x:c r="O39" s="56"/>
      <x:c r="P39" s="55"/>
      <x:c r="Q39" s="55"/>
      <x:c r="R39" s="55"/>
      <x:c r="S39" s="55"/>
      <x:c r="T39" s="56"/>
      <x:c r="U39" s="55"/>
    </x:row>
    <x:row r="40" ht="28" customHeight="1">
      <x:c r="A40" s="55"/>
      <x:c r="B40" s="55"/>
      <x:c r="C40" s="60"/>
      <x:c r="D40" s="55"/>
      <x:c r="E40" s="55"/>
      <x:c r="F40" s="55"/>
      <x:c r="G40" s="56"/>
      <x:c r="H40" s="56"/>
      <x:c r="I40" s="56"/>
      <x:c r="J40" s="55"/>
      <x:c r="K40" s="63"/>
      <x:c r="L40" s="55"/>
      <x:c r="M40" s="55"/>
      <x:c r="N40" s="55"/>
      <x:c r="O40" s="56"/>
      <x:c r="P40" s="55"/>
      <x:c r="Q40" s="55"/>
      <x:c r="R40" s="55"/>
      <x:c r="S40" s="55"/>
      <x:c r="T40" s="56"/>
      <x:c r="U40" s="55"/>
    </x:row>
    <x:row r="41" ht="28" customHeight="1">
      <x:c r="A41" s="55"/>
      <x:c r="B41" s="55"/>
      <x:c r="C41" s="60"/>
      <x:c r="D41" s="55"/>
      <x:c r="E41" s="55"/>
      <x:c r="F41" s="55"/>
      <x:c r="G41" s="56"/>
      <x:c r="H41" s="56"/>
      <x:c r="I41" s="56"/>
      <x:c r="J41" s="55"/>
      <x:c r="K41" s="63"/>
      <x:c r="L41" s="55"/>
      <x:c r="M41" s="55"/>
      <x:c r="N41" s="55"/>
      <x:c r="O41" s="56"/>
      <x:c r="P41" s="55"/>
      <x:c r="Q41" s="55"/>
      <x:c r="R41" s="55"/>
      <x:c r="S41" s="55"/>
      <x:c r="T41" s="56"/>
      <x:c r="U41" s="55"/>
    </x:row>
    <x:row r="42" ht="28" customHeight="1">
      <x:c r="A42" s="55"/>
      <x:c r="B42" s="55"/>
      <x:c r="C42" s="60"/>
      <x:c r="D42" s="55"/>
      <x:c r="E42" s="55"/>
      <x:c r="F42" s="55"/>
      <x:c r="G42" s="56"/>
      <x:c r="H42" s="56"/>
      <x:c r="I42" s="56"/>
      <x:c r="J42" s="55"/>
      <x:c r="K42" s="63"/>
      <x:c r="L42" s="55"/>
      <x:c r="M42" s="55"/>
      <x:c r="N42" s="55"/>
      <x:c r="O42" s="56"/>
      <x:c r="P42" s="55"/>
      <x:c r="Q42" s="55"/>
      <x:c r="R42" s="55"/>
      <x:c r="S42" s="55"/>
      <x:c r="T42" s="56"/>
      <x:c r="U42" s="55"/>
    </x:row>
    <x:row r="43" ht="28" customHeight="1">
      <x:c r="A43" s="55"/>
      <x:c r="B43" s="55"/>
      <x:c r="C43" s="60"/>
      <x:c r="D43" s="55"/>
      <x:c r="E43" s="55"/>
      <x:c r="F43" s="55"/>
      <x:c r="G43" s="56"/>
      <x:c r="H43" s="56"/>
      <x:c r="I43" s="56"/>
      <x:c r="J43" s="55"/>
      <x:c r="K43" s="63"/>
      <x:c r="L43" s="55"/>
      <x:c r="M43" s="55"/>
      <x:c r="N43" s="55"/>
      <x:c r="O43" s="56"/>
      <x:c r="P43" s="55"/>
      <x:c r="Q43" s="55"/>
      <x:c r="R43" s="55"/>
      <x:c r="S43" s="55"/>
      <x:c r="T43" s="56"/>
      <x:c r="U43" s="55"/>
    </x:row>
    <x:row r="44" ht="28" customHeight="1">
      <x:c r="A44" s="55"/>
      <x:c r="B44" s="55"/>
      <x:c r="C44" s="60"/>
      <x:c r="D44" s="55"/>
      <x:c r="E44" s="55"/>
      <x:c r="F44" s="55"/>
      <x:c r="G44" s="56"/>
      <x:c r="H44" s="56"/>
      <x:c r="I44" s="56"/>
      <x:c r="J44" s="55"/>
      <x:c r="K44" s="63"/>
      <x:c r="L44" s="55"/>
      <x:c r="M44" s="55"/>
      <x:c r="N44" s="55"/>
      <x:c r="O44" s="56"/>
      <x:c r="P44" s="55"/>
      <x:c r="Q44" s="55"/>
      <x:c r="R44" s="55"/>
      <x:c r="S44" s="55"/>
      <x:c r="T44" s="56"/>
      <x:c r="U44" s="55"/>
    </x:row>
    <x:row r="45" ht="28" customHeight="1">
      <x:c r="A45" s="55"/>
      <x:c r="B45" s="55"/>
      <x:c r="C45" s="60"/>
      <x:c r="D45" s="55"/>
      <x:c r="E45" s="55"/>
      <x:c r="F45" s="55"/>
      <x:c r="G45" s="56"/>
      <x:c r="H45" s="56"/>
      <x:c r="I45" s="56"/>
      <x:c r="J45" s="55"/>
      <x:c r="K45" s="63"/>
      <x:c r="L45" s="55"/>
      <x:c r="M45" s="55"/>
      <x:c r="N45" s="55"/>
      <x:c r="O45" s="56"/>
      <x:c r="P45" s="55"/>
      <x:c r="Q45" s="55"/>
      <x:c r="R45" s="55"/>
      <x:c r="S45" s="55"/>
      <x:c r="T45" s="56"/>
      <x:c r="U45" s="55"/>
    </x:row>
    <x:row r="46" ht="28" customHeight="1">
      <x:c r="A46" s="55"/>
      <x:c r="B46" s="55"/>
      <x:c r="C46" s="60"/>
      <x:c r="D46" s="55"/>
      <x:c r="E46" s="55"/>
      <x:c r="F46" s="55"/>
      <x:c r="G46" s="56"/>
      <x:c r="H46" s="56"/>
      <x:c r="I46" s="56"/>
      <x:c r="J46" s="55"/>
      <x:c r="K46" s="63"/>
      <x:c r="L46" s="55"/>
      <x:c r="M46" s="55"/>
      <x:c r="N46" s="55"/>
      <x:c r="O46" s="56"/>
      <x:c r="P46" s="55"/>
      <x:c r="Q46" s="55"/>
      <x:c r="R46" s="55"/>
      <x:c r="S46" s="55"/>
      <x:c r="T46" s="56"/>
      <x:c r="U46" s="55"/>
    </x:row>
    <x:row r="47" ht="28" customHeight="1">
      <x:c r="A47" s="55"/>
      <x:c r="B47" s="55"/>
      <x:c r="C47" s="60"/>
      <x:c r="D47" s="55"/>
      <x:c r="E47" s="55"/>
      <x:c r="F47" s="55"/>
      <x:c r="G47" s="56"/>
      <x:c r="H47" s="56"/>
      <x:c r="I47" s="56"/>
      <x:c r="J47" s="55"/>
      <x:c r="K47" s="63"/>
      <x:c r="L47" s="55"/>
      <x:c r="M47" s="55"/>
      <x:c r="N47" s="55"/>
      <x:c r="O47" s="56"/>
      <x:c r="P47" s="55"/>
      <x:c r="Q47" s="55"/>
      <x:c r="R47" s="55"/>
      <x:c r="S47" s="55"/>
      <x:c r="T47" s="56"/>
      <x:c r="U47" s="55"/>
    </x:row>
    <x:row r="48" ht="28" customHeight="1">
      <x:c r="A48" s="55"/>
      <x:c r="B48" s="55"/>
      <x:c r="C48" s="60"/>
      <x:c r="D48" s="55"/>
      <x:c r="E48" s="55"/>
      <x:c r="F48" s="55"/>
      <x:c r="G48" s="56"/>
      <x:c r="H48" s="56"/>
      <x:c r="I48" s="56"/>
      <x:c r="J48" s="55"/>
      <x:c r="K48" s="63"/>
      <x:c r="L48" s="55"/>
      <x:c r="M48" s="55"/>
      <x:c r="N48" s="55"/>
      <x:c r="O48" s="56"/>
      <x:c r="P48" s="55"/>
      <x:c r="Q48" s="55"/>
      <x:c r="R48" s="55"/>
      <x:c r="S48" s="55"/>
      <x:c r="T48" s="56"/>
      <x:c r="U48" s="55"/>
    </x:row>
    <x:row r="49" ht="28" customHeight="1">
      <x:c r="A49" s="55"/>
      <x:c r="B49" s="55"/>
      <x:c r="C49" s="60"/>
      <x:c r="D49" s="55"/>
      <x:c r="E49" s="55"/>
      <x:c r="F49" s="55"/>
      <x:c r="G49" s="56"/>
      <x:c r="H49" s="56"/>
      <x:c r="I49" s="56"/>
      <x:c r="J49" s="55"/>
      <x:c r="K49" s="63"/>
      <x:c r="L49" s="55"/>
      <x:c r="M49" s="55"/>
      <x:c r="N49" s="55"/>
      <x:c r="O49" s="56"/>
      <x:c r="P49" s="55"/>
      <x:c r="Q49" s="55"/>
      <x:c r="R49" s="55"/>
      <x:c r="S49" s="55"/>
      <x:c r="T49" s="56"/>
      <x:c r="U49" s="55"/>
    </x:row>
    <x:row r="50" ht="28" customHeight="1">
      <x:c r="A50" s="55"/>
      <x:c r="B50" s="55"/>
      <x:c r="C50" s="60"/>
      <x:c r="D50" s="55"/>
      <x:c r="E50" s="55"/>
      <x:c r="F50" s="55"/>
      <x:c r="G50" s="56"/>
      <x:c r="H50" s="56"/>
      <x:c r="I50" s="56"/>
      <x:c r="J50" s="55"/>
      <x:c r="K50" s="63"/>
      <x:c r="L50" s="55"/>
      <x:c r="M50" s="55"/>
      <x:c r="N50" s="55"/>
      <x:c r="O50" s="56"/>
      <x:c r="P50" s="55"/>
      <x:c r="Q50" s="55"/>
      <x:c r="R50" s="55"/>
      <x:c r="S50" s="55"/>
      <x:c r="T50" s="56"/>
      <x:c r="U50" s="55"/>
    </x:row>
    <x:row r="51" ht="28" customHeight="1">
      <x:c r="A51" s="55"/>
      <x:c r="B51" s="55"/>
      <x:c r="C51" s="60"/>
      <x:c r="D51" s="55"/>
      <x:c r="E51" s="55"/>
      <x:c r="F51" s="55"/>
      <x:c r="G51" s="56"/>
      <x:c r="H51" s="56"/>
      <x:c r="I51" s="56"/>
      <x:c r="J51" s="55"/>
      <x:c r="K51" s="63"/>
      <x:c r="L51" s="55"/>
      <x:c r="M51" s="55"/>
      <x:c r="N51" s="55"/>
      <x:c r="O51" s="56"/>
      <x:c r="P51" s="55"/>
      <x:c r="Q51" s="55"/>
      <x:c r="R51" s="55"/>
      <x:c r="S51" s="55"/>
      <x:c r="T51" s="56"/>
      <x:c r="U51" s="55"/>
    </x:row>
    <x:row r="52" ht="28" customHeight="1">
      <x:c r="A52" s="55"/>
      <x:c r="B52" s="55"/>
      <x:c r="C52" s="60"/>
      <x:c r="D52" s="55"/>
      <x:c r="E52" s="55"/>
      <x:c r="F52" s="55"/>
      <x:c r="G52" s="56"/>
      <x:c r="H52" s="56"/>
      <x:c r="I52" s="56"/>
      <x:c r="J52" s="55"/>
      <x:c r="K52" s="63"/>
      <x:c r="L52" s="55"/>
      <x:c r="M52" s="55"/>
      <x:c r="N52" s="55"/>
      <x:c r="O52" s="56"/>
      <x:c r="P52" s="55"/>
      <x:c r="Q52" s="55"/>
      <x:c r="R52" s="55"/>
      <x:c r="S52" s="55"/>
      <x:c r="T52" s="56"/>
      <x:c r="U52" s="55"/>
    </x:row>
    <x:row r="53" ht="28" customHeight="1">
      <x:c r="A53" s="55"/>
      <x:c r="B53" s="55"/>
      <x:c r="C53" s="60"/>
      <x:c r="D53" s="55"/>
      <x:c r="E53" s="55"/>
      <x:c r="F53" s="55"/>
      <x:c r="G53" s="56"/>
      <x:c r="H53" s="56"/>
      <x:c r="I53" s="56"/>
      <x:c r="J53" s="55"/>
      <x:c r="K53" s="63"/>
      <x:c r="L53" s="55"/>
      <x:c r="M53" s="55"/>
      <x:c r="N53" s="55"/>
      <x:c r="O53" s="56"/>
      <x:c r="P53" s="55"/>
      <x:c r="Q53" s="55"/>
      <x:c r="R53" s="55"/>
      <x:c r="S53" s="55"/>
      <x:c r="T53" s="56"/>
      <x:c r="U53" s="55"/>
    </x:row>
    <x:row r="54" ht="28" customHeight="1">
      <x:c r="A54" s="55"/>
      <x:c r="B54" s="55"/>
      <x:c r="C54" s="60"/>
      <x:c r="D54" s="55"/>
      <x:c r="E54" s="55"/>
      <x:c r="F54" s="55"/>
      <x:c r="G54" s="56"/>
      <x:c r="H54" s="56"/>
      <x:c r="I54" s="56"/>
      <x:c r="J54" s="55"/>
      <x:c r="K54" s="63"/>
      <x:c r="L54" s="55"/>
      <x:c r="M54" s="55"/>
      <x:c r="N54" s="55"/>
      <x:c r="O54" s="56"/>
      <x:c r="P54" s="55"/>
      <x:c r="Q54" s="55"/>
      <x:c r="R54" s="55"/>
      <x:c r="S54" s="55"/>
      <x:c r="T54" s="56"/>
      <x:c r="U54" s="55"/>
    </x:row>
    <x:row r="55" ht="28" customHeight="1">
      <x:c r="A55" s="55"/>
      <x:c r="B55" s="55"/>
      <x:c r="C55" s="60"/>
      <x:c r="D55" s="55"/>
      <x:c r="E55" s="55"/>
      <x:c r="F55" s="55"/>
      <x:c r="G55" s="56"/>
      <x:c r="H55" s="56"/>
      <x:c r="I55" s="56"/>
      <x:c r="J55" s="55"/>
      <x:c r="K55" s="63"/>
      <x:c r="L55" s="55"/>
      <x:c r="M55" s="55"/>
      <x:c r="N55" s="55"/>
      <x:c r="O55" s="56"/>
      <x:c r="P55" s="55"/>
      <x:c r="Q55" s="55"/>
      <x:c r="R55" s="55"/>
      <x:c r="S55" s="55"/>
      <x:c r="T55" s="56"/>
      <x:c r="U55" s="55"/>
    </x:row>
    <x:row r="56" ht="28" customHeight="1">
      <x:c r="A56" s="55"/>
      <x:c r="B56" s="55"/>
      <x:c r="C56" s="60"/>
      <x:c r="D56" s="55"/>
      <x:c r="E56" s="55"/>
      <x:c r="F56" s="55"/>
      <x:c r="G56" s="56"/>
      <x:c r="H56" s="56"/>
      <x:c r="I56" s="56"/>
      <x:c r="J56" s="55"/>
      <x:c r="K56" s="63"/>
      <x:c r="L56" s="55"/>
      <x:c r="M56" s="55"/>
      <x:c r="N56" s="55"/>
      <x:c r="O56" s="56"/>
      <x:c r="P56" s="55"/>
      <x:c r="Q56" s="55"/>
      <x:c r="R56" s="55"/>
      <x:c r="S56" s="55"/>
      <x:c r="T56" s="56"/>
      <x:c r="U56" s="55"/>
    </x:row>
    <x:row r="57" ht="28" customHeight="1">
      <x:c r="A57" s="55"/>
      <x:c r="B57" s="55"/>
      <x:c r="C57" s="60"/>
      <x:c r="D57" s="55"/>
      <x:c r="E57" s="55"/>
      <x:c r="F57" s="55"/>
      <x:c r="G57" s="56"/>
      <x:c r="H57" s="56"/>
      <x:c r="I57" s="56"/>
      <x:c r="J57" s="55"/>
      <x:c r="K57" s="63"/>
      <x:c r="L57" s="55"/>
      <x:c r="M57" s="55"/>
      <x:c r="N57" s="55"/>
      <x:c r="O57" s="56"/>
      <x:c r="P57" s="55"/>
      <x:c r="Q57" s="55"/>
      <x:c r="R57" s="55"/>
      <x:c r="S57" s="55"/>
      <x:c r="T57" s="56"/>
      <x:c r="U57" s="55"/>
    </x:row>
    <x:row r="58" ht="28" customHeight="1">
      <x:c r="A58" s="55"/>
      <x:c r="B58" s="55"/>
      <x:c r="C58" s="60"/>
      <x:c r="D58" s="55"/>
      <x:c r="E58" s="55"/>
      <x:c r="F58" s="55"/>
      <x:c r="G58" s="56"/>
      <x:c r="H58" s="56"/>
      <x:c r="I58" s="56"/>
      <x:c r="J58" s="55"/>
      <x:c r="K58" s="63"/>
      <x:c r="L58" s="55"/>
      <x:c r="M58" s="55"/>
      <x:c r="N58" s="55"/>
      <x:c r="O58" s="56"/>
      <x:c r="P58" s="55"/>
      <x:c r="Q58" s="55"/>
      <x:c r="R58" s="55"/>
      <x:c r="S58" s="55"/>
      <x:c r="T58" s="56"/>
      <x:c r="U58" s="55"/>
    </x:row>
    <x:row r="59" ht="28" customHeight="1">
      <x:c r="A59" s="55"/>
      <x:c r="B59" s="55"/>
      <x:c r="C59" s="60"/>
      <x:c r="D59" s="55"/>
      <x:c r="E59" s="55"/>
      <x:c r="F59" s="55"/>
      <x:c r="G59" s="56"/>
      <x:c r="H59" s="56"/>
      <x:c r="I59" s="56"/>
      <x:c r="J59" s="55"/>
      <x:c r="K59" s="63"/>
      <x:c r="L59" s="55"/>
      <x:c r="M59" s="55"/>
      <x:c r="N59" s="55"/>
      <x:c r="O59" s="56"/>
      <x:c r="P59" s="55"/>
      <x:c r="Q59" s="55"/>
      <x:c r="R59" s="55"/>
      <x:c r="S59" s="55"/>
      <x:c r="T59" s="56"/>
      <x:c r="U59" s="55"/>
    </x:row>
    <x:row r="60" ht="28" customHeight="1">
      <x:c r="A60" s="55"/>
      <x:c r="B60" s="55"/>
      <x:c r="C60" s="60"/>
      <x:c r="D60" s="55"/>
      <x:c r="E60" s="55"/>
      <x:c r="F60" s="55"/>
      <x:c r="G60" s="56"/>
      <x:c r="H60" s="56"/>
      <x:c r="I60" s="56"/>
      <x:c r="J60" s="55"/>
      <x:c r="K60" s="63"/>
      <x:c r="L60" s="55"/>
      <x:c r="M60" s="55"/>
      <x:c r="N60" s="55"/>
      <x:c r="O60" s="56"/>
      <x:c r="P60" s="55"/>
      <x:c r="Q60" s="55"/>
      <x:c r="R60" s="55"/>
      <x:c r="S60" s="55"/>
      <x:c r="T60" s="56"/>
      <x:c r="U60" s="55"/>
    </x:row>
    <x:row r="61" ht="28" customHeight="1">
      <x:c r="A61" s="55"/>
      <x:c r="B61" s="55"/>
      <x:c r="C61" s="60"/>
      <x:c r="D61" s="55"/>
      <x:c r="E61" s="55"/>
      <x:c r="F61" s="55"/>
      <x:c r="G61" s="56"/>
      <x:c r="H61" s="56"/>
      <x:c r="I61" s="56"/>
      <x:c r="J61" s="55"/>
      <x:c r="K61" s="63"/>
      <x:c r="L61" s="55"/>
      <x:c r="M61" s="55"/>
      <x:c r="N61" s="55"/>
      <x:c r="O61" s="56"/>
      <x:c r="P61" s="55"/>
      <x:c r="Q61" s="55"/>
      <x:c r="R61" s="55"/>
      <x:c r="S61" s="55"/>
      <x:c r="T61" s="56"/>
      <x:c r="U61" s="55"/>
    </x:row>
    <x:row r="62" ht="28" customHeight="1">
      <x:c r="A62" s="55"/>
      <x:c r="B62" s="55"/>
      <x:c r="C62" s="60"/>
      <x:c r="D62" s="55"/>
      <x:c r="E62" s="55"/>
      <x:c r="F62" s="55"/>
      <x:c r="G62" s="56"/>
      <x:c r="H62" s="56"/>
      <x:c r="I62" s="56"/>
      <x:c r="J62" s="55"/>
      <x:c r="K62" s="63"/>
      <x:c r="L62" s="55"/>
      <x:c r="M62" s="55"/>
      <x:c r="N62" s="55"/>
      <x:c r="O62" s="56"/>
      <x:c r="P62" s="55"/>
      <x:c r="Q62" s="55"/>
      <x:c r="R62" s="55"/>
      <x:c r="S62" s="55"/>
      <x:c r="T62" s="56"/>
      <x:c r="U62" s="55"/>
    </x:row>
    <x:row r="63" ht="28" customHeight="1">
      <x:c r="A63" s="55"/>
      <x:c r="B63" s="55"/>
      <x:c r="C63" s="60"/>
      <x:c r="D63" s="55"/>
      <x:c r="E63" s="55"/>
      <x:c r="F63" s="55"/>
      <x:c r="G63" s="56"/>
      <x:c r="H63" s="56"/>
      <x:c r="I63" s="56"/>
      <x:c r="J63" s="55"/>
      <x:c r="K63" s="63"/>
      <x:c r="L63" s="55"/>
      <x:c r="M63" s="55"/>
      <x:c r="N63" s="55"/>
      <x:c r="O63" s="56"/>
      <x:c r="P63" s="55"/>
      <x:c r="Q63" s="55"/>
      <x:c r="R63" s="55"/>
      <x:c r="S63" s="55"/>
      <x:c r="T63" s="56"/>
      <x:c r="U63" s="55"/>
    </x:row>
    <x:row r="64" ht="28" customHeight="1">
      <x:c r="A64" s="55"/>
      <x:c r="B64" s="55"/>
      <x:c r="C64" s="60"/>
      <x:c r="D64" s="55"/>
      <x:c r="E64" s="55"/>
      <x:c r="F64" s="55"/>
      <x:c r="G64" s="56"/>
      <x:c r="H64" s="56"/>
      <x:c r="I64" s="56"/>
      <x:c r="J64" s="55"/>
      <x:c r="K64" s="63"/>
      <x:c r="L64" s="55"/>
      <x:c r="M64" s="55"/>
      <x:c r="N64" s="55"/>
      <x:c r="O64" s="56"/>
      <x:c r="P64" s="55"/>
      <x:c r="Q64" s="55"/>
      <x:c r="R64" s="55"/>
      <x:c r="S64" s="55"/>
      <x:c r="T64" s="56"/>
      <x:c r="U64" s="55"/>
    </x:row>
    <x:row r="65" ht="28" customHeight="1">
      <x:c r="A65" s="55"/>
      <x:c r="B65" s="55"/>
      <x:c r="C65" s="60"/>
      <x:c r="D65" s="55"/>
      <x:c r="E65" s="55"/>
      <x:c r="F65" s="55"/>
      <x:c r="G65" s="56"/>
      <x:c r="H65" s="56"/>
      <x:c r="I65" s="56"/>
      <x:c r="J65" s="55"/>
      <x:c r="K65" s="63"/>
      <x:c r="L65" s="55"/>
      <x:c r="M65" s="55"/>
      <x:c r="N65" s="55"/>
      <x:c r="O65" s="56"/>
      <x:c r="P65" s="55"/>
      <x:c r="Q65" s="55"/>
      <x:c r="R65" s="55"/>
      <x:c r="S65" s="55"/>
      <x:c r="T65" s="56"/>
      <x:c r="U65" s="55"/>
    </x:row>
    <x:row r="66" ht="28" customHeight="1">
      <x:c r="A66" s="55"/>
      <x:c r="B66" s="55"/>
      <x:c r="C66" s="60"/>
      <x:c r="D66" s="55"/>
      <x:c r="E66" s="55"/>
      <x:c r="F66" s="55"/>
      <x:c r="G66" s="56"/>
      <x:c r="H66" s="56"/>
      <x:c r="I66" s="56"/>
      <x:c r="J66" s="55"/>
      <x:c r="K66" s="63"/>
      <x:c r="L66" s="55"/>
      <x:c r="M66" s="55"/>
      <x:c r="N66" s="55"/>
      <x:c r="O66" s="56"/>
      <x:c r="P66" s="55"/>
      <x:c r="Q66" s="55"/>
      <x:c r="R66" s="55"/>
      <x:c r="S66" s="55"/>
      <x:c r="T66" s="56"/>
      <x:c r="U66" s="55"/>
    </x:row>
    <x:row r="67" ht="28" customHeight="1">
      <x:c r="A67" s="55"/>
      <x:c r="B67" s="55"/>
      <x:c r="C67" s="60"/>
      <x:c r="D67" s="55"/>
      <x:c r="E67" s="55"/>
      <x:c r="F67" s="55"/>
      <x:c r="G67" s="56"/>
      <x:c r="H67" s="56"/>
      <x:c r="I67" s="56"/>
      <x:c r="J67" s="55"/>
      <x:c r="K67" s="63"/>
      <x:c r="L67" s="55"/>
      <x:c r="M67" s="55"/>
      <x:c r="N67" s="55"/>
      <x:c r="O67" s="56"/>
      <x:c r="P67" s="55"/>
      <x:c r="Q67" s="55"/>
      <x:c r="R67" s="55"/>
      <x:c r="S67" s="55"/>
      <x:c r="T67" s="56"/>
      <x:c r="U67" s="55"/>
    </x:row>
    <x:row r="68" ht="28" customHeight="1">
      <x:c r="A68" s="55"/>
      <x:c r="B68" s="55"/>
      <x:c r="C68" s="60"/>
      <x:c r="D68" s="55"/>
      <x:c r="E68" s="55"/>
      <x:c r="F68" s="55"/>
      <x:c r="G68" s="56"/>
      <x:c r="H68" s="56"/>
      <x:c r="I68" s="56"/>
      <x:c r="J68" s="55"/>
      <x:c r="K68" s="63"/>
      <x:c r="L68" s="55"/>
      <x:c r="M68" s="55"/>
      <x:c r="N68" s="55"/>
      <x:c r="O68" s="56"/>
      <x:c r="P68" s="55"/>
      <x:c r="Q68" s="55"/>
      <x:c r="R68" s="55"/>
      <x:c r="S68" s="55"/>
      <x:c r="T68" s="56"/>
      <x:c r="U68" s="55"/>
    </x:row>
    <x:row r="69" ht="28" customHeight="1">
      <x:c r="A69" s="55"/>
      <x:c r="B69" s="55"/>
      <x:c r="C69" s="60"/>
      <x:c r="D69" s="55"/>
      <x:c r="E69" s="55"/>
      <x:c r="F69" s="55"/>
      <x:c r="G69" s="56"/>
      <x:c r="H69" s="56"/>
      <x:c r="I69" s="56"/>
      <x:c r="J69" s="55"/>
      <x:c r="K69" s="63"/>
      <x:c r="L69" s="55"/>
      <x:c r="M69" s="55"/>
      <x:c r="N69" s="55"/>
      <x:c r="O69" s="56"/>
      <x:c r="P69" s="55"/>
      <x:c r="Q69" s="55"/>
      <x:c r="R69" s="55"/>
      <x:c r="S69" s="55"/>
      <x:c r="T69" s="56"/>
      <x:c r="U69" s="55"/>
    </x:row>
    <x:row r="70" ht="28" customHeight="1">
      <x:c r="A70" s="55"/>
      <x:c r="B70" s="55"/>
      <x:c r="C70" s="60"/>
      <x:c r="D70" s="55"/>
      <x:c r="E70" s="55"/>
      <x:c r="F70" s="55"/>
      <x:c r="G70" s="56"/>
      <x:c r="H70" s="56"/>
      <x:c r="I70" s="56"/>
      <x:c r="J70" s="55"/>
      <x:c r="K70" s="63"/>
      <x:c r="L70" s="55"/>
      <x:c r="M70" s="55"/>
      <x:c r="N70" s="55"/>
      <x:c r="O70" s="56"/>
      <x:c r="P70" s="55"/>
      <x:c r="Q70" s="55"/>
      <x:c r="R70" s="55"/>
      <x:c r="S70" s="55"/>
      <x:c r="T70" s="56"/>
      <x:c r="U70" s="55"/>
    </x:row>
    <x:row r="71" ht="28" customHeight="1">
      <x:c r="A71" s="55"/>
      <x:c r="B71" s="55"/>
      <x:c r="C71" s="60"/>
      <x:c r="D71" s="55"/>
      <x:c r="E71" s="55"/>
      <x:c r="F71" s="55"/>
      <x:c r="G71" s="56"/>
      <x:c r="H71" s="56"/>
      <x:c r="I71" s="56"/>
      <x:c r="J71" s="55"/>
      <x:c r="K71" s="63"/>
      <x:c r="L71" s="55"/>
      <x:c r="M71" s="55"/>
      <x:c r="N71" s="55"/>
      <x:c r="O71" s="56"/>
      <x:c r="P71" s="55"/>
      <x:c r="Q71" s="55"/>
      <x:c r="R71" s="55"/>
      <x:c r="S71" s="55"/>
      <x:c r="T71" s="56"/>
      <x:c r="U71" s="55"/>
    </x:row>
    <x:row r="72" ht="28" customHeight="1">
      <x:c r="A72" s="55"/>
      <x:c r="B72" s="55"/>
      <x:c r="C72" s="60"/>
      <x:c r="D72" s="55"/>
      <x:c r="E72" s="55"/>
      <x:c r="F72" s="55"/>
      <x:c r="G72" s="56"/>
      <x:c r="H72" s="56"/>
      <x:c r="I72" s="56"/>
      <x:c r="J72" s="55"/>
      <x:c r="K72" s="63"/>
      <x:c r="L72" s="55"/>
      <x:c r="M72" s="55"/>
      <x:c r="N72" s="55"/>
      <x:c r="O72" s="56"/>
      <x:c r="P72" s="55"/>
      <x:c r="Q72" s="55"/>
      <x:c r="R72" s="55"/>
      <x:c r="S72" s="55"/>
      <x:c r="T72" s="56"/>
      <x:c r="U72" s="55"/>
    </x:row>
    <x:row r="73" ht="28" customHeight="1">
      <x:c r="A73" s="55"/>
      <x:c r="B73" s="55"/>
      <x:c r="C73" s="60"/>
      <x:c r="D73" s="55"/>
      <x:c r="E73" s="55"/>
      <x:c r="F73" s="55"/>
      <x:c r="G73" s="56"/>
      <x:c r="H73" s="56"/>
      <x:c r="I73" s="56"/>
      <x:c r="J73" s="55"/>
      <x:c r="K73" s="63"/>
      <x:c r="L73" s="55"/>
      <x:c r="M73" s="55"/>
      <x:c r="N73" s="55"/>
      <x:c r="O73" s="56"/>
      <x:c r="P73" s="55"/>
      <x:c r="Q73" s="55"/>
      <x:c r="R73" s="55"/>
      <x:c r="S73" s="55"/>
      <x:c r="T73" s="56"/>
      <x:c r="U73" s="55"/>
    </x:row>
    <x:row r="74" ht="28" customHeight="1">
      <x:c r="A74" s="55"/>
      <x:c r="B74" s="55"/>
      <x:c r="C74" s="60"/>
      <x:c r="D74" s="55"/>
      <x:c r="E74" s="55"/>
      <x:c r="F74" s="55"/>
      <x:c r="G74" s="56"/>
      <x:c r="H74" s="56"/>
      <x:c r="I74" s="56"/>
      <x:c r="J74" s="55"/>
      <x:c r="K74" s="63"/>
      <x:c r="L74" s="55"/>
      <x:c r="M74" s="55"/>
      <x:c r="N74" s="55"/>
      <x:c r="O74" s="56"/>
      <x:c r="P74" s="55"/>
      <x:c r="Q74" s="55"/>
      <x:c r="R74" s="55"/>
      <x:c r="S74" s="55"/>
      <x:c r="T74" s="56"/>
      <x:c r="U74" s="55"/>
    </x:row>
    <x:row r="75" ht="28" customHeight="1">
      <x:c r="A75" s="55"/>
      <x:c r="B75" s="55"/>
      <x:c r="C75" s="60"/>
      <x:c r="D75" s="55"/>
      <x:c r="E75" s="55"/>
      <x:c r="F75" s="55"/>
      <x:c r="G75" s="56"/>
      <x:c r="H75" s="56"/>
      <x:c r="I75" s="56"/>
      <x:c r="J75" s="55"/>
      <x:c r="K75" s="63"/>
      <x:c r="L75" s="55"/>
      <x:c r="M75" s="55"/>
      <x:c r="N75" s="55"/>
      <x:c r="O75" s="56"/>
      <x:c r="P75" s="55"/>
      <x:c r="Q75" s="55"/>
      <x:c r="R75" s="55"/>
      <x:c r="S75" s="55"/>
      <x:c r="T75" s="56"/>
      <x:c r="U75" s="55"/>
    </x:row>
    <x:row r="76" ht="28" customHeight="1">
      <x:c r="A76" s="55"/>
      <x:c r="B76" s="55"/>
      <x:c r="C76" s="60"/>
      <x:c r="D76" s="55"/>
      <x:c r="E76" s="55"/>
      <x:c r="F76" s="55"/>
      <x:c r="G76" s="56"/>
      <x:c r="H76" s="56"/>
      <x:c r="I76" s="56"/>
      <x:c r="J76" s="55"/>
      <x:c r="K76" s="63"/>
      <x:c r="L76" s="55"/>
      <x:c r="M76" s="55"/>
      <x:c r="N76" s="55"/>
      <x:c r="O76" s="56"/>
      <x:c r="P76" s="55"/>
      <x:c r="Q76" s="55"/>
      <x:c r="R76" s="55"/>
      <x:c r="S76" s="55"/>
      <x:c r="T76" s="56"/>
      <x:c r="U76" s="55"/>
    </x:row>
    <x:row r="77" ht="28" customHeight="1">
      <x:c r="A77" s="55"/>
      <x:c r="B77" s="55"/>
      <x:c r="C77" s="60"/>
      <x:c r="D77" s="55"/>
      <x:c r="E77" s="55"/>
      <x:c r="F77" s="55"/>
      <x:c r="G77" s="56"/>
      <x:c r="H77" s="56"/>
      <x:c r="I77" s="56"/>
      <x:c r="J77" s="55"/>
      <x:c r="K77" s="63"/>
      <x:c r="L77" s="55"/>
      <x:c r="M77" s="55"/>
      <x:c r="N77" s="55"/>
      <x:c r="O77" s="56"/>
      <x:c r="P77" s="55"/>
      <x:c r="Q77" s="55"/>
      <x:c r="R77" s="55"/>
      <x:c r="S77" s="55"/>
      <x:c r="T77" s="56"/>
      <x:c r="U77" s="55"/>
    </x:row>
    <x:row r="78" ht="28" customHeight="1">
      <x:c r="A78" s="55"/>
      <x:c r="B78" s="55"/>
      <x:c r="C78" s="60"/>
      <x:c r="D78" s="55"/>
      <x:c r="E78" s="55"/>
      <x:c r="F78" s="55"/>
      <x:c r="G78" s="56"/>
      <x:c r="H78" s="56"/>
      <x:c r="I78" s="56"/>
      <x:c r="J78" s="55"/>
      <x:c r="K78" s="63"/>
      <x:c r="L78" s="55"/>
      <x:c r="M78" s="55"/>
      <x:c r="N78" s="55"/>
      <x:c r="O78" s="56"/>
      <x:c r="P78" s="55"/>
      <x:c r="Q78" s="55"/>
      <x:c r="R78" s="55"/>
      <x:c r="S78" s="55"/>
      <x:c r="T78" s="56"/>
      <x:c r="U78" s="55"/>
    </x:row>
    <x:row r="79" ht="28" customHeight="1">
      <x:c r="A79" s="55"/>
      <x:c r="B79" s="55"/>
      <x:c r="C79" s="60"/>
      <x:c r="D79" s="55"/>
      <x:c r="E79" s="55"/>
      <x:c r="F79" s="55"/>
      <x:c r="G79" s="56"/>
      <x:c r="H79" s="56"/>
      <x:c r="I79" s="56"/>
      <x:c r="J79" s="55"/>
      <x:c r="K79" s="63"/>
      <x:c r="L79" s="55"/>
      <x:c r="M79" s="55"/>
      <x:c r="N79" s="55"/>
      <x:c r="O79" s="56"/>
      <x:c r="P79" s="55"/>
      <x:c r="Q79" s="55"/>
      <x:c r="R79" s="55"/>
      <x:c r="S79" s="55"/>
      <x:c r="T79" s="56"/>
      <x:c r="U79" s="55"/>
    </x:row>
    <x:row r="80" ht="28" customHeight="1">
      <x:c r="A80" s="55"/>
      <x:c r="B80" s="55"/>
      <x:c r="C80" s="60"/>
      <x:c r="D80" s="55"/>
      <x:c r="E80" s="55"/>
      <x:c r="F80" s="55"/>
      <x:c r="G80" s="56"/>
      <x:c r="H80" s="56"/>
      <x:c r="I80" s="56"/>
      <x:c r="J80" s="55"/>
      <x:c r="K80" s="63"/>
      <x:c r="L80" s="55"/>
      <x:c r="M80" s="55"/>
      <x:c r="N80" s="55"/>
      <x:c r="O80" s="56"/>
      <x:c r="P80" s="55"/>
      <x:c r="Q80" s="55"/>
      <x:c r="R80" s="55"/>
      <x:c r="S80" s="55"/>
      <x:c r="T80" s="56"/>
      <x:c r="U80" s="55"/>
    </x:row>
    <x:row r="81" ht="28" customHeight="1">
      <x:c r="A81" s="55"/>
      <x:c r="B81" s="55"/>
      <x:c r="C81" s="60"/>
      <x:c r="D81" s="55"/>
      <x:c r="E81" s="55"/>
      <x:c r="F81" s="55"/>
      <x:c r="G81" s="56"/>
      <x:c r="H81" s="56"/>
      <x:c r="I81" s="56"/>
      <x:c r="J81" s="55"/>
      <x:c r="K81" s="63"/>
      <x:c r="L81" s="55"/>
      <x:c r="M81" s="55"/>
      <x:c r="N81" s="55"/>
      <x:c r="O81" s="56"/>
      <x:c r="P81" s="55"/>
      <x:c r="Q81" s="55"/>
      <x:c r="R81" s="55"/>
      <x:c r="S81" s="55"/>
      <x:c r="T81" s="56"/>
      <x:c r="U81" s="55"/>
    </x:row>
    <x:row r="82" ht="28" customHeight="1">
      <x:c r="A82" s="55"/>
      <x:c r="B82" s="55"/>
      <x:c r="C82" s="60"/>
      <x:c r="D82" s="55"/>
      <x:c r="E82" s="55"/>
      <x:c r="F82" s="55"/>
      <x:c r="G82" s="56"/>
      <x:c r="H82" s="56"/>
      <x:c r="I82" s="56"/>
      <x:c r="J82" s="55"/>
      <x:c r="K82" s="63"/>
      <x:c r="L82" s="55"/>
      <x:c r="M82" s="55"/>
      <x:c r="N82" s="55"/>
      <x:c r="O82" s="56"/>
      <x:c r="P82" s="55"/>
      <x:c r="Q82" s="55"/>
      <x:c r="R82" s="55"/>
      <x:c r="S82" s="55"/>
      <x:c r="T82" s="56"/>
      <x:c r="U82" s="55"/>
    </x:row>
    <x:row r="83" ht="28" customHeight="1">
      <x:c r="A83" s="55"/>
      <x:c r="B83" s="55"/>
      <x:c r="C83" s="60"/>
      <x:c r="D83" s="55"/>
      <x:c r="E83" s="55"/>
      <x:c r="F83" s="55"/>
      <x:c r="G83" s="56"/>
      <x:c r="H83" s="56"/>
      <x:c r="I83" s="56"/>
      <x:c r="J83" s="55"/>
      <x:c r="K83" s="63"/>
      <x:c r="L83" s="55"/>
      <x:c r="M83" s="55"/>
      <x:c r="N83" s="55"/>
      <x:c r="O83" s="56"/>
      <x:c r="P83" s="55"/>
      <x:c r="Q83" s="55"/>
      <x:c r="R83" s="55"/>
      <x:c r="S83" s="55"/>
      <x:c r="T83" s="56"/>
      <x:c r="U83" s="55"/>
    </x:row>
    <x:row r="84" ht="28" customHeight="1">
      <x:c r="A84" s="55"/>
      <x:c r="B84" s="55"/>
      <x:c r="C84" s="60"/>
      <x:c r="D84" s="55"/>
      <x:c r="E84" s="55"/>
      <x:c r="F84" s="55"/>
      <x:c r="G84" s="56"/>
      <x:c r="H84" s="56"/>
      <x:c r="I84" s="56"/>
      <x:c r="J84" s="55"/>
      <x:c r="K84" s="63"/>
      <x:c r="L84" s="55"/>
      <x:c r="M84" s="55"/>
      <x:c r="N84" s="55"/>
      <x:c r="O84" s="56"/>
      <x:c r="P84" s="55"/>
      <x:c r="Q84" s="55"/>
      <x:c r="R84" s="55"/>
      <x:c r="S84" s="55"/>
      <x:c r="T84" s="56"/>
      <x:c r="U84" s="55"/>
    </x:row>
    <x:row r="85" ht="28" customHeight="1">
      <x:c r="A85" s="55"/>
      <x:c r="B85" s="55"/>
      <x:c r="C85" s="60"/>
      <x:c r="D85" s="55"/>
      <x:c r="E85" s="55"/>
      <x:c r="F85" s="55"/>
      <x:c r="G85" s="56"/>
      <x:c r="H85" s="56"/>
      <x:c r="I85" s="56"/>
      <x:c r="J85" s="55"/>
      <x:c r="K85" s="63"/>
      <x:c r="L85" s="55"/>
      <x:c r="M85" s="55"/>
      <x:c r="N85" s="55"/>
      <x:c r="O85" s="56"/>
      <x:c r="P85" s="55"/>
      <x:c r="Q85" s="55"/>
      <x:c r="R85" s="55"/>
      <x:c r="S85" s="55"/>
      <x:c r="T85" s="56"/>
      <x:c r="U85" s="55"/>
    </x:row>
    <x:row r="86" ht="28" customHeight="1">
      <x:c r="A86" s="55"/>
      <x:c r="B86" s="55"/>
      <x:c r="C86" s="60"/>
      <x:c r="D86" s="55"/>
      <x:c r="E86" s="55"/>
      <x:c r="F86" s="55"/>
      <x:c r="G86" s="56"/>
      <x:c r="H86" s="56"/>
      <x:c r="I86" s="56"/>
      <x:c r="J86" s="55"/>
      <x:c r="K86" s="63"/>
      <x:c r="L86" s="55"/>
      <x:c r="M86" s="55"/>
      <x:c r="N86" s="55"/>
      <x:c r="O86" s="56"/>
      <x:c r="P86" s="55"/>
      <x:c r="Q86" s="55"/>
      <x:c r="R86" s="55"/>
      <x:c r="S86" s="55"/>
      <x:c r="T86" s="56"/>
      <x:c r="U86" s="55"/>
    </x:row>
    <x:row r="87" ht="28" customHeight="1">
      <x:c r="A87" s="55"/>
      <x:c r="B87" s="55"/>
      <x:c r="C87" s="60"/>
      <x:c r="D87" s="55"/>
      <x:c r="E87" s="55"/>
      <x:c r="F87" s="55"/>
      <x:c r="G87" s="56"/>
      <x:c r="H87" s="56"/>
      <x:c r="I87" s="56"/>
      <x:c r="J87" s="55"/>
      <x:c r="K87" s="63"/>
      <x:c r="L87" s="55"/>
      <x:c r="M87" s="55"/>
      <x:c r="N87" s="55"/>
      <x:c r="O87" s="56"/>
      <x:c r="P87" s="55"/>
      <x:c r="Q87" s="55"/>
      <x:c r="R87" s="55"/>
      <x:c r="S87" s="55"/>
      <x:c r="T87" s="56"/>
      <x:c r="U87" s="55"/>
    </x:row>
    <x:row r="88" ht="28" customHeight="1">
      <x:c r="A88" s="55"/>
      <x:c r="B88" s="55"/>
      <x:c r="C88" s="60"/>
      <x:c r="D88" s="55"/>
      <x:c r="E88" s="55"/>
      <x:c r="F88" s="55"/>
      <x:c r="G88" s="56"/>
      <x:c r="H88" s="56"/>
      <x:c r="I88" s="56"/>
      <x:c r="J88" s="55"/>
      <x:c r="K88" s="63"/>
      <x:c r="L88" s="55"/>
      <x:c r="M88" s="55"/>
      <x:c r="N88" s="55"/>
      <x:c r="O88" s="56"/>
      <x:c r="P88" s="55"/>
      <x:c r="Q88" s="55"/>
      <x:c r="R88" s="55"/>
      <x:c r="S88" s="55"/>
      <x:c r="T88" s="56"/>
      <x:c r="U88" s="55"/>
    </x:row>
    <x:row r="89" ht="28" customHeight="1">
      <x:c r="A89" s="55"/>
      <x:c r="B89" s="55"/>
      <x:c r="C89" s="60"/>
      <x:c r="D89" s="55"/>
      <x:c r="E89" s="55"/>
      <x:c r="F89" s="55"/>
      <x:c r="G89" s="56"/>
      <x:c r="H89" s="56"/>
      <x:c r="I89" s="56"/>
      <x:c r="J89" s="55"/>
      <x:c r="K89" s="63"/>
      <x:c r="L89" s="55"/>
      <x:c r="M89" s="55"/>
      <x:c r="N89" s="55"/>
      <x:c r="O89" s="56"/>
      <x:c r="P89" s="55"/>
      <x:c r="Q89" s="55"/>
      <x:c r="R89" s="55"/>
      <x:c r="S89" s="55"/>
      <x:c r="T89" s="56"/>
      <x:c r="U89" s="55"/>
    </x:row>
    <x:row r="90" ht="28" customHeight="1">
      <x:c r="A90" s="55"/>
      <x:c r="B90" s="55"/>
      <x:c r="C90" s="60"/>
      <x:c r="D90" s="55"/>
      <x:c r="E90" s="55"/>
      <x:c r="F90" s="55"/>
      <x:c r="G90" s="56"/>
      <x:c r="H90" s="56"/>
      <x:c r="I90" s="56"/>
      <x:c r="J90" s="55"/>
      <x:c r="K90" s="63"/>
      <x:c r="L90" s="55"/>
      <x:c r="M90" s="55"/>
      <x:c r="N90" s="55"/>
      <x:c r="O90" s="56"/>
      <x:c r="P90" s="55"/>
      <x:c r="Q90" s="55"/>
      <x:c r="R90" s="55"/>
      <x:c r="S90" s="55"/>
      <x:c r="T90" s="56"/>
      <x:c r="U90" s="55"/>
    </x:row>
    <x:row r="91" ht="28" customHeight="1">
      <x:c r="A91" s="55"/>
      <x:c r="B91" s="55"/>
      <x:c r="C91" s="60"/>
      <x:c r="D91" s="55"/>
      <x:c r="E91" s="55"/>
      <x:c r="F91" s="55"/>
      <x:c r="G91" s="56"/>
      <x:c r="H91" s="56"/>
      <x:c r="I91" s="56"/>
      <x:c r="J91" s="55"/>
      <x:c r="K91" s="63"/>
      <x:c r="L91" s="55"/>
      <x:c r="M91" s="55"/>
      <x:c r="N91" s="55"/>
      <x:c r="O91" s="56"/>
      <x:c r="P91" s="55"/>
      <x:c r="Q91" s="55"/>
      <x:c r="R91" s="55"/>
      <x:c r="S91" s="55"/>
      <x:c r="T91" s="56"/>
      <x:c r="U91" s="55"/>
    </x:row>
    <x:row r="92" ht="28" customHeight="1">
      <x:c r="A92" s="55"/>
      <x:c r="B92" s="55"/>
      <x:c r="C92" s="60"/>
      <x:c r="D92" s="55"/>
      <x:c r="E92" s="55"/>
      <x:c r="F92" s="55"/>
      <x:c r="G92" s="56"/>
      <x:c r="H92" s="56"/>
      <x:c r="I92" s="56"/>
      <x:c r="J92" s="55"/>
      <x:c r="K92" s="63"/>
      <x:c r="L92" s="55"/>
      <x:c r="M92" s="55"/>
      <x:c r="N92" s="55"/>
      <x:c r="O92" s="56"/>
      <x:c r="P92" s="55"/>
      <x:c r="Q92" s="55"/>
      <x:c r="R92" s="55"/>
      <x:c r="S92" s="55"/>
      <x:c r="T92" s="56"/>
      <x:c r="U92" s="55"/>
    </x:row>
    <x:row r="93" ht="28" customHeight="1">
      <x:c r="A93" s="55"/>
      <x:c r="B93" s="55"/>
      <x:c r="C93" s="60"/>
      <x:c r="D93" s="55"/>
      <x:c r="E93" s="55"/>
      <x:c r="F93" s="55"/>
      <x:c r="G93" s="56"/>
      <x:c r="H93" s="56"/>
      <x:c r="I93" s="56"/>
      <x:c r="J93" s="55"/>
      <x:c r="K93" s="63"/>
      <x:c r="L93" s="55"/>
      <x:c r="M93" s="55"/>
      <x:c r="N93" s="55"/>
      <x:c r="O93" s="56"/>
      <x:c r="P93" s="55"/>
      <x:c r="Q93" s="55"/>
      <x:c r="R93" s="55"/>
      <x:c r="S93" s="55"/>
      <x:c r="T93" s="56"/>
      <x:c r="U93" s="55"/>
    </x:row>
    <x:row r="94" ht="28" customHeight="1">
      <x:c r="A94" s="55"/>
      <x:c r="B94" s="55"/>
      <x:c r="C94" s="60"/>
      <x:c r="D94" s="55"/>
      <x:c r="E94" s="55"/>
      <x:c r="F94" s="55"/>
      <x:c r="G94" s="56"/>
      <x:c r="H94" s="56"/>
      <x:c r="I94" s="56"/>
      <x:c r="J94" s="55"/>
      <x:c r="K94" s="63"/>
      <x:c r="L94" s="55"/>
      <x:c r="M94" s="55"/>
      <x:c r="N94" s="55"/>
      <x:c r="O94" s="56"/>
      <x:c r="P94" s="55"/>
      <x:c r="Q94" s="55"/>
      <x:c r="R94" s="55"/>
      <x:c r="S94" s="55"/>
      <x:c r="T94" s="56"/>
      <x:c r="U94" s="55"/>
    </x:row>
    <x:row r="95" ht="28" customHeight="1">
      <x:c r="A95" s="55"/>
      <x:c r="B95" s="55"/>
      <x:c r="C95" s="60"/>
      <x:c r="D95" s="55"/>
      <x:c r="E95" s="55"/>
      <x:c r="F95" s="55"/>
      <x:c r="G95" s="56"/>
      <x:c r="H95" s="56"/>
      <x:c r="I95" s="56"/>
      <x:c r="J95" s="55"/>
      <x:c r="K95" s="63"/>
      <x:c r="L95" s="55"/>
      <x:c r="M95" s="55"/>
      <x:c r="N95" s="55"/>
      <x:c r="O95" s="56"/>
      <x:c r="P95" s="55"/>
      <x:c r="Q95" s="55"/>
      <x:c r="R95" s="55"/>
      <x:c r="S95" s="55"/>
      <x:c r="T95" s="56"/>
      <x:c r="U95" s="55"/>
    </x:row>
    <x:row r="96" ht="28" customHeight="1">
      <x:c r="A96" s="55"/>
      <x:c r="B96" s="55"/>
      <x:c r="C96" s="60"/>
      <x:c r="D96" s="55"/>
      <x:c r="E96" s="55"/>
      <x:c r="F96" s="55"/>
      <x:c r="G96" s="56"/>
      <x:c r="H96" s="56"/>
      <x:c r="I96" s="56"/>
      <x:c r="J96" s="55"/>
      <x:c r="K96" s="63"/>
      <x:c r="L96" s="55"/>
      <x:c r="M96" s="55"/>
      <x:c r="N96" s="55"/>
      <x:c r="O96" s="56"/>
      <x:c r="P96" s="55"/>
      <x:c r="Q96" s="55"/>
      <x:c r="R96" s="55"/>
      <x:c r="S96" s="55"/>
      <x:c r="T96" s="56"/>
      <x:c r="U96" s="55"/>
    </x:row>
    <x:row r="97" ht="28" customHeight="1">
      <x:c r="A97" s="55"/>
      <x:c r="B97" s="55"/>
      <x:c r="C97" s="60"/>
      <x:c r="D97" s="55"/>
      <x:c r="E97" s="55"/>
      <x:c r="F97" s="55"/>
      <x:c r="G97" s="56"/>
      <x:c r="H97" s="56"/>
      <x:c r="I97" s="56"/>
      <x:c r="J97" s="55"/>
      <x:c r="K97" s="63"/>
      <x:c r="L97" s="55"/>
      <x:c r="M97" s="55"/>
      <x:c r="N97" s="55"/>
      <x:c r="O97" s="56"/>
      <x:c r="P97" s="55"/>
      <x:c r="Q97" s="55"/>
      <x:c r="R97" s="55"/>
      <x:c r="S97" s="55"/>
      <x:c r="T97" s="56"/>
      <x:c r="U97" s="55"/>
    </x:row>
    <x:row r="98" ht="28" customHeight="1">
      <x:c r="A98" s="55"/>
      <x:c r="B98" s="55"/>
      <x:c r="C98" s="60"/>
      <x:c r="D98" s="55"/>
      <x:c r="E98" s="55"/>
      <x:c r="F98" s="55"/>
      <x:c r="G98" s="56"/>
      <x:c r="H98" s="56"/>
      <x:c r="I98" s="56"/>
      <x:c r="J98" s="55"/>
      <x:c r="K98" s="63"/>
      <x:c r="L98" s="55"/>
      <x:c r="M98" s="55"/>
      <x:c r="N98" s="55"/>
      <x:c r="O98" s="56"/>
      <x:c r="P98" s="55"/>
      <x:c r="Q98" s="55"/>
      <x:c r="R98" s="55"/>
      <x:c r="S98" s="55"/>
      <x:c r="T98" s="56"/>
      <x:c r="U98" s="55"/>
    </x:row>
    <x:row r="99" ht="28" customHeight="1">
      <x:c r="A99" s="55"/>
      <x:c r="B99" s="55"/>
      <x:c r="C99" s="60"/>
      <x:c r="D99" s="55"/>
      <x:c r="E99" s="55"/>
      <x:c r="F99" s="55"/>
      <x:c r="G99" s="56"/>
      <x:c r="H99" s="56"/>
      <x:c r="I99" s="56"/>
      <x:c r="J99" s="55"/>
      <x:c r="K99" s="63"/>
      <x:c r="L99" s="55"/>
      <x:c r="M99" s="55"/>
      <x:c r="N99" s="55"/>
      <x:c r="O99" s="56"/>
      <x:c r="P99" s="55"/>
      <x:c r="Q99" s="55"/>
      <x:c r="R99" s="55"/>
      <x:c r="S99" s="55"/>
      <x:c r="T99" s="56"/>
      <x:c r="U99" s="55"/>
    </x:row>
    <x:row r="100" ht="28" customHeight="1">
      <x:c r="A100" s="55"/>
      <x:c r="B100" s="55"/>
      <x:c r="C100" s="60"/>
      <x:c r="D100" s="55"/>
      <x:c r="E100" s="55"/>
      <x:c r="F100" s="55"/>
      <x:c r="G100" s="56"/>
      <x:c r="H100" s="56"/>
      <x:c r="I100" s="56"/>
      <x:c r="J100" s="55"/>
      <x:c r="K100" s="63"/>
      <x:c r="L100" s="55"/>
      <x:c r="M100" s="55"/>
      <x:c r="N100" s="55"/>
      <x:c r="O100" s="56"/>
      <x:c r="P100" s="55"/>
      <x:c r="Q100" s="55"/>
      <x:c r="R100" s="55"/>
      <x:c r="S100" s="55"/>
      <x:c r="T100" s="56"/>
      <x:c r="U100" s="55"/>
    </x:row>
    <x:row r="101" ht="28" customHeight="1">
      <x:c r="A101" s="55"/>
      <x:c r="B101" s="55"/>
      <x:c r="C101" s="60"/>
      <x:c r="D101" s="55"/>
      <x:c r="E101" s="55"/>
      <x:c r="F101" s="55"/>
      <x:c r="G101" s="56"/>
      <x:c r="H101" s="56"/>
      <x:c r="I101" s="56"/>
      <x:c r="J101" s="55"/>
      <x:c r="K101" s="63"/>
      <x:c r="L101" s="55"/>
      <x:c r="M101" s="55"/>
      <x:c r="N101" s="55"/>
      <x:c r="O101" s="56"/>
      <x:c r="P101" s="55"/>
      <x:c r="Q101" s="55"/>
      <x:c r="R101" s="55"/>
      <x:c r="S101" s="55"/>
      <x:c r="T101" s="56"/>
      <x:c r="U101" s="55"/>
    </x:row>
    <x:row r="102" ht="28" customHeight="1">
      <x:c r="A102" s="55"/>
      <x:c r="B102" s="55"/>
      <x:c r="C102" s="60"/>
      <x:c r="D102" s="55"/>
      <x:c r="E102" s="55"/>
      <x:c r="F102" s="55"/>
      <x:c r="G102" s="56"/>
      <x:c r="H102" s="56"/>
      <x:c r="I102" s="56"/>
      <x:c r="J102" s="55"/>
      <x:c r="K102" s="63"/>
      <x:c r="L102" s="55"/>
      <x:c r="M102" s="55"/>
      <x:c r="N102" s="55"/>
      <x:c r="O102" s="56"/>
      <x:c r="P102" s="55"/>
      <x:c r="Q102" s="55"/>
      <x:c r="R102" s="55"/>
      <x:c r="S102" s="55"/>
      <x:c r="T102" s="56"/>
      <x:c r="U102" s="55"/>
    </x:row>
    <x:row r="103" ht="28" customHeight="1">
      <x:c r="A103" s="55"/>
      <x:c r="B103" s="55"/>
      <x:c r="C103" s="60"/>
      <x:c r="D103" s="55"/>
      <x:c r="E103" s="55"/>
      <x:c r="F103" s="55"/>
      <x:c r="G103" s="56"/>
      <x:c r="H103" s="56"/>
      <x:c r="I103" s="56"/>
      <x:c r="J103" s="55"/>
      <x:c r="K103" s="63"/>
      <x:c r="L103" s="55"/>
      <x:c r="M103" s="55"/>
      <x:c r="N103" s="55"/>
      <x:c r="O103" s="56"/>
      <x:c r="P103" s="55"/>
      <x:c r="Q103" s="55"/>
      <x:c r="R103" s="55"/>
      <x:c r="S103" s="55"/>
      <x:c r="T103" s="56"/>
      <x:c r="U103" s="55"/>
    </x:row>
    <x:row r="104" ht="28" customHeight="1">
      <x:c r="A104" s="55"/>
      <x:c r="B104" s="55"/>
      <x:c r="C104" s="60"/>
      <x:c r="D104" s="55"/>
      <x:c r="E104" s="55"/>
      <x:c r="F104" s="55"/>
      <x:c r="G104" s="56"/>
      <x:c r="H104" s="56"/>
      <x:c r="I104" s="56"/>
      <x:c r="J104" s="55"/>
      <x:c r="K104" s="63"/>
      <x:c r="L104" s="55"/>
      <x:c r="M104" s="55"/>
      <x:c r="N104" s="55"/>
      <x:c r="O104" s="56"/>
      <x:c r="P104" s="55"/>
      <x:c r="Q104" s="55"/>
      <x:c r="R104" s="55"/>
      <x:c r="S104" s="55"/>
      <x:c r="T104" s="56"/>
      <x:c r="U104" s="55"/>
    </x:row>
    <x:row r="105" ht="28" customHeight="1">
      <x:c r="A105" s="55"/>
      <x:c r="B105" s="55"/>
      <x:c r="C105" s="60"/>
      <x:c r="D105" s="55"/>
      <x:c r="E105" s="55"/>
      <x:c r="F105" s="55"/>
      <x:c r="G105" s="56"/>
      <x:c r="H105" s="56"/>
      <x:c r="I105" s="56"/>
      <x:c r="J105" s="55"/>
      <x:c r="K105" s="63"/>
      <x:c r="L105" s="55"/>
      <x:c r="M105" s="55"/>
      <x:c r="N105" s="55"/>
      <x:c r="O105" s="56"/>
      <x:c r="P105" s="55"/>
      <x:c r="Q105" s="55"/>
      <x:c r="R105" s="55"/>
      <x:c r="S105" s="55"/>
      <x:c r="T105" s="56"/>
      <x:c r="U105" s="55"/>
    </x:row>
    <x:row r="106" ht="28" customHeight="1">
      <x:c r="A106" s="55"/>
      <x:c r="B106" s="55"/>
      <x:c r="C106" s="60"/>
      <x:c r="D106" s="55"/>
      <x:c r="E106" s="55"/>
      <x:c r="F106" s="55"/>
      <x:c r="G106" s="56"/>
      <x:c r="H106" s="56"/>
      <x:c r="I106" s="56"/>
      <x:c r="J106" s="55"/>
      <x:c r="K106" s="63"/>
      <x:c r="L106" s="55"/>
      <x:c r="M106" s="55"/>
      <x:c r="N106" s="55"/>
      <x:c r="O106" s="56"/>
      <x:c r="P106" s="55"/>
      <x:c r="Q106" s="55"/>
      <x:c r="R106" s="55"/>
      <x:c r="S106" s="55"/>
      <x:c r="T106" s="56"/>
      <x:c r="U106" s="55"/>
    </x:row>
    <x:row r="107" ht="28" customHeight="1">
      <x:c r="A107" s="55"/>
      <x:c r="B107" s="55"/>
      <x:c r="C107" s="60"/>
      <x:c r="D107" s="55"/>
      <x:c r="E107" s="55"/>
      <x:c r="F107" s="55"/>
      <x:c r="G107" s="56"/>
      <x:c r="H107" s="56"/>
      <x:c r="I107" s="56"/>
      <x:c r="J107" s="55"/>
      <x:c r="K107" s="63"/>
      <x:c r="L107" s="55"/>
      <x:c r="M107" s="55"/>
      <x:c r="N107" s="55"/>
      <x:c r="O107" s="56"/>
      <x:c r="P107" s="55"/>
      <x:c r="Q107" s="55"/>
      <x:c r="R107" s="55"/>
      <x:c r="S107" s="55"/>
      <x:c r="T107" s="56"/>
      <x:c r="U107" s="55"/>
    </x:row>
    <x:row r="108" ht="28" customHeight="1">
      <x:c r="A108" s="55"/>
      <x:c r="B108" s="55"/>
      <x:c r="C108" s="60"/>
      <x:c r="D108" s="55"/>
      <x:c r="E108" s="55"/>
      <x:c r="F108" s="55"/>
      <x:c r="G108" s="56"/>
      <x:c r="H108" s="56"/>
      <x:c r="I108" s="56"/>
      <x:c r="J108" s="55"/>
      <x:c r="K108" s="63"/>
      <x:c r="L108" s="55"/>
      <x:c r="M108" s="55"/>
      <x:c r="N108" s="55"/>
      <x:c r="O108" s="56"/>
      <x:c r="P108" s="55"/>
      <x:c r="Q108" s="55"/>
      <x:c r="R108" s="55"/>
      <x:c r="S108" s="55"/>
      <x:c r="T108" s="56"/>
      <x:c r="U108" s="55"/>
    </x:row>
    <x:row r="109" ht="28" customHeight="1">
      <x:c r="A109" s="55"/>
      <x:c r="B109" s="55"/>
      <x:c r="C109" s="60"/>
      <x:c r="D109" s="55"/>
      <x:c r="E109" s="55"/>
      <x:c r="F109" s="55"/>
      <x:c r="G109" s="56"/>
      <x:c r="H109" s="56"/>
      <x:c r="I109" s="56"/>
      <x:c r="J109" s="55"/>
      <x:c r="K109" s="63"/>
      <x:c r="L109" s="55"/>
      <x:c r="M109" s="55"/>
      <x:c r="N109" s="55"/>
      <x:c r="O109" s="56"/>
      <x:c r="P109" s="55"/>
      <x:c r="Q109" s="55"/>
      <x:c r="R109" s="55"/>
      <x:c r="S109" s="55"/>
      <x:c r="T109" s="56"/>
      <x:c r="U109" s="55"/>
    </x:row>
    <x:row r="110" ht="28" customHeight="1">
      <x:c r="A110" s="55"/>
      <x:c r="B110" s="55"/>
      <x:c r="C110" s="60"/>
      <x:c r="D110" s="55"/>
      <x:c r="E110" s="55"/>
      <x:c r="F110" s="55"/>
      <x:c r="G110" s="56"/>
      <x:c r="H110" s="56"/>
      <x:c r="I110" s="56"/>
      <x:c r="J110" s="55"/>
      <x:c r="K110" s="63"/>
      <x:c r="L110" s="55"/>
      <x:c r="M110" s="55"/>
      <x:c r="N110" s="55"/>
      <x:c r="O110" s="56"/>
      <x:c r="P110" s="55"/>
      <x:c r="Q110" s="55"/>
      <x:c r="R110" s="55"/>
      <x:c r="S110" s="55"/>
      <x:c r="T110" s="56"/>
      <x:c r="U110" s="55"/>
    </x:row>
    <x:row r="111" ht="28" customHeight="1">
      <x:c r="A111" s="55"/>
      <x:c r="B111" s="55"/>
      <x:c r="C111" s="60"/>
      <x:c r="D111" s="55"/>
      <x:c r="E111" s="55"/>
      <x:c r="F111" s="55"/>
      <x:c r="G111" s="56"/>
      <x:c r="H111" s="56"/>
      <x:c r="I111" s="56"/>
      <x:c r="J111" s="55"/>
      <x:c r="K111" s="63"/>
      <x:c r="L111" s="55"/>
      <x:c r="M111" s="55"/>
      <x:c r="N111" s="55"/>
      <x:c r="O111" s="56"/>
      <x:c r="P111" s="55"/>
      <x:c r="Q111" s="55"/>
      <x:c r="R111" s="55"/>
      <x:c r="S111" s="55"/>
      <x:c r="T111" s="56"/>
      <x:c r="U111" s="55"/>
    </x:row>
    <x:row r="112" ht="28" customHeight="1">
      <x:c r="A112" s="55"/>
      <x:c r="B112" s="55"/>
      <x:c r="C112" s="60"/>
      <x:c r="D112" s="55"/>
      <x:c r="E112" s="55"/>
      <x:c r="F112" s="55"/>
      <x:c r="G112" s="56"/>
      <x:c r="H112" s="56"/>
      <x:c r="I112" s="56"/>
      <x:c r="J112" s="55"/>
      <x:c r="K112" s="63"/>
      <x:c r="L112" s="55"/>
      <x:c r="M112" s="55"/>
      <x:c r="N112" s="55"/>
      <x:c r="O112" s="56"/>
      <x:c r="P112" s="55"/>
      <x:c r="Q112" s="55"/>
      <x:c r="R112" s="55"/>
      <x:c r="S112" s="55"/>
      <x:c r="T112" s="56"/>
      <x:c r="U112" s="55"/>
    </x:row>
    <x:row r="113" ht="28" customHeight="1">
      <x:c r="A113" s="55"/>
      <x:c r="B113" s="55"/>
      <x:c r="C113" s="60"/>
      <x:c r="D113" s="55"/>
      <x:c r="E113" s="55"/>
      <x:c r="F113" s="55"/>
      <x:c r="G113" s="56"/>
      <x:c r="H113" s="56"/>
      <x:c r="I113" s="56"/>
      <x:c r="J113" s="55"/>
      <x:c r="K113" s="63"/>
      <x:c r="L113" s="55"/>
      <x:c r="M113" s="55"/>
      <x:c r="N113" s="55"/>
      <x:c r="O113" s="56"/>
      <x:c r="P113" s="55"/>
      <x:c r="Q113" s="55"/>
      <x:c r="R113" s="55"/>
      <x:c r="S113" s="55"/>
      <x:c r="T113" s="56"/>
      <x:c r="U113" s="55"/>
    </x:row>
    <x:row r="114" ht="28" customHeight="1">
      <x:c r="A114" s="55"/>
      <x:c r="B114" s="55"/>
      <x:c r="C114" s="60"/>
      <x:c r="D114" s="55"/>
      <x:c r="E114" s="55"/>
      <x:c r="F114" s="55"/>
      <x:c r="G114" s="56"/>
      <x:c r="H114" s="56"/>
      <x:c r="I114" s="56"/>
      <x:c r="J114" s="55"/>
      <x:c r="K114" s="63"/>
      <x:c r="L114" s="55"/>
      <x:c r="M114" s="55"/>
      <x:c r="N114" s="55"/>
      <x:c r="O114" s="56"/>
      <x:c r="P114" s="55"/>
      <x:c r="Q114" s="55"/>
      <x:c r="R114" s="55"/>
      <x:c r="S114" s="55"/>
      <x:c r="T114" s="56"/>
      <x:c r="U114" s="55"/>
    </x:row>
    <x:row r="115" ht="28" customHeight="1">
      <x:c r="A115" s="55"/>
      <x:c r="B115" s="55"/>
      <x:c r="C115" s="60"/>
      <x:c r="D115" s="55"/>
      <x:c r="E115" s="55"/>
      <x:c r="F115" s="55"/>
      <x:c r="G115" s="56"/>
      <x:c r="H115" s="56"/>
      <x:c r="I115" s="56"/>
      <x:c r="J115" s="55"/>
      <x:c r="K115" s="63"/>
      <x:c r="L115" s="55"/>
      <x:c r="M115" s="55"/>
      <x:c r="N115" s="55"/>
      <x:c r="O115" s="56"/>
      <x:c r="P115" s="55"/>
      <x:c r="Q115" s="55"/>
      <x:c r="R115" s="55"/>
      <x:c r="S115" s="55"/>
      <x:c r="T115" s="56"/>
      <x:c r="U115" s="55"/>
    </x:row>
    <x:row r="116" ht="28" customHeight="1">
      <x:c r="A116" s="55"/>
      <x:c r="B116" s="55"/>
      <x:c r="C116" s="60"/>
      <x:c r="D116" s="55"/>
      <x:c r="E116" s="55"/>
      <x:c r="F116" s="55"/>
      <x:c r="G116" s="56"/>
      <x:c r="H116" s="56"/>
      <x:c r="I116" s="56"/>
      <x:c r="J116" s="55"/>
      <x:c r="K116" s="63"/>
      <x:c r="L116" s="55"/>
      <x:c r="M116" s="55"/>
      <x:c r="N116" s="55"/>
      <x:c r="O116" s="56"/>
      <x:c r="P116" s="55"/>
      <x:c r="Q116" s="55"/>
      <x:c r="R116" s="55"/>
      <x:c r="S116" s="55"/>
      <x:c r="T116" s="56"/>
      <x:c r="U116" s="55"/>
    </x:row>
    <x:row r="117" ht="28" customHeight="1">
      <x:c r="A117" s="55"/>
      <x:c r="B117" s="55"/>
      <x:c r="C117" s="60"/>
      <x:c r="D117" s="55"/>
      <x:c r="E117" s="55"/>
      <x:c r="F117" s="55"/>
      <x:c r="G117" s="56"/>
      <x:c r="H117" s="56"/>
      <x:c r="I117" s="56"/>
      <x:c r="J117" s="55"/>
      <x:c r="K117" s="63"/>
      <x:c r="L117" s="55"/>
      <x:c r="M117" s="55"/>
      <x:c r="N117" s="55"/>
      <x:c r="O117" s="56"/>
      <x:c r="P117" s="55"/>
      <x:c r="Q117" s="55"/>
      <x:c r="R117" s="55"/>
      <x:c r="S117" s="55"/>
      <x:c r="T117" s="56"/>
      <x:c r="U117" s="55"/>
    </x:row>
    <x:row r="118" ht="28" customHeight="1">
      <x:c r="A118" s="55"/>
      <x:c r="B118" s="55"/>
      <x:c r="C118" s="60"/>
      <x:c r="D118" s="55"/>
      <x:c r="E118" s="55"/>
      <x:c r="F118" s="55"/>
      <x:c r="G118" s="56"/>
      <x:c r="H118" s="56"/>
      <x:c r="I118" s="56"/>
      <x:c r="J118" s="55"/>
      <x:c r="K118" s="63"/>
      <x:c r="L118" s="55"/>
      <x:c r="M118" s="55"/>
      <x:c r="N118" s="55"/>
      <x:c r="O118" s="56"/>
      <x:c r="P118" s="55"/>
      <x:c r="Q118" s="55"/>
      <x:c r="R118" s="55"/>
      <x:c r="S118" s="55"/>
      <x:c r="T118" s="56"/>
      <x:c r="U118" s="55"/>
    </x:row>
    <x:row r="119" ht="28" customHeight="1">
      <x:c r="A119" s="55"/>
      <x:c r="B119" s="55"/>
      <x:c r="C119" s="60"/>
      <x:c r="D119" s="55"/>
      <x:c r="E119" s="55"/>
      <x:c r="F119" s="55"/>
      <x:c r="G119" s="56"/>
      <x:c r="H119" s="56"/>
      <x:c r="I119" s="56"/>
      <x:c r="J119" s="55"/>
      <x:c r="K119" s="63"/>
      <x:c r="L119" s="55"/>
      <x:c r="M119" s="55"/>
      <x:c r="N119" s="55"/>
      <x:c r="O119" s="56"/>
      <x:c r="P119" s="55"/>
      <x:c r="Q119" s="55"/>
      <x:c r="R119" s="55"/>
      <x:c r="S119" s="55"/>
      <x:c r="T119" s="56"/>
      <x:c r="U119" s="55"/>
    </x:row>
    <x:row r="120" ht="28" customHeight="1">
      <x:c r="A120" s="55"/>
      <x:c r="B120" s="55"/>
      <x:c r="C120" s="60"/>
      <x:c r="D120" s="55"/>
      <x:c r="E120" s="55"/>
      <x:c r="F120" s="55"/>
      <x:c r="G120" s="56"/>
      <x:c r="H120" s="56"/>
      <x:c r="I120" s="56"/>
      <x:c r="J120" s="55"/>
      <x:c r="K120" s="63"/>
      <x:c r="L120" s="55"/>
      <x:c r="M120" s="55"/>
      <x:c r="N120" s="55"/>
      <x:c r="O120" s="56"/>
      <x:c r="P120" s="55"/>
      <x:c r="Q120" s="55"/>
      <x:c r="R120" s="55"/>
      <x:c r="S120" s="55"/>
      <x:c r="T120" s="56"/>
      <x:c r="U120" s="55"/>
    </x:row>
    <x:row r="121" ht="28" customHeight="1">
      <x:c r="A121" s="55"/>
      <x:c r="B121" s="55"/>
      <x:c r="C121" s="60"/>
      <x:c r="D121" s="55"/>
      <x:c r="E121" s="55"/>
      <x:c r="F121" s="55"/>
      <x:c r="G121" s="56"/>
      <x:c r="H121" s="56"/>
      <x:c r="I121" s="56"/>
      <x:c r="J121" s="55"/>
      <x:c r="K121" s="63"/>
      <x:c r="L121" s="55"/>
      <x:c r="M121" s="55"/>
      <x:c r="N121" s="55"/>
      <x:c r="O121" s="56"/>
      <x:c r="P121" s="55"/>
      <x:c r="Q121" s="55"/>
      <x:c r="R121" s="55"/>
      <x:c r="S121" s="55"/>
      <x:c r="T121" s="56"/>
      <x:c r="U121" s="55"/>
    </x:row>
    <x:row r="122" ht="28" customHeight="1">
      <x:c r="A122" s="55"/>
      <x:c r="B122" s="55"/>
      <x:c r="C122" s="60"/>
      <x:c r="D122" s="55"/>
      <x:c r="E122" s="55"/>
      <x:c r="F122" s="55"/>
      <x:c r="G122" s="56"/>
      <x:c r="H122" s="56"/>
      <x:c r="I122" s="56"/>
      <x:c r="J122" s="55"/>
      <x:c r="K122" s="63"/>
      <x:c r="L122" s="55"/>
      <x:c r="M122" s="55"/>
      <x:c r="N122" s="55"/>
      <x:c r="O122" s="56"/>
      <x:c r="P122" s="55"/>
      <x:c r="Q122" s="55"/>
      <x:c r="R122" s="55"/>
      <x:c r="S122" s="55"/>
      <x:c r="T122" s="56"/>
      <x:c r="U122" s="55"/>
    </x:row>
    <x:row r="123" ht="28" customHeight="1">
      <x:c r="A123" s="55"/>
      <x:c r="B123" s="55"/>
      <x:c r="C123" s="60"/>
      <x:c r="D123" s="55"/>
      <x:c r="E123" s="55"/>
      <x:c r="F123" s="55"/>
      <x:c r="G123" s="56"/>
      <x:c r="H123" s="56"/>
      <x:c r="I123" s="56"/>
      <x:c r="J123" s="55"/>
      <x:c r="K123" s="63"/>
      <x:c r="L123" s="55"/>
      <x:c r="M123" s="55"/>
      <x:c r="N123" s="55"/>
      <x:c r="O123" s="56"/>
      <x:c r="P123" s="55"/>
      <x:c r="Q123" s="55"/>
      <x:c r="R123" s="55"/>
      <x:c r="S123" s="55"/>
      <x:c r="T123" s="56"/>
      <x:c r="U123" s="55"/>
    </x:row>
    <x:row r="124" ht="28" customHeight="1">
      <x:c r="A124" s="55"/>
      <x:c r="B124" s="55"/>
      <x:c r="C124" s="60"/>
      <x:c r="D124" s="55"/>
      <x:c r="E124" s="55"/>
      <x:c r="F124" s="55"/>
      <x:c r="G124" s="56"/>
      <x:c r="H124" s="56"/>
      <x:c r="I124" s="56"/>
      <x:c r="J124" s="55"/>
      <x:c r="K124" s="63"/>
      <x:c r="L124" s="55"/>
      <x:c r="M124" s="55"/>
      <x:c r="N124" s="55"/>
      <x:c r="O124" s="56"/>
      <x:c r="P124" s="55"/>
      <x:c r="Q124" s="55"/>
      <x:c r="R124" s="55"/>
      <x:c r="S124" s="55"/>
      <x:c r="T124" s="56"/>
      <x:c r="U124" s="55"/>
    </x:row>
    <x:row r="125" ht="28" customHeight="1">
      <x:c r="A125" s="55"/>
      <x:c r="B125" s="55"/>
      <x:c r="C125" s="60"/>
      <x:c r="D125" s="55"/>
      <x:c r="E125" s="55"/>
      <x:c r="F125" s="55"/>
      <x:c r="G125" s="56"/>
      <x:c r="H125" s="56"/>
      <x:c r="I125" s="56"/>
      <x:c r="J125" s="55"/>
      <x:c r="K125" s="63"/>
      <x:c r="L125" s="55"/>
      <x:c r="M125" s="55"/>
      <x:c r="N125" s="55"/>
      <x:c r="O125" s="56"/>
      <x:c r="P125" s="55"/>
      <x:c r="Q125" s="55"/>
      <x:c r="R125" s="55"/>
      <x:c r="S125" s="55"/>
      <x:c r="T125" s="56"/>
      <x:c r="U125" s="55"/>
    </x:row>
    <x:row r="126" ht="28" customHeight="1">
      <x:c r="A126" s="55"/>
      <x:c r="B126" s="55"/>
      <x:c r="C126" s="60"/>
      <x:c r="D126" s="55"/>
      <x:c r="E126" s="55"/>
      <x:c r="F126" s="55"/>
      <x:c r="G126" s="56"/>
      <x:c r="H126" s="56"/>
      <x:c r="I126" s="56"/>
      <x:c r="J126" s="55"/>
      <x:c r="K126" s="63"/>
      <x:c r="L126" s="55"/>
      <x:c r="M126" s="55"/>
      <x:c r="N126" s="55"/>
      <x:c r="O126" s="56"/>
      <x:c r="P126" s="55"/>
      <x:c r="Q126" s="55"/>
      <x:c r="R126" s="55"/>
      <x:c r="S126" s="55"/>
      <x:c r="T126" s="56"/>
      <x:c r="U126" s="55"/>
    </x:row>
    <x:row r="127" ht="28" customHeight="1">
      <x:c r="A127" s="55"/>
      <x:c r="B127" s="55"/>
      <x:c r="C127" s="60"/>
      <x:c r="D127" s="55"/>
      <x:c r="E127" s="55"/>
      <x:c r="F127" s="55"/>
      <x:c r="G127" s="56"/>
      <x:c r="H127" s="56"/>
      <x:c r="I127" s="56"/>
      <x:c r="J127" s="55"/>
      <x:c r="K127" s="63"/>
      <x:c r="L127" s="55"/>
      <x:c r="M127" s="55"/>
      <x:c r="N127" s="55"/>
      <x:c r="O127" s="56"/>
      <x:c r="P127" s="55"/>
      <x:c r="Q127" s="55"/>
      <x:c r="R127" s="55"/>
      <x:c r="S127" s="55"/>
      <x:c r="T127" s="56"/>
      <x:c r="U127" s="55"/>
    </x:row>
    <x:row r="128" ht="28" customHeight="1">
      <x:c r="A128" s="55"/>
      <x:c r="B128" s="55"/>
      <x:c r="C128" s="60"/>
      <x:c r="D128" s="55"/>
      <x:c r="E128" s="55"/>
      <x:c r="F128" s="55"/>
      <x:c r="G128" s="56"/>
      <x:c r="H128" s="56"/>
      <x:c r="I128" s="56"/>
      <x:c r="J128" s="55"/>
      <x:c r="K128" s="63"/>
      <x:c r="L128" s="55"/>
      <x:c r="M128" s="55"/>
      <x:c r="N128" s="55"/>
      <x:c r="O128" s="56"/>
      <x:c r="P128" s="55"/>
      <x:c r="Q128" s="55"/>
      <x:c r="R128" s="55"/>
      <x:c r="S128" s="55"/>
      <x:c r="T128" s="56"/>
      <x:c r="U128" s="55"/>
    </x:row>
    <x:row r="129" ht="28" customHeight="1">
      <x:c r="A129" s="55"/>
      <x:c r="B129" s="55"/>
      <x:c r="C129" s="60"/>
      <x:c r="D129" s="55"/>
      <x:c r="E129" s="55"/>
      <x:c r="F129" s="55"/>
      <x:c r="G129" s="56"/>
      <x:c r="H129" s="56"/>
      <x:c r="I129" s="56"/>
      <x:c r="J129" s="55"/>
      <x:c r="K129" s="63"/>
      <x:c r="L129" s="55"/>
      <x:c r="M129" s="55"/>
      <x:c r="N129" s="55"/>
      <x:c r="O129" s="56"/>
      <x:c r="P129" s="55"/>
      <x:c r="Q129" s="55"/>
      <x:c r="R129" s="55"/>
      <x:c r="S129" s="55"/>
      <x:c r="T129" s="56"/>
      <x:c r="U129" s="55"/>
    </x:row>
    <x:row r="130" ht="28" customHeight="1">
      <x:c r="A130" s="55"/>
      <x:c r="B130" s="55"/>
      <x:c r="C130" s="60"/>
      <x:c r="D130" s="55"/>
      <x:c r="E130" s="55"/>
      <x:c r="F130" s="55"/>
      <x:c r="G130" s="56"/>
      <x:c r="H130" s="56"/>
      <x:c r="I130" s="56"/>
      <x:c r="J130" s="55"/>
      <x:c r="K130" s="63"/>
      <x:c r="L130" s="55"/>
      <x:c r="M130" s="55"/>
      <x:c r="N130" s="55"/>
      <x:c r="O130" s="56"/>
      <x:c r="P130" s="55"/>
      <x:c r="Q130" s="55"/>
      <x:c r="R130" s="55"/>
      <x:c r="S130" s="55"/>
      <x:c r="T130" s="56"/>
      <x:c r="U130" s="55"/>
    </x:row>
    <x:row r="131" ht="28" customHeight="1">
      <x:c r="A131" s="55"/>
      <x:c r="B131" s="55"/>
      <x:c r="C131" s="60"/>
      <x:c r="D131" s="55"/>
      <x:c r="E131" s="55"/>
      <x:c r="F131" s="55"/>
      <x:c r="G131" s="56"/>
      <x:c r="H131" s="56"/>
      <x:c r="I131" s="56"/>
      <x:c r="J131" s="55"/>
      <x:c r="K131" s="63"/>
      <x:c r="L131" s="55"/>
      <x:c r="M131" s="55"/>
      <x:c r="N131" s="55"/>
      <x:c r="O131" s="56"/>
      <x:c r="P131" s="55"/>
      <x:c r="Q131" s="55"/>
      <x:c r="R131" s="55"/>
      <x:c r="S131" s="55"/>
      <x:c r="T131" s="56"/>
      <x:c r="U131" s="55"/>
    </x:row>
    <x:row r="132" ht="28" customHeight="1">
      <x:c r="A132" s="55"/>
      <x:c r="B132" s="55"/>
      <x:c r="C132" s="60"/>
      <x:c r="D132" s="55"/>
      <x:c r="E132" s="55"/>
      <x:c r="F132" s="55"/>
      <x:c r="G132" s="56"/>
      <x:c r="H132" s="56"/>
      <x:c r="I132" s="56"/>
      <x:c r="J132" s="55"/>
      <x:c r="K132" s="63"/>
      <x:c r="L132" s="55"/>
      <x:c r="M132" s="55"/>
      <x:c r="N132" s="55"/>
      <x:c r="O132" s="56"/>
      <x:c r="P132" s="55"/>
      <x:c r="Q132" s="55"/>
      <x:c r="R132" s="55"/>
      <x:c r="S132" s="55"/>
      <x:c r="T132" s="56"/>
      <x:c r="U132" s="55"/>
    </x:row>
    <x:row r="133" ht="28" customHeight="1">
      <x:c r="A133" s="55"/>
      <x:c r="B133" s="55"/>
      <x:c r="C133" s="60"/>
      <x:c r="D133" s="55"/>
      <x:c r="E133" s="55"/>
      <x:c r="F133" s="55"/>
      <x:c r="G133" s="56"/>
      <x:c r="H133" s="56"/>
      <x:c r="I133" s="56"/>
      <x:c r="J133" s="55"/>
      <x:c r="K133" s="63"/>
      <x:c r="L133" s="55"/>
      <x:c r="M133" s="55"/>
      <x:c r="N133" s="55"/>
      <x:c r="O133" s="56"/>
      <x:c r="P133" s="55"/>
      <x:c r="Q133" s="55"/>
      <x:c r="R133" s="55"/>
      <x:c r="S133" s="55"/>
      <x:c r="T133" s="56"/>
      <x:c r="U133" s="55"/>
    </x:row>
    <x:row r="134" ht="28" customHeight="1">
      <x:c r="A134" s="55"/>
      <x:c r="B134" s="55"/>
      <x:c r="C134" s="60"/>
      <x:c r="D134" s="55"/>
      <x:c r="E134" s="55"/>
      <x:c r="F134" s="55"/>
      <x:c r="G134" s="56"/>
      <x:c r="H134" s="56"/>
      <x:c r="I134" s="56"/>
      <x:c r="J134" s="55"/>
      <x:c r="K134" s="63"/>
      <x:c r="L134" s="55"/>
      <x:c r="M134" s="55"/>
      <x:c r="N134" s="55"/>
      <x:c r="O134" s="56"/>
      <x:c r="P134" s="55"/>
      <x:c r="Q134" s="55"/>
      <x:c r="R134" s="55"/>
      <x:c r="S134" s="55"/>
      <x:c r="T134" s="56"/>
      <x:c r="U134" s="55"/>
    </x:row>
    <x:row r="135" ht="28" customHeight="1">
      <x:c r="A135" s="55"/>
      <x:c r="B135" s="55"/>
      <x:c r="C135" s="60"/>
      <x:c r="D135" s="55"/>
      <x:c r="E135" s="55"/>
      <x:c r="F135" s="55"/>
      <x:c r="G135" s="56"/>
      <x:c r="H135" s="56"/>
      <x:c r="I135" s="56"/>
      <x:c r="J135" s="55"/>
      <x:c r="K135" s="63"/>
      <x:c r="L135" s="55"/>
      <x:c r="M135" s="55"/>
      <x:c r="N135" s="55"/>
      <x:c r="O135" s="56"/>
      <x:c r="P135" s="55"/>
      <x:c r="Q135" s="55"/>
      <x:c r="R135" s="55"/>
      <x:c r="S135" s="55"/>
      <x:c r="T135" s="56"/>
      <x:c r="U135" s="55"/>
    </x:row>
    <x:row r="136" ht="28" customHeight="1">
      <x:c r="A136" s="55"/>
      <x:c r="B136" s="55"/>
      <x:c r="C136" s="60"/>
      <x:c r="D136" s="55"/>
      <x:c r="E136" s="55"/>
      <x:c r="F136" s="55"/>
      <x:c r="G136" s="56"/>
      <x:c r="H136" s="56"/>
      <x:c r="I136" s="56"/>
      <x:c r="J136" s="55"/>
      <x:c r="K136" s="63"/>
      <x:c r="L136" s="55"/>
      <x:c r="M136" s="55"/>
      <x:c r="N136" s="55"/>
      <x:c r="O136" s="56"/>
      <x:c r="P136" s="55"/>
      <x:c r="Q136" s="55"/>
      <x:c r="R136" s="55"/>
      <x:c r="S136" s="55"/>
      <x:c r="T136" s="56"/>
      <x:c r="U136" s="55"/>
    </x:row>
    <x:row r="137" ht="28" customHeight="1">
      <x:c r="A137" s="55"/>
      <x:c r="B137" s="55"/>
      <x:c r="C137" s="60"/>
      <x:c r="D137" s="55"/>
      <x:c r="E137" s="55"/>
      <x:c r="F137" s="55"/>
      <x:c r="G137" s="56"/>
      <x:c r="H137" s="56"/>
      <x:c r="I137" s="56"/>
      <x:c r="J137" s="55"/>
      <x:c r="K137" s="63"/>
      <x:c r="L137" s="55"/>
      <x:c r="M137" s="55"/>
      <x:c r="N137" s="55"/>
      <x:c r="O137" s="56"/>
      <x:c r="P137" s="55"/>
      <x:c r="Q137" s="55"/>
      <x:c r="R137" s="55"/>
      <x:c r="S137" s="55"/>
      <x:c r="T137" s="56"/>
      <x:c r="U137" s="55"/>
    </x:row>
    <x:row r="138" ht="28" customHeight="1">
      <x:c r="A138" s="55"/>
      <x:c r="B138" s="55"/>
      <x:c r="C138" s="60"/>
      <x:c r="D138" s="55"/>
      <x:c r="E138" s="55"/>
      <x:c r="F138" s="55"/>
      <x:c r="G138" s="56"/>
      <x:c r="H138" s="56"/>
      <x:c r="I138" s="56"/>
      <x:c r="J138" s="55"/>
      <x:c r="K138" s="63"/>
      <x:c r="L138" s="55"/>
      <x:c r="M138" s="55"/>
      <x:c r="N138" s="55"/>
      <x:c r="O138" s="56"/>
      <x:c r="P138" s="55"/>
      <x:c r="Q138" s="55"/>
      <x:c r="R138" s="55"/>
      <x:c r="S138" s="55"/>
      <x:c r="T138" s="56"/>
      <x:c r="U138" s="55"/>
    </x:row>
    <x:row r="139" ht="28" customHeight="1">
      <x:c r="A139" s="55"/>
      <x:c r="B139" s="55"/>
      <x:c r="C139" s="60"/>
      <x:c r="D139" s="55"/>
      <x:c r="E139" s="55"/>
      <x:c r="F139" s="55"/>
      <x:c r="G139" s="56"/>
      <x:c r="H139" s="56"/>
      <x:c r="I139" s="56"/>
      <x:c r="J139" s="55"/>
      <x:c r="K139" s="63"/>
      <x:c r="L139" s="55"/>
      <x:c r="M139" s="55"/>
      <x:c r="N139" s="55"/>
      <x:c r="O139" s="56"/>
      <x:c r="P139" s="55"/>
      <x:c r="Q139" s="55"/>
      <x:c r="R139" s="55"/>
      <x:c r="S139" s="55"/>
      <x:c r="T139" s="56"/>
      <x:c r="U139" s="55"/>
    </x:row>
    <x:row r="140" ht="28" customHeight="1">
      <x:c r="A140" s="55"/>
      <x:c r="B140" s="55"/>
      <x:c r="C140" s="60"/>
      <x:c r="D140" s="55"/>
      <x:c r="E140" s="55"/>
      <x:c r="F140" s="55"/>
      <x:c r="G140" s="56"/>
      <x:c r="H140" s="56"/>
      <x:c r="I140" s="56"/>
      <x:c r="J140" s="55"/>
      <x:c r="K140" s="63"/>
      <x:c r="L140" s="55"/>
      <x:c r="M140" s="55"/>
      <x:c r="N140" s="55"/>
      <x:c r="O140" s="56"/>
      <x:c r="P140" s="55"/>
      <x:c r="Q140" s="55"/>
      <x:c r="R140" s="55"/>
      <x:c r="S140" s="55"/>
      <x:c r="T140" s="56"/>
      <x:c r="U140" s="55"/>
    </x:row>
    <x:row r="141" ht="28" customHeight="1">
      <x:c r="A141" s="55"/>
      <x:c r="B141" s="55"/>
      <x:c r="C141" s="60"/>
      <x:c r="D141" s="55"/>
      <x:c r="E141" s="55"/>
      <x:c r="F141" s="55"/>
      <x:c r="G141" s="56"/>
      <x:c r="H141" s="56"/>
      <x:c r="I141" s="56"/>
      <x:c r="J141" s="55"/>
      <x:c r="K141" s="63"/>
      <x:c r="L141" s="55"/>
      <x:c r="M141" s="55"/>
      <x:c r="N141" s="55"/>
      <x:c r="O141" s="56"/>
      <x:c r="P141" s="55"/>
      <x:c r="Q141" s="55"/>
      <x:c r="R141" s="55"/>
      <x:c r="S141" s="55"/>
      <x:c r="T141" s="56"/>
      <x:c r="U141" s="55"/>
    </x:row>
    <x:row r="142" ht="28" customHeight="1">
      <x:c r="A142" s="55"/>
      <x:c r="B142" s="55"/>
      <x:c r="C142" s="60"/>
      <x:c r="D142" s="55"/>
      <x:c r="E142" s="55"/>
      <x:c r="F142" s="55"/>
      <x:c r="G142" s="56"/>
      <x:c r="H142" s="56"/>
      <x:c r="I142" s="56"/>
      <x:c r="J142" s="55"/>
      <x:c r="K142" s="63"/>
      <x:c r="L142" s="55"/>
      <x:c r="M142" s="55"/>
      <x:c r="N142" s="55"/>
      <x:c r="O142" s="56"/>
      <x:c r="P142" s="55"/>
      <x:c r="Q142" s="55"/>
      <x:c r="R142" s="55"/>
      <x:c r="S142" s="55"/>
      <x:c r="T142" s="56"/>
      <x:c r="U142" s="55"/>
    </x:row>
    <x:row r="143" ht="28" customHeight="1">
      <x:c r="A143" s="55"/>
      <x:c r="B143" s="55"/>
      <x:c r="C143" s="60"/>
      <x:c r="D143" s="55"/>
      <x:c r="E143" s="55"/>
      <x:c r="F143" s="55"/>
      <x:c r="G143" s="56"/>
      <x:c r="H143" s="56"/>
      <x:c r="I143" s="56"/>
      <x:c r="J143" s="55"/>
      <x:c r="K143" s="63"/>
      <x:c r="L143" s="55"/>
      <x:c r="M143" s="55"/>
      <x:c r="N143" s="55"/>
      <x:c r="O143" s="56"/>
      <x:c r="P143" s="55"/>
      <x:c r="Q143" s="55"/>
      <x:c r="R143" s="55"/>
      <x:c r="S143" s="55"/>
      <x:c r="T143" s="56"/>
      <x:c r="U143" s="55"/>
    </x:row>
    <x:row r="144" ht="28" customHeight="1">
      <x:c r="A144" s="55"/>
      <x:c r="B144" s="55"/>
      <x:c r="C144" s="60"/>
      <x:c r="D144" s="55"/>
      <x:c r="E144" s="55"/>
      <x:c r="F144" s="55"/>
      <x:c r="G144" s="56"/>
      <x:c r="H144" s="56"/>
      <x:c r="I144" s="56"/>
      <x:c r="J144" s="55"/>
      <x:c r="K144" s="63"/>
      <x:c r="L144" s="55"/>
      <x:c r="M144" s="55"/>
      <x:c r="N144" s="55"/>
      <x:c r="O144" s="56"/>
      <x:c r="P144" s="55"/>
      <x:c r="Q144" s="55"/>
      <x:c r="R144" s="55"/>
      <x:c r="S144" s="55"/>
      <x:c r="T144" s="56"/>
      <x:c r="U144" s="55"/>
    </x:row>
    <x:row r="145" ht="28" customHeight="1">
      <x:c r="A145" s="55"/>
      <x:c r="B145" s="55"/>
      <x:c r="C145" s="60"/>
      <x:c r="D145" s="55"/>
      <x:c r="E145" s="55"/>
      <x:c r="F145" s="55"/>
      <x:c r="G145" s="56"/>
      <x:c r="H145" s="56"/>
      <x:c r="I145" s="56"/>
      <x:c r="J145" s="55"/>
      <x:c r="K145" s="63"/>
      <x:c r="L145" s="55"/>
      <x:c r="M145" s="55"/>
      <x:c r="N145" s="55"/>
      <x:c r="O145" s="56"/>
      <x:c r="P145" s="55"/>
      <x:c r="Q145" s="55"/>
      <x:c r="R145" s="55"/>
      <x:c r="S145" s="55"/>
      <x:c r="T145" s="56"/>
      <x:c r="U145" s="55"/>
    </x:row>
    <x:row r="146" ht="28" customHeight="1">
      <x:c r="A146" s="55"/>
      <x:c r="B146" s="55"/>
      <x:c r="C146" s="60"/>
      <x:c r="D146" s="55"/>
      <x:c r="E146" s="55"/>
      <x:c r="F146" s="55"/>
      <x:c r="G146" s="56"/>
      <x:c r="H146" s="56"/>
      <x:c r="I146" s="56"/>
      <x:c r="J146" s="55"/>
      <x:c r="K146" s="63"/>
      <x:c r="L146" s="55"/>
      <x:c r="M146" s="55"/>
      <x:c r="N146" s="55"/>
      <x:c r="O146" s="56"/>
      <x:c r="P146" s="55"/>
      <x:c r="Q146" s="55"/>
      <x:c r="R146" s="55"/>
      <x:c r="S146" s="55"/>
      <x:c r="T146" s="56"/>
      <x:c r="U146" s="55"/>
    </x:row>
    <x:row r="147" ht="28" customHeight="1">
      <x:c r="A147" s="55"/>
      <x:c r="B147" s="55"/>
      <x:c r="C147" s="60"/>
      <x:c r="D147" s="55"/>
      <x:c r="E147" s="55"/>
      <x:c r="F147" s="55"/>
      <x:c r="G147" s="56"/>
      <x:c r="H147" s="56"/>
      <x:c r="I147" s="56"/>
      <x:c r="J147" s="55"/>
      <x:c r="K147" s="63"/>
      <x:c r="L147" s="55"/>
      <x:c r="M147" s="55"/>
      <x:c r="N147" s="55"/>
      <x:c r="O147" s="56"/>
      <x:c r="P147" s="55"/>
      <x:c r="Q147" s="55"/>
      <x:c r="R147" s="55"/>
      <x:c r="S147" s="55"/>
      <x:c r="T147" s="56"/>
      <x:c r="U147" s="55"/>
    </x:row>
    <x:row r="148" ht="28" customHeight="1">
      <x:c r="A148" s="55"/>
      <x:c r="B148" s="55"/>
      <x:c r="C148" s="60"/>
      <x:c r="D148" s="55"/>
      <x:c r="E148" s="55"/>
      <x:c r="F148" s="55"/>
      <x:c r="G148" s="56"/>
      <x:c r="H148" s="56"/>
      <x:c r="I148" s="56"/>
      <x:c r="J148" s="55"/>
      <x:c r="K148" s="63"/>
      <x:c r="L148" s="55"/>
      <x:c r="M148" s="55"/>
      <x:c r="N148" s="55"/>
      <x:c r="O148" s="56"/>
      <x:c r="P148" s="55"/>
      <x:c r="Q148" s="55"/>
      <x:c r="R148" s="55"/>
      <x:c r="S148" s="55"/>
      <x:c r="T148" s="56"/>
      <x:c r="U148" s="55"/>
    </x:row>
    <x:row r="149" ht="28" customHeight="1">
      <x:c r="A149" s="55"/>
      <x:c r="B149" s="55"/>
      <x:c r="C149" s="60"/>
      <x:c r="D149" s="55"/>
      <x:c r="E149" s="55"/>
      <x:c r="F149" s="55"/>
      <x:c r="G149" s="56"/>
      <x:c r="H149" s="56"/>
      <x:c r="I149" s="56"/>
      <x:c r="J149" s="55"/>
      <x:c r="K149" s="63"/>
      <x:c r="L149" s="55"/>
      <x:c r="M149" s="55"/>
      <x:c r="N149" s="55"/>
      <x:c r="O149" s="56"/>
      <x:c r="P149" s="55"/>
      <x:c r="Q149" s="55"/>
      <x:c r="R149" s="55"/>
      <x:c r="S149" s="55"/>
      <x:c r="T149" s="56"/>
      <x:c r="U149" s="55"/>
    </x:row>
    <x:row r="150" ht="28" customHeight="1">
      <x:c r="A150" s="55"/>
      <x:c r="B150" s="55"/>
      <x:c r="C150" s="60"/>
      <x:c r="D150" s="55"/>
      <x:c r="E150" s="55"/>
      <x:c r="F150" s="55"/>
      <x:c r="G150" s="56"/>
      <x:c r="H150" s="56"/>
      <x:c r="I150" s="56"/>
      <x:c r="J150" s="55"/>
      <x:c r="K150" s="63"/>
      <x:c r="L150" s="55"/>
      <x:c r="M150" s="55"/>
      <x:c r="N150" s="55"/>
      <x:c r="O150" s="56"/>
      <x:c r="P150" s="55"/>
      <x:c r="Q150" s="55"/>
      <x:c r="R150" s="55"/>
      <x:c r="S150" s="55"/>
      <x:c r="T150" s="56"/>
      <x:c r="U150" s="55"/>
    </x:row>
    <x:row r="151" ht="28" customHeight="1">
      <x:c r="A151" s="55"/>
      <x:c r="B151" s="55"/>
      <x:c r="C151" s="60"/>
      <x:c r="D151" s="55"/>
      <x:c r="E151" s="55"/>
      <x:c r="F151" s="55"/>
      <x:c r="G151" s="56"/>
      <x:c r="H151" s="56"/>
      <x:c r="I151" s="56"/>
      <x:c r="J151" s="55"/>
      <x:c r="K151" s="63"/>
      <x:c r="L151" s="55"/>
      <x:c r="M151" s="55"/>
      <x:c r="N151" s="55"/>
      <x:c r="O151" s="56"/>
      <x:c r="P151" s="55"/>
      <x:c r="Q151" s="55"/>
      <x:c r="R151" s="55"/>
      <x:c r="S151" s="55"/>
      <x:c r="T151" s="56"/>
      <x:c r="U151" s="55"/>
    </x:row>
    <x:row r="152" ht="28" customHeight="1">
      <x:c r="A152" s="55"/>
      <x:c r="B152" s="55"/>
      <x:c r="C152" s="60"/>
      <x:c r="D152" s="55"/>
      <x:c r="E152" s="55"/>
      <x:c r="F152" s="55"/>
      <x:c r="G152" s="56"/>
      <x:c r="H152" s="56"/>
      <x:c r="I152" s="56"/>
      <x:c r="J152" s="55"/>
      <x:c r="K152" s="63"/>
      <x:c r="L152" s="55"/>
      <x:c r="M152" s="55"/>
      <x:c r="N152" s="55"/>
      <x:c r="O152" s="56"/>
      <x:c r="P152" s="55"/>
      <x:c r="Q152" s="55"/>
      <x:c r="R152" s="55"/>
      <x:c r="S152" s="55"/>
      <x:c r="T152" s="56"/>
      <x:c r="U152" s="55"/>
    </x:row>
    <x:row r="153" ht="28" customHeight="1">
      <x:c r="A153" s="55"/>
      <x:c r="B153" s="55"/>
      <x:c r="C153" s="60"/>
      <x:c r="D153" s="55"/>
      <x:c r="E153" s="55"/>
      <x:c r="F153" s="55"/>
      <x:c r="G153" s="56"/>
      <x:c r="H153" s="56"/>
      <x:c r="I153" s="56"/>
      <x:c r="J153" s="55"/>
      <x:c r="K153" s="63"/>
      <x:c r="L153" s="55"/>
      <x:c r="M153" s="55"/>
      <x:c r="N153" s="55"/>
      <x:c r="O153" s="56"/>
      <x:c r="P153" s="55"/>
      <x:c r="Q153" s="55"/>
      <x:c r="R153" s="55"/>
      <x:c r="S153" s="55"/>
      <x:c r="T153" s="56"/>
      <x:c r="U153" s="55"/>
    </x:row>
    <x:row r="154" ht="28" customHeight="1">
      <x:c r="A154" s="55"/>
      <x:c r="B154" s="55"/>
      <x:c r="C154" s="60"/>
      <x:c r="D154" s="55"/>
      <x:c r="E154" s="55"/>
      <x:c r="F154" s="55"/>
      <x:c r="G154" s="56"/>
      <x:c r="H154" s="56"/>
      <x:c r="I154" s="56"/>
      <x:c r="J154" s="55"/>
      <x:c r="K154" s="63"/>
      <x:c r="L154" s="55"/>
      <x:c r="M154" s="55"/>
      <x:c r="N154" s="55"/>
      <x:c r="O154" s="56"/>
      <x:c r="P154" s="55"/>
      <x:c r="Q154" s="55"/>
      <x:c r="R154" s="55"/>
      <x:c r="S154" s="55"/>
      <x:c r="T154" s="56"/>
      <x:c r="U154" s="55"/>
    </x:row>
    <x:row r="155" ht="28" customHeight="1">
      <x:c r="A155" s="55"/>
      <x:c r="B155" s="55"/>
      <x:c r="C155" s="60"/>
      <x:c r="D155" s="55"/>
      <x:c r="E155" s="55"/>
      <x:c r="F155" s="55"/>
      <x:c r="G155" s="56"/>
      <x:c r="H155" s="56"/>
      <x:c r="I155" s="56"/>
      <x:c r="J155" s="55"/>
      <x:c r="K155" s="63"/>
      <x:c r="L155" s="55"/>
      <x:c r="M155" s="55"/>
      <x:c r="N155" s="55"/>
      <x:c r="O155" s="56"/>
      <x:c r="P155" s="55"/>
      <x:c r="Q155" s="55"/>
      <x:c r="R155" s="55"/>
      <x:c r="S155" s="55"/>
      <x:c r="T155" s="56"/>
      <x:c r="U155" s="55"/>
    </x:row>
    <x:row r="156" ht="28" customHeight="1">
      <x:c r="A156" s="55"/>
      <x:c r="B156" s="55"/>
      <x:c r="C156" s="60"/>
      <x:c r="D156" s="55"/>
      <x:c r="E156" s="55"/>
      <x:c r="F156" s="55"/>
      <x:c r="G156" s="56"/>
      <x:c r="H156" s="56"/>
      <x:c r="I156" s="56"/>
      <x:c r="J156" s="55"/>
      <x:c r="K156" s="63"/>
      <x:c r="L156" s="55"/>
      <x:c r="M156" s="55"/>
      <x:c r="N156" s="55"/>
      <x:c r="O156" s="56"/>
      <x:c r="P156" s="55"/>
      <x:c r="Q156" s="55"/>
      <x:c r="R156" s="55"/>
      <x:c r="S156" s="55"/>
      <x:c r="T156" s="56"/>
      <x:c r="U156" s="55"/>
    </x:row>
    <x:row r="157" ht="28" customHeight="1">
      <x:c r="A157" s="55"/>
      <x:c r="B157" s="55"/>
      <x:c r="C157" s="60"/>
      <x:c r="D157" s="55"/>
      <x:c r="E157" s="55"/>
      <x:c r="F157" s="55"/>
      <x:c r="G157" s="56"/>
      <x:c r="H157" s="56"/>
      <x:c r="I157" s="56"/>
      <x:c r="J157" s="55"/>
      <x:c r="K157" s="63"/>
      <x:c r="L157" s="55"/>
      <x:c r="M157" s="55"/>
      <x:c r="N157" s="55"/>
      <x:c r="O157" s="56"/>
      <x:c r="P157" s="55"/>
      <x:c r="Q157" s="55"/>
      <x:c r="R157" s="55"/>
      <x:c r="S157" s="55"/>
      <x:c r="T157" s="56"/>
      <x:c r="U157" s="55"/>
    </x:row>
    <x:row r="158" ht="28" customHeight="1">
      <x:c r="A158" s="55"/>
      <x:c r="B158" s="55"/>
      <x:c r="C158" s="60"/>
      <x:c r="D158" s="55"/>
      <x:c r="E158" s="55"/>
      <x:c r="F158" s="55"/>
      <x:c r="G158" s="56"/>
      <x:c r="H158" s="56"/>
      <x:c r="I158" s="56"/>
      <x:c r="J158" s="55"/>
      <x:c r="K158" s="63"/>
      <x:c r="L158" s="55"/>
      <x:c r="M158" s="55"/>
      <x:c r="N158" s="55"/>
      <x:c r="O158" s="56"/>
      <x:c r="P158" s="55"/>
      <x:c r="Q158" s="55"/>
      <x:c r="R158" s="55"/>
      <x:c r="S158" s="55"/>
      <x:c r="T158" s="56"/>
      <x:c r="U158" s="55"/>
    </x:row>
    <x:row r="159" ht="28" customHeight="1">
      <x:c r="A159" s="55"/>
      <x:c r="B159" s="55"/>
      <x:c r="C159" s="60"/>
      <x:c r="D159" s="55"/>
      <x:c r="E159" s="55"/>
      <x:c r="F159" s="55"/>
      <x:c r="G159" s="56"/>
      <x:c r="H159" s="56"/>
      <x:c r="I159" s="56"/>
      <x:c r="J159" s="55"/>
      <x:c r="K159" s="63"/>
      <x:c r="L159" s="55"/>
      <x:c r="M159" s="55"/>
      <x:c r="N159" s="55"/>
      <x:c r="O159" s="56"/>
      <x:c r="P159" s="55"/>
      <x:c r="Q159" s="55"/>
      <x:c r="R159" s="55"/>
      <x:c r="S159" s="55"/>
      <x:c r="T159" s="56"/>
      <x:c r="U159" s="55"/>
    </x:row>
    <x:row r="160" ht="28" customHeight="1">
      <x:c r="A160" s="55"/>
      <x:c r="B160" s="55"/>
      <x:c r="C160" s="60"/>
      <x:c r="D160" s="55"/>
      <x:c r="E160" s="55"/>
      <x:c r="F160" s="55"/>
      <x:c r="G160" s="56"/>
      <x:c r="H160" s="56"/>
      <x:c r="I160" s="56"/>
      <x:c r="J160" s="55"/>
      <x:c r="K160" s="63"/>
      <x:c r="L160" s="55"/>
      <x:c r="M160" s="55"/>
      <x:c r="N160" s="55"/>
      <x:c r="O160" s="56"/>
      <x:c r="P160" s="55"/>
      <x:c r="Q160" s="55"/>
      <x:c r="R160" s="55"/>
      <x:c r="S160" s="55"/>
      <x:c r="T160" s="56"/>
      <x:c r="U160" s="55"/>
    </x:row>
    <x:row r="161" ht="28" customHeight="1">
      <x:c r="A161" s="55"/>
      <x:c r="B161" s="55"/>
      <x:c r="C161" s="60"/>
      <x:c r="D161" s="55"/>
      <x:c r="E161" s="55"/>
      <x:c r="F161" s="55"/>
      <x:c r="G161" s="56"/>
      <x:c r="H161" s="56"/>
      <x:c r="I161" s="56"/>
      <x:c r="J161" s="55"/>
      <x:c r="K161" s="63"/>
      <x:c r="L161" s="55"/>
      <x:c r="M161" s="55"/>
      <x:c r="N161" s="55"/>
      <x:c r="O161" s="56"/>
      <x:c r="P161" s="55"/>
      <x:c r="Q161" s="55"/>
      <x:c r="R161" s="55"/>
      <x:c r="S161" s="55"/>
      <x:c r="T161" s="56"/>
      <x:c r="U161" s="55"/>
    </x:row>
    <x:row r="162" ht="28" customHeight="1">
      <x:c r="A162" s="55"/>
      <x:c r="B162" s="55"/>
      <x:c r="C162" s="60"/>
      <x:c r="D162" s="55"/>
      <x:c r="E162" s="55"/>
      <x:c r="F162" s="55"/>
      <x:c r="G162" s="56"/>
      <x:c r="H162" s="56"/>
      <x:c r="I162" s="56"/>
      <x:c r="J162" s="55"/>
      <x:c r="K162" s="63"/>
      <x:c r="L162" s="55"/>
      <x:c r="M162" s="55"/>
      <x:c r="N162" s="55"/>
      <x:c r="O162" s="56"/>
      <x:c r="P162" s="55"/>
      <x:c r="Q162" s="55"/>
      <x:c r="R162" s="55"/>
      <x:c r="S162" s="55"/>
      <x:c r="T162" s="56"/>
      <x:c r="U162" s="55"/>
    </x:row>
    <x:row r="163" ht="28" customHeight="1">
      <x:c r="A163" s="55"/>
      <x:c r="B163" s="55"/>
      <x:c r="C163" s="60"/>
      <x:c r="D163" s="55"/>
      <x:c r="E163" s="55"/>
      <x:c r="F163" s="55"/>
      <x:c r="G163" s="56"/>
      <x:c r="H163" s="56"/>
      <x:c r="I163" s="56"/>
      <x:c r="J163" s="55"/>
      <x:c r="K163" s="63"/>
      <x:c r="L163" s="55"/>
      <x:c r="M163" s="55"/>
      <x:c r="N163" s="55"/>
      <x:c r="O163" s="56"/>
      <x:c r="P163" s="55"/>
      <x:c r="Q163" s="55"/>
      <x:c r="R163" s="55"/>
      <x:c r="S163" s="55"/>
      <x:c r="T163" s="56"/>
      <x:c r="U163" s="55"/>
    </x:row>
    <x:row r="164" ht="28" customHeight="1">
      <x:c r="A164" s="55"/>
      <x:c r="B164" s="55"/>
      <x:c r="C164" s="60"/>
      <x:c r="D164" s="55"/>
      <x:c r="E164" s="55"/>
      <x:c r="F164" s="55"/>
      <x:c r="G164" s="56"/>
      <x:c r="H164" s="56"/>
      <x:c r="I164" s="56"/>
      <x:c r="J164" s="55"/>
      <x:c r="K164" s="63"/>
      <x:c r="L164" s="55"/>
      <x:c r="M164" s="55"/>
      <x:c r="N164" s="55"/>
      <x:c r="O164" s="56"/>
      <x:c r="P164" s="55"/>
      <x:c r="Q164" s="55"/>
      <x:c r="R164" s="55"/>
      <x:c r="S164" s="55"/>
      <x:c r="T164" s="56"/>
      <x:c r="U164" s="55"/>
    </x:row>
    <x:row r="165" ht="28" customHeight="1">
      <x:c r="A165" s="55"/>
      <x:c r="B165" s="55"/>
      <x:c r="C165" s="60"/>
      <x:c r="D165" s="55"/>
      <x:c r="E165" s="55"/>
      <x:c r="F165" s="55"/>
      <x:c r="G165" s="56"/>
      <x:c r="H165" s="56"/>
      <x:c r="I165" s="56"/>
      <x:c r="J165" s="55"/>
      <x:c r="K165" s="63"/>
      <x:c r="L165" s="55"/>
      <x:c r="M165" s="55"/>
      <x:c r="N165" s="55"/>
      <x:c r="O165" s="56"/>
      <x:c r="P165" s="55"/>
      <x:c r="Q165" s="55"/>
      <x:c r="R165" s="55"/>
      <x:c r="S165" s="55"/>
      <x:c r="T165" s="56"/>
      <x:c r="U165" s="55"/>
    </x:row>
    <x:row r="166" ht="28" customHeight="1">
      <x:c r="A166" s="55"/>
      <x:c r="B166" s="55"/>
      <x:c r="C166" s="60"/>
      <x:c r="D166" s="55"/>
      <x:c r="E166" s="55"/>
      <x:c r="F166" s="55"/>
      <x:c r="G166" s="56"/>
      <x:c r="H166" s="56"/>
      <x:c r="I166" s="56"/>
      <x:c r="J166" s="55"/>
      <x:c r="K166" s="63"/>
      <x:c r="L166" s="55"/>
      <x:c r="M166" s="55"/>
      <x:c r="N166" s="55"/>
      <x:c r="O166" s="56"/>
      <x:c r="P166" s="55"/>
      <x:c r="Q166" s="55"/>
      <x:c r="R166" s="55"/>
      <x:c r="S166" s="55"/>
      <x:c r="T166" s="56"/>
      <x:c r="U166" s="55"/>
    </x:row>
    <x:row r="167" ht="28" customHeight="1">
      <x:c r="A167" s="55"/>
      <x:c r="B167" s="55"/>
      <x:c r="C167" s="60"/>
      <x:c r="D167" s="55"/>
      <x:c r="E167" s="55"/>
      <x:c r="F167" s="55"/>
      <x:c r="G167" s="56"/>
      <x:c r="H167" s="56"/>
      <x:c r="I167" s="56"/>
      <x:c r="J167" s="55"/>
      <x:c r="K167" s="63"/>
      <x:c r="L167" s="55"/>
      <x:c r="M167" s="55"/>
      <x:c r="N167" s="55"/>
      <x:c r="O167" s="56"/>
      <x:c r="P167" s="55"/>
      <x:c r="Q167" s="55"/>
      <x:c r="R167" s="55"/>
      <x:c r="S167" s="55"/>
      <x:c r="T167" s="56"/>
      <x:c r="U167" s="55"/>
    </x:row>
    <x:row r="168" ht="28" customHeight="1">
      <x:c r="A168" s="55"/>
      <x:c r="B168" s="55"/>
      <x:c r="C168" s="60"/>
      <x:c r="D168" s="55"/>
      <x:c r="E168" s="55"/>
      <x:c r="F168" s="55"/>
      <x:c r="G168" s="56"/>
      <x:c r="H168" s="56"/>
      <x:c r="I168" s="56"/>
      <x:c r="J168" s="55"/>
      <x:c r="K168" s="63"/>
      <x:c r="L168" s="55"/>
      <x:c r="M168" s="55"/>
      <x:c r="N168" s="55"/>
      <x:c r="O168" s="56"/>
      <x:c r="P168" s="55"/>
      <x:c r="Q168" s="55"/>
      <x:c r="R168" s="55"/>
      <x:c r="S168" s="55"/>
      <x:c r="T168" s="56"/>
      <x:c r="U168" s="55"/>
    </x:row>
    <x:row r="169" ht="28" customHeight="1">
      <x:c r="A169" s="55"/>
      <x:c r="B169" s="55"/>
      <x:c r="C169" s="60"/>
      <x:c r="D169" s="55"/>
      <x:c r="E169" s="55"/>
      <x:c r="F169" s="55"/>
      <x:c r="G169" s="56"/>
      <x:c r="H169" s="56"/>
      <x:c r="I169" s="56"/>
      <x:c r="J169" s="55"/>
      <x:c r="K169" s="63"/>
      <x:c r="L169" s="55"/>
      <x:c r="M169" s="55"/>
      <x:c r="N169" s="55"/>
      <x:c r="O169" s="56"/>
      <x:c r="P169" s="55"/>
      <x:c r="Q169" s="55"/>
      <x:c r="R169" s="55"/>
      <x:c r="S169" s="55"/>
      <x:c r="T169" s="56"/>
      <x:c r="U169" s="55"/>
    </x:row>
    <x:row r="170" ht="28" customHeight="1">
      <x:c r="A170" s="55"/>
      <x:c r="B170" s="55"/>
      <x:c r="C170" s="60"/>
      <x:c r="D170" s="55"/>
      <x:c r="E170" s="55"/>
      <x:c r="F170" s="55"/>
      <x:c r="G170" s="56"/>
      <x:c r="H170" s="56"/>
      <x:c r="I170" s="56"/>
      <x:c r="J170" s="55"/>
      <x:c r="K170" s="63"/>
      <x:c r="L170" s="55"/>
      <x:c r="M170" s="55"/>
      <x:c r="N170" s="55"/>
      <x:c r="O170" s="56"/>
      <x:c r="P170" s="55"/>
      <x:c r="Q170" s="55"/>
      <x:c r="R170" s="55"/>
      <x:c r="S170" s="55"/>
      <x:c r="T170" s="56"/>
      <x:c r="U170" s="55"/>
    </x:row>
    <x:row r="171" ht="28" customHeight="1">
      <x:c r="A171" s="55"/>
      <x:c r="B171" s="55"/>
      <x:c r="C171" s="60"/>
      <x:c r="D171" s="55"/>
      <x:c r="E171" s="55"/>
      <x:c r="F171" s="55"/>
      <x:c r="G171" s="56"/>
      <x:c r="H171" s="56"/>
      <x:c r="I171" s="56"/>
      <x:c r="J171" s="55"/>
      <x:c r="K171" s="63"/>
      <x:c r="L171" s="55"/>
      <x:c r="M171" s="55"/>
      <x:c r="N171" s="55"/>
      <x:c r="O171" s="56"/>
      <x:c r="P171" s="55"/>
      <x:c r="Q171" s="55"/>
      <x:c r="R171" s="55"/>
      <x:c r="S171" s="55"/>
      <x:c r="T171" s="56"/>
      <x:c r="U171" s="55"/>
    </x:row>
    <x:row r="172" ht="28" customHeight="1">
      <x:c r="A172" s="55"/>
      <x:c r="B172" s="55"/>
      <x:c r="C172" s="60"/>
      <x:c r="D172" s="55"/>
      <x:c r="E172" s="55"/>
      <x:c r="F172" s="55"/>
      <x:c r="G172" s="56"/>
      <x:c r="H172" s="56"/>
      <x:c r="I172" s="56"/>
      <x:c r="J172" s="55"/>
      <x:c r="K172" s="63"/>
      <x:c r="L172" s="55"/>
      <x:c r="M172" s="55"/>
      <x:c r="N172" s="55"/>
      <x:c r="O172" s="56"/>
      <x:c r="P172" s="55"/>
      <x:c r="Q172" s="55"/>
      <x:c r="R172" s="55"/>
      <x:c r="S172" s="55"/>
      <x:c r="T172" s="56"/>
      <x:c r="U172" s="55"/>
    </x:row>
    <x:row r="173" ht="28" customHeight="1">
      <x:c r="A173" s="55"/>
      <x:c r="B173" s="55"/>
      <x:c r="C173" s="60"/>
      <x:c r="D173" s="55"/>
      <x:c r="E173" s="55"/>
      <x:c r="F173" s="55"/>
      <x:c r="G173" s="56"/>
      <x:c r="H173" s="56"/>
      <x:c r="I173" s="56"/>
      <x:c r="J173" s="55"/>
      <x:c r="K173" s="63"/>
      <x:c r="L173" s="55"/>
      <x:c r="M173" s="55"/>
      <x:c r="N173" s="55"/>
      <x:c r="O173" s="56"/>
      <x:c r="P173" s="55"/>
      <x:c r="Q173" s="55"/>
      <x:c r="R173" s="55"/>
      <x:c r="S173" s="55"/>
      <x:c r="T173" s="56"/>
      <x:c r="U173" s="55"/>
    </x:row>
    <x:row r="174" ht="28" customHeight="1">
      <x:c r="A174" s="55"/>
      <x:c r="B174" s="55"/>
      <x:c r="C174" s="60"/>
      <x:c r="D174" s="55"/>
      <x:c r="E174" s="55"/>
      <x:c r="F174" s="55"/>
      <x:c r="G174" s="56"/>
      <x:c r="H174" s="56"/>
      <x:c r="I174" s="56"/>
      <x:c r="J174" s="55"/>
      <x:c r="K174" s="63"/>
      <x:c r="L174" s="55"/>
      <x:c r="M174" s="55"/>
      <x:c r="N174" s="55"/>
      <x:c r="O174" s="56"/>
      <x:c r="P174" s="55"/>
      <x:c r="Q174" s="55"/>
      <x:c r="R174" s="55"/>
      <x:c r="S174" s="55"/>
      <x:c r="T174" s="56"/>
      <x:c r="U174" s="55"/>
    </x:row>
    <x:row r="175" ht="28" customHeight="1">
      <x:c r="A175" s="55"/>
      <x:c r="B175" s="55"/>
      <x:c r="C175" s="60"/>
      <x:c r="D175" s="55"/>
      <x:c r="E175" s="55"/>
      <x:c r="F175" s="55"/>
      <x:c r="G175" s="56"/>
      <x:c r="H175" s="56"/>
      <x:c r="I175" s="56"/>
      <x:c r="J175" s="55"/>
      <x:c r="K175" s="63"/>
      <x:c r="L175" s="55"/>
      <x:c r="M175" s="55"/>
      <x:c r="N175" s="55"/>
      <x:c r="O175" s="56"/>
      <x:c r="P175" s="55"/>
      <x:c r="Q175" s="55"/>
      <x:c r="R175" s="55"/>
      <x:c r="S175" s="55"/>
      <x:c r="T175" s="56"/>
      <x:c r="U175" s="55"/>
    </x:row>
    <x:row r="176" ht="28" customHeight="1">
      <x:c r="A176" s="55"/>
      <x:c r="B176" s="55"/>
      <x:c r="C176" s="60"/>
      <x:c r="D176" s="55"/>
      <x:c r="E176" s="55"/>
      <x:c r="F176" s="55"/>
      <x:c r="G176" s="56"/>
      <x:c r="H176" s="56"/>
      <x:c r="I176" s="56"/>
      <x:c r="J176" s="55"/>
      <x:c r="K176" s="63"/>
      <x:c r="L176" s="55"/>
      <x:c r="M176" s="55"/>
      <x:c r="N176" s="55"/>
      <x:c r="O176" s="56"/>
      <x:c r="P176" s="55"/>
      <x:c r="Q176" s="55"/>
      <x:c r="R176" s="55"/>
      <x:c r="S176" s="55"/>
      <x:c r="T176" s="56"/>
      <x:c r="U176" s="55"/>
    </x:row>
    <x:row r="177" ht="28" customHeight="1">
      <x:c r="A177" s="55"/>
      <x:c r="B177" s="55"/>
      <x:c r="C177" s="60"/>
      <x:c r="D177" s="55"/>
      <x:c r="E177" s="55"/>
      <x:c r="F177" s="55"/>
      <x:c r="G177" s="56"/>
      <x:c r="H177" s="56"/>
      <x:c r="I177" s="56"/>
      <x:c r="J177" s="55"/>
      <x:c r="K177" s="63"/>
      <x:c r="L177" s="55"/>
      <x:c r="M177" s="55"/>
      <x:c r="N177" s="55"/>
      <x:c r="O177" s="56"/>
      <x:c r="P177" s="55"/>
      <x:c r="Q177" s="55"/>
      <x:c r="R177" s="55"/>
      <x:c r="S177" s="55"/>
      <x:c r="T177" s="56"/>
      <x:c r="U177" s="55"/>
    </x:row>
    <x:row r="178" ht="28" customHeight="1">
      <x:c r="A178" s="55"/>
      <x:c r="B178" s="55"/>
      <x:c r="C178" s="60"/>
      <x:c r="D178" s="55"/>
      <x:c r="E178" s="55"/>
      <x:c r="F178" s="55"/>
      <x:c r="G178" s="56"/>
      <x:c r="H178" s="56"/>
      <x:c r="I178" s="56"/>
      <x:c r="J178" s="55"/>
      <x:c r="K178" s="63"/>
      <x:c r="L178" s="55"/>
      <x:c r="M178" s="55"/>
      <x:c r="N178" s="55"/>
      <x:c r="O178" s="56"/>
      <x:c r="P178" s="55"/>
      <x:c r="Q178" s="55"/>
      <x:c r="R178" s="55"/>
      <x:c r="S178" s="55"/>
      <x:c r="T178" s="56"/>
      <x:c r="U178" s="55"/>
    </x:row>
    <x:row r="179" ht="28" customHeight="1">
      <x:c r="A179" s="55"/>
      <x:c r="B179" s="55"/>
      <x:c r="C179" s="60"/>
      <x:c r="D179" s="55"/>
      <x:c r="E179" s="55"/>
      <x:c r="F179" s="55"/>
      <x:c r="G179" s="56"/>
      <x:c r="H179" s="56"/>
      <x:c r="I179" s="56"/>
      <x:c r="J179" s="55"/>
      <x:c r="K179" s="63"/>
      <x:c r="L179" s="55"/>
      <x:c r="M179" s="55"/>
      <x:c r="N179" s="55"/>
      <x:c r="O179" s="56"/>
      <x:c r="P179" s="55"/>
      <x:c r="Q179" s="55"/>
      <x:c r="R179" s="55"/>
      <x:c r="S179" s="55"/>
      <x:c r="T179" s="56"/>
      <x:c r="U179" s="55"/>
    </x:row>
    <x:row r="180" ht="28" customHeight="1">
      <x:c r="A180" s="55"/>
      <x:c r="B180" s="55"/>
      <x:c r="C180" s="60"/>
      <x:c r="D180" s="55"/>
      <x:c r="E180" s="55"/>
      <x:c r="F180" s="55"/>
      <x:c r="G180" s="56"/>
      <x:c r="H180" s="56"/>
      <x:c r="I180" s="56"/>
      <x:c r="J180" s="55"/>
      <x:c r="K180" s="63"/>
      <x:c r="L180" s="55"/>
      <x:c r="M180" s="55"/>
      <x:c r="N180" s="55"/>
      <x:c r="O180" s="56"/>
      <x:c r="P180" s="55"/>
      <x:c r="Q180" s="55"/>
      <x:c r="R180" s="55"/>
      <x:c r="S180" s="55"/>
      <x:c r="T180" s="56"/>
      <x:c r="U180" s="55"/>
    </x:row>
    <x:row r="181" ht="28" customHeight="1">
      <x:c r="A181" s="55"/>
      <x:c r="B181" s="55"/>
      <x:c r="C181" s="60"/>
      <x:c r="D181" s="55"/>
      <x:c r="E181" s="55"/>
      <x:c r="F181" s="55"/>
      <x:c r="G181" s="56"/>
      <x:c r="H181" s="56"/>
      <x:c r="I181" s="56"/>
      <x:c r="J181" s="55"/>
      <x:c r="K181" s="63"/>
      <x:c r="L181" s="55"/>
      <x:c r="M181" s="55"/>
      <x:c r="N181" s="55"/>
      <x:c r="O181" s="56"/>
      <x:c r="P181" s="55"/>
      <x:c r="Q181" s="55"/>
      <x:c r="R181" s="55"/>
      <x:c r="S181" s="55"/>
      <x:c r="T181" s="56"/>
      <x:c r="U181" s="55"/>
    </x:row>
    <x:row r="182" ht="28" customHeight="1">
      <x:c r="A182" s="55"/>
      <x:c r="B182" s="55"/>
      <x:c r="C182" s="60"/>
      <x:c r="D182" s="55"/>
      <x:c r="E182" s="55"/>
      <x:c r="F182" s="55"/>
      <x:c r="G182" s="56"/>
      <x:c r="H182" s="56"/>
      <x:c r="I182" s="56"/>
      <x:c r="J182" s="55"/>
      <x:c r="K182" s="63"/>
      <x:c r="L182" s="55"/>
      <x:c r="M182" s="55"/>
      <x:c r="N182" s="55"/>
      <x:c r="O182" s="56"/>
      <x:c r="P182" s="55"/>
      <x:c r="Q182" s="55"/>
      <x:c r="R182" s="55"/>
      <x:c r="S182" s="55"/>
      <x:c r="T182" s="56"/>
      <x:c r="U182" s="55"/>
    </x:row>
    <x:row r="183" ht="28" customHeight="1">
      <x:c r="A183" s="55"/>
      <x:c r="B183" s="55"/>
      <x:c r="C183" s="60"/>
      <x:c r="D183" s="55"/>
      <x:c r="E183" s="55"/>
      <x:c r="F183" s="55"/>
      <x:c r="G183" s="56"/>
      <x:c r="H183" s="56"/>
      <x:c r="I183" s="56"/>
      <x:c r="J183" s="55"/>
      <x:c r="K183" s="63"/>
      <x:c r="L183" s="55"/>
      <x:c r="M183" s="55"/>
      <x:c r="N183" s="55"/>
      <x:c r="O183" s="56"/>
      <x:c r="P183" s="55"/>
      <x:c r="Q183" s="55"/>
      <x:c r="R183" s="55"/>
      <x:c r="S183" s="55"/>
      <x:c r="T183" s="56"/>
      <x:c r="U183" s="55"/>
    </x:row>
    <x:row r="184" ht="28" customHeight="1">
      <x:c r="A184" s="55"/>
      <x:c r="B184" s="55"/>
      <x:c r="C184" s="60"/>
      <x:c r="D184" s="55"/>
      <x:c r="E184" s="55"/>
      <x:c r="F184" s="55"/>
      <x:c r="G184" s="56"/>
      <x:c r="H184" s="56"/>
      <x:c r="I184" s="56"/>
      <x:c r="J184" s="55"/>
      <x:c r="K184" s="63"/>
      <x:c r="L184" s="55"/>
      <x:c r="M184" s="55"/>
      <x:c r="N184" s="55"/>
      <x:c r="O184" s="56"/>
      <x:c r="P184" s="55"/>
      <x:c r="Q184" s="55"/>
      <x:c r="R184" s="55"/>
      <x:c r="S184" s="55"/>
      <x:c r="T184" s="56"/>
      <x:c r="U184" s="55"/>
    </x:row>
    <x:row r="185" ht="28" customHeight="1">
      <x:c r="A185" s="55"/>
      <x:c r="B185" s="55"/>
      <x:c r="C185" s="60"/>
      <x:c r="D185" s="55"/>
      <x:c r="E185" s="55"/>
      <x:c r="F185" s="55"/>
      <x:c r="G185" s="56"/>
      <x:c r="H185" s="56"/>
      <x:c r="I185" s="56"/>
      <x:c r="J185" s="55"/>
      <x:c r="K185" s="63"/>
      <x:c r="L185" s="55"/>
      <x:c r="M185" s="55"/>
      <x:c r="N185" s="55"/>
      <x:c r="O185" s="56"/>
      <x:c r="P185" s="55"/>
      <x:c r="Q185" s="55"/>
      <x:c r="R185" s="55"/>
      <x:c r="S185" s="55"/>
      <x:c r="T185" s="56"/>
      <x:c r="U185" s="55"/>
    </x:row>
    <x:row r="186" ht="28" customHeight="1">
      <x:c r="A186" s="55"/>
      <x:c r="B186" s="55"/>
      <x:c r="C186" s="60"/>
      <x:c r="D186" s="55"/>
      <x:c r="E186" s="55"/>
      <x:c r="F186" s="55"/>
      <x:c r="G186" s="56"/>
      <x:c r="H186" s="56"/>
      <x:c r="I186" s="56"/>
      <x:c r="J186" s="55"/>
      <x:c r="K186" s="63"/>
      <x:c r="L186" s="55"/>
      <x:c r="M186" s="55"/>
      <x:c r="N186" s="55"/>
      <x:c r="O186" s="56"/>
      <x:c r="P186" s="55"/>
      <x:c r="Q186" s="55"/>
      <x:c r="R186" s="55"/>
      <x:c r="S186" s="55"/>
      <x:c r="T186" s="56"/>
      <x:c r="U186" s="55"/>
    </x:row>
    <x:row r="187" ht="28" customHeight="1">
      <x:c r="A187" s="55"/>
      <x:c r="B187" s="55"/>
      <x:c r="C187" s="60"/>
      <x:c r="D187" s="55"/>
      <x:c r="E187" s="55"/>
      <x:c r="F187" s="55"/>
      <x:c r="G187" s="56"/>
      <x:c r="H187" s="56"/>
      <x:c r="I187" s="56"/>
      <x:c r="J187" s="55"/>
      <x:c r="K187" s="63"/>
      <x:c r="L187" s="55"/>
      <x:c r="M187" s="55"/>
      <x:c r="N187" s="55"/>
      <x:c r="O187" s="56"/>
      <x:c r="P187" s="55"/>
      <x:c r="Q187" s="55"/>
      <x:c r="R187" s="55"/>
      <x:c r="S187" s="55"/>
      <x:c r="T187" s="56"/>
      <x:c r="U187" s="55"/>
    </x:row>
    <x:row r="188" ht="28" customHeight="1">
      <x:c r="A188" s="55"/>
      <x:c r="B188" s="55"/>
      <x:c r="C188" s="60"/>
      <x:c r="D188" s="55"/>
      <x:c r="E188" s="55"/>
      <x:c r="F188" s="55"/>
      <x:c r="G188" s="56"/>
      <x:c r="H188" s="56"/>
      <x:c r="I188" s="56"/>
      <x:c r="J188" s="55"/>
      <x:c r="K188" s="63"/>
      <x:c r="L188" s="55"/>
      <x:c r="M188" s="55"/>
      <x:c r="N188" s="55"/>
      <x:c r="O188" s="56"/>
      <x:c r="P188" s="55"/>
      <x:c r="Q188" s="55"/>
      <x:c r="R188" s="55"/>
      <x:c r="S188" s="55"/>
      <x:c r="T188" s="56"/>
      <x:c r="U188" s="55"/>
    </x:row>
    <x:row r="189" ht="28" customHeight="1">
      <x:c r="A189" s="55"/>
      <x:c r="B189" s="55"/>
      <x:c r="C189" s="60"/>
      <x:c r="D189" s="55"/>
      <x:c r="E189" s="55"/>
      <x:c r="F189" s="55"/>
      <x:c r="G189" s="56"/>
      <x:c r="H189" s="56"/>
      <x:c r="I189" s="56"/>
      <x:c r="J189" s="55"/>
      <x:c r="K189" s="63"/>
      <x:c r="L189" s="55"/>
      <x:c r="M189" s="55"/>
      <x:c r="N189" s="55"/>
      <x:c r="O189" s="56"/>
      <x:c r="P189" s="55"/>
      <x:c r="Q189" s="55"/>
      <x:c r="R189" s="55"/>
      <x:c r="S189" s="55"/>
      <x:c r="T189" s="56"/>
      <x:c r="U189" s="55"/>
    </x:row>
    <x:row r="190" ht="28" customHeight="1">
      <x:c r="A190" s="55"/>
      <x:c r="B190" s="55"/>
      <x:c r="C190" s="60"/>
      <x:c r="D190" s="55"/>
      <x:c r="E190" s="55"/>
      <x:c r="F190" s="55"/>
      <x:c r="G190" s="56"/>
      <x:c r="H190" s="56"/>
      <x:c r="I190" s="56"/>
      <x:c r="J190" s="55"/>
      <x:c r="K190" s="63"/>
      <x:c r="L190" s="55"/>
      <x:c r="M190" s="55"/>
      <x:c r="N190" s="55"/>
      <x:c r="O190" s="56"/>
      <x:c r="P190" s="55"/>
      <x:c r="Q190" s="55"/>
      <x:c r="R190" s="55"/>
      <x:c r="S190" s="55"/>
      <x:c r="T190" s="56"/>
      <x:c r="U190" s="55"/>
    </x:row>
    <x:row r="191" ht="28" customHeight="1">
      <x:c r="A191" s="55"/>
      <x:c r="B191" s="55"/>
      <x:c r="C191" s="60"/>
      <x:c r="D191" s="55"/>
      <x:c r="E191" s="55"/>
      <x:c r="F191" s="55"/>
      <x:c r="G191" s="56"/>
      <x:c r="H191" s="56"/>
      <x:c r="I191" s="56"/>
      <x:c r="J191" s="55"/>
      <x:c r="K191" s="63"/>
      <x:c r="L191" s="55"/>
      <x:c r="M191" s="55"/>
      <x:c r="N191" s="55"/>
      <x:c r="O191" s="56"/>
      <x:c r="P191" s="55"/>
      <x:c r="Q191" s="55"/>
      <x:c r="R191" s="55"/>
      <x:c r="S191" s="55"/>
      <x:c r="T191" s="56"/>
      <x:c r="U191" s="55"/>
    </x:row>
    <x:row r="192" ht="28" customHeight="1">
      <x:c r="A192" s="55"/>
      <x:c r="B192" s="55"/>
      <x:c r="C192" s="60"/>
      <x:c r="D192" s="55"/>
      <x:c r="E192" s="55"/>
      <x:c r="F192" s="55"/>
      <x:c r="G192" s="56"/>
      <x:c r="H192" s="56"/>
      <x:c r="I192" s="56"/>
      <x:c r="J192" s="55"/>
      <x:c r="K192" s="63"/>
      <x:c r="L192" s="55"/>
      <x:c r="M192" s="55"/>
      <x:c r="N192" s="55"/>
      <x:c r="O192" s="56"/>
      <x:c r="P192" s="55"/>
      <x:c r="Q192" s="55"/>
      <x:c r="R192" s="55"/>
      <x:c r="S192" s="55"/>
      <x:c r="T192" s="56"/>
      <x:c r="U192" s="55"/>
    </x:row>
    <x:row r="193" ht="28" customHeight="1">
      <x:c r="A193" s="55"/>
      <x:c r="B193" s="55"/>
      <x:c r="C193" s="60"/>
      <x:c r="D193" s="55"/>
      <x:c r="E193" s="55"/>
      <x:c r="F193" s="55"/>
      <x:c r="G193" s="56"/>
      <x:c r="H193" s="56"/>
      <x:c r="I193" s="56"/>
      <x:c r="J193" s="55"/>
      <x:c r="K193" s="63"/>
      <x:c r="L193" s="55"/>
      <x:c r="M193" s="55"/>
      <x:c r="N193" s="55"/>
      <x:c r="O193" s="56"/>
      <x:c r="P193" s="55"/>
      <x:c r="Q193" s="55"/>
      <x:c r="R193" s="55"/>
      <x:c r="S193" s="55"/>
      <x:c r="T193" s="56"/>
      <x:c r="U193" s="55"/>
    </x:row>
    <x:row r="194" ht="28" customHeight="1">
      <x:c r="A194" s="55"/>
      <x:c r="B194" s="55"/>
      <x:c r="C194" s="60"/>
      <x:c r="D194" s="55"/>
      <x:c r="E194" s="55"/>
      <x:c r="F194" s="55"/>
      <x:c r="G194" s="56"/>
      <x:c r="H194" s="56"/>
      <x:c r="I194" s="56"/>
      <x:c r="J194" s="55"/>
      <x:c r="K194" s="63"/>
      <x:c r="L194" s="55"/>
      <x:c r="M194" s="55"/>
      <x:c r="N194" s="55"/>
      <x:c r="O194" s="56"/>
      <x:c r="P194" s="55"/>
      <x:c r="Q194" s="55"/>
      <x:c r="R194" s="55"/>
      <x:c r="S194" s="55"/>
      <x:c r="T194" s="56"/>
      <x:c r="U194" s="55"/>
    </x:row>
    <x:row r="195" ht="28" customHeight="1">
      <x:c r="A195" s="55"/>
      <x:c r="B195" s="55"/>
      <x:c r="C195" s="60"/>
      <x:c r="D195" s="55"/>
      <x:c r="E195" s="55"/>
      <x:c r="F195" s="55"/>
      <x:c r="G195" s="56"/>
      <x:c r="H195" s="56"/>
      <x:c r="I195" s="56"/>
      <x:c r="J195" s="55"/>
      <x:c r="K195" s="63"/>
      <x:c r="L195" s="55"/>
      <x:c r="M195" s="55"/>
      <x:c r="N195" s="55"/>
      <x:c r="O195" s="56"/>
      <x:c r="P195" s="55"/>
      <x:c r="Q195" s="55"/>
      <x:c r="R195" s="55"/>
      <x:c r="S195" s="55"/>
      <x:c r="T195" s="56"/>
      <x:c r="U195" s="55"/>
    </x:row>
    <x:row r="196" ht="28" customHeight="1">
      <x:c r="A196" s="55"/>
      <x:c r="B196" s="55"/>
      <x:c r="C196" s="60"/>
      <x:c r="D196" s="55"/>
      <x:c r="E196" s="55"/>
      <x:c r="F196" s="55"/>
      <x:c r="G196" s="56"/>
      <x:c r="H196" s="56"/>
      <x:c r="I196" s="56"/>
      <x:c r="J196" s="55"/>
      <x:c r="K196" s="63"/>
      <x:c r="L196" s="55"/>
      <x:c r="M196" s="55"/>
      <x:c r="N196" s="55"/>
      <x:c r="O196" s="56"/>
      <x:c r="P196" s="55"/>
      <x:c r="Q196" s="55"/>
      <x:c r="R196" s="55"/>
      <x:c r="S196" s="55"/>
      <x:c r="T196" s="56"/>
      <x:c r="U196" s="55"/>
    </x:row>
    <x:row r="197" ht="28" customHeight="1">
      <x:c r="A197" s="55"/>
      <x:c r="B197" s="55"/>
      <x:c r="C197" s="60"/>
      <x:c r="D197" s="55"/>
      <x:c r="E197" s="55"/>
      <x:c r="F197" s="55"/>
      <x:c r="G197" s="56"/>
      <x:c r="H197" s="56"/>
      <x:c r="I197" s="56"/>
      <x:c r="J197" s="55"/>
      <x:c r="K197" s="63"/>
      <x:c r="L197" s="55"/>
      <x:c r="M197" s="55"/>
      <x:c r="N197" s="55"/>
      <x:c r="O197" s="56"/>
      <x:c r="P197" s="55"/>
      <x:c r="Q197" s="55"/>
      <x:c r="R197" s="55"/>
      <x:c r="S197" s="55"/>
      <x:c r="T197" s="56"/>
      <x:c r="U197" s="55"/>
    </x:row>
    <x:row r="198" ht="28" customHeight="1">
      <x:c r="A198" s="55"/>
      <x:c r="B198" s="55"/>
      <x:c r="C198" s="60"/>
      <x:c r="D198" s="55"/>
      <x:c r="E198" s="55"/>
      <x:c r="F198" s="55"/>
      <x:c r="G198" s="56"/>
      <x:c r="H198" s="56"/>
      <x:c r="I198" s="56"/>
      <x:c r="J198" s="55"/>
      <x:c r="K198" s="63"/>
      <x:c r="L198" s="55"/>
      <x:c r="M198" s="55"/>
      <x:c r="N198" s="55"/>
      <x:c r="O198" s="56"/>
      <x:c r="P198" s="55"/>
      <x:c r="Q198" s="55"/>
      <x:c r="R198" s="55"/>
      <x:c r="S198" s="55"/>
      <x:c r="T198" s="56"/>
      <x:c r="U198" s="55"/>
    </x:row>
    <x:row r="199" ht="28" customHeight="1">
      <x:c r="A199" s="55"/>
      <x:c r="B199" s="55"/>
      <x:c r="C199" s="60"/>
      <x:c r="D199" s="55"/>
      <x:c r="E199" s="55"/>
      <x:c r="F199" s="55"/>
      <x:c r="G199" s="56"/>
      <x:c r="H199" s="56"/>
      <x:c r="I199" s="56"/>
      <x:c r="J199" s="55"/>
      <x:c r="K199" s="63"/>
      <x:c r="L199" s="55"/>
      <x:c r="M199" s="55"/>
      <x:c r="N199" s="55"/>
      <x:c r="O199" s="56"/>
      <x:c r="P199" s="55"/>
      <x:c r="Q199" s="55"/>
      <x:c r="R199" s="55"/>
      <x:c r="S199" s="55"/>
      <x:c r="T199" s="56"/>
      <x:c r="U199" s="55"/>
    </x:row>
    <x:row r="200" ht="28" customHeight="1">
      <x:c r="A200" s="55"/>
      <x:c r="B200" s="55"/>
      <x:c r="C200" s="60"/>
      <x:c r="D200" s="55"/>
      <x:c r="E200" s="55"/>
      <x:c r="F200" s="55"/>
      <x:c r="G200" s="56"/>
      <x:c r="H200" s="56"/>
      <x:c r="I200" s="56"/>
      <x:c r="J200" s="55"/>
      <x:c r="K200" s="63"/>
      <x:c r="L200" s="55"/>
      <x:c r="M200" s="55"/>
      <x:c r="N200" s="55"/>
      <x:c r="O200" s="56"/>
      <x:c r="P200" s="55"/>
      <x:c r="Q200" s="55"/>
      <x:c r="R200" s="55"/>
      <x:c r="S200" s="55"/>
      <x:c r="T200" s="56"/>
      <x:c r="U200" s="55"/>
    </x:row>
    <x:row r="201" ht="28" customHeight="1">
      <x:c r="A201" s="55"/>
      <x:c r="B201" s="55"/>
      <x:c r="C201" s="60"/>
      <x:c r="D201" s="55"/>
      <x:c r="E201" s="55"/>
      <x:c r="F201" s="55"/>
      <x:c r="G201" s="56"/>
      <x:c r="H201" s="56"/>
      <x:c r="I201" s="56"/>
      <x:c r="J201" s="55"/>
      <x:c r="K201" s="63"/>
      <x:c r="L201" s="55"/>
      <x:c r="M201" s="55"/>
      <x:c r="N201" s="55"/>
      <x:c r="O201" s="56"/>
      <x:c r="P201" s="55"/>
      <x:c r="Q201" s="55"/>
      <x:c r="R201" s="55"/>
      <x:c r="S201" s="55"/>
      <x:c r="T201" s="56"/>
      <x:c r="U201" s="55"/>
    </x:row>
    <x:row r="202" ht="28" customHeight="1">
      <x:c r="A202" s="55"/>
      <x:c r="B202" s="55"/>
      <x:c r="C202" s="60"/>
      <x:c r="D202" s="55"/>
      <x:c r="E202" s="55"/>
      <x:c r="F202" s="55"/>
      <x:c r="G202" s="56"/>
      <x:c r="H202" s="56"/>
      <x:c r="I202" s="56"/>
      <x:c r="J202" s="55"/>
      <x:c r="K202" s="63"/>
      <x:c r="L202" s="55"/>
      <x:c r="M202" s="55"/>
      <x:c r="N202" s="55"/>
      <x:c r="O202" s="56"/>
      <x:c r="P202" s="55"/>
      <x:c r="Q202" s="55"/>
      <x:c r="R202" s="55"/>
      <x:c r="S202" s="55"/>
      <x:c r="T202" s="56"/>
      <x:c r="U202" s="55"/>
    </x:row>
    <x:row r="203" ht="28" customHeight="1">
      <x:c r="A203" s="55"/>
      <x:c r="B203" s="55"/>
      <x:c r="C203" s="60"/>
      <x:c r="D203" s="55"/>
      <x:c r="E203" s="55"/>
      <x:c r="F203" s="55"/>
      <x:c r="G203" s="56"/>
      <x:c r="H203" s="56"/>
      <x:c r="I203" s="56"/>
      <x:c r="J203" s="55"/>
      <x:c r="K203" s="63"/>
      <x:c r="L203" s="55"/>
      <x:c r="M203" s="55"/>
      <x:c r="N203" s="55"/>
      <x:c r="O203" s="56"/>
      <x:c r="P203" s="55"/>
      <x:c r="Q203" s="55"/>
      <x:c r="R203" s="55"/>
      <x:c r="S203" s="55"/>
      <x:c r="T203" s="56"/>
      <x:c r="U203" s="55"/>
    </x:row>
    <x:row r="204" ht="28" customHeight="1">
      <x:c r="A204" s="55"/>
      <x:c r="B204" s="55"/>
      <x:c r="C204" s="60"/>
      <x:c r="D204" s="55"/>
      <x:c r="E204" s="55"/>
      <x:c r="F204" s="55"/>
      <x:c r="G204" s="56"/>
      <x:c r="H204" s="56"/>
      <x:c r="I204" s="56"/>
      <x:c r="J204" s="55"/>
      <x:c r="K204" s="63"/>
      <x:c r="L204" s="55"/>
      <x:c r="M204" s="55"/>
      <x:c r="N204" s="55"/>
      <x:c r="O204" s="56"/>
      <x:c r="P204" s="55"/>
      <x:c r="Q204" s="55"/>
      <x:c r="R204" s="55"/>
      <x:c r="S204" s="55"/>
      <x:c r="T204" s="56"/>
      <x:c r="U204" s="55"/>
    </x:row>
    <x:row r="205" ht="28" customHeight="1">
      <x:c r="A205" s="55"/>
      <x:c r="B205" s="55"/>
      <x:c r="C205" s="60"/>
      <x:c r="D205" s="55"/>
      <x:c r="E205" s="55"/>
      <x:c r="F205" s="55"/>
      <x:c r="G205" s="56"/>
      <x:c r="H205" s="56"/>
      <x:c r="I205" s="56"/>
      <x:c r="J205" s="55"/>
      <x:c r="K205" s="63"/>
      <x:c r="L205" s="55"/>
      <x:c r="M205" s="55"/>
      <x:c r="N205" s="55"/>
      <x:c r="O205" s="56"/>
      <x:c r="P205" s="55"/>
      <x:c r="Q205" s="55"/>
      <x:c r="R205" s="55"/>
      <x:c r="S205" s="55"/>
      <x:c r="T205" s="56"/>
      <x:c r="U205" s="55"/>
    </x:row>
    <x:row r="206" ht="28" customHeight="1">
      <x:c r="A206" s="55"/>
      <x:c r="B206" s="55"/>
      <x:c r="C206" s="60"/>
      <x:c r="D206" s="55"/>
      <x:c r="E206" s="55"/>
      <x:c r="F206" s="55"/>
      <x:c r="G206" s="56"/>
      <x:c r="H206" s="56"/>
      <x:c r="I206" s="56"/>
      <x:c r="J206" s="55"/>
      <x:c r="K206" s="63"/>
      <x:c r="L206" s="55"/>
      <x:c r="M206" s="55"/>
      <x:c r="N206" s="55"/>
      <x:c r="O206" s="56"/>
      <x:c r="P206" s="55"/>
      <x:c r="Q206" s="55"/>
      <x:c r="R206" s="55"/>
      <x:c r="S206" s="55"/>
      <x:c r="T206" s="56"/>
      <x:c r="U206" s="55"/>
    </x:row>
    <x:row r="207" ht="28" customHeight="1">
      <x:c r="A207" s="55"/>
      <x:c r="B207" s="55"/>
      <x:c r="C207" s="60"/>
      <x:c r="D207" s="55"/>
      <x:c r="E207" s="55"/>
      <x:c r="F207" s="55"/>
      <x:c r="G207" s="56"/>
      <x:c r="H207" s="56"/>
      <x:c r="I207" s="56"/>
      <x:c r="J207" s="55"/>
      <x:c r="K207" s="63"/>
      <x:c r="L207" s="55"/>
      <x:c r="M207" s="55"/>
      <x:c r="N207" s="55"/>
      <x:c r="O207" s="56"/>
      <x:c r="P207" s="55"/>
      <x:c r="Q207" s="55"/>
      <x:c r="R207" s="55"/>
      <x:c r="S207" s="55"/>
      <x:c r="T207" s="56"/>
      <x:c r="U207" s="55"/>
    </x:row>
    <x:row r="208" ht="28" customHeight="1">
      <x:c r="A208" s="55"/>
      <x:c r="B208" s="55"/>
      <x:c r="C208" s="60"/>
      <x:c r="D208" s="55"/>
      <x:c r="E208" s="55"/>
      <x:c r="F208" s="55"/>
      <x:c r="G208" s="56"/>
      <x:c r="H208" s="56"/>
      <x:c r="I208" s="56"/>
      <x:c r="J208" s="55"/>
      <x:c r="K208" s="63"/>
      <x:c r="L208" s="55"/>
      <x:c r="M208" s="55"/>
      <x:c r="N208" s="55"/>
      <x:c r="O208" s="56"/>
      <x:c r="P208" s="55"/>
      <x:c r="Q208" s="55"/>
      <x:c r="R208" s="55"/>
      <x:c r="S208" s="55"/>
      <x:c r="T208" s="56"/>
      <x:c r="U208" s="55"/>
    </x:row>
    <x:row r="209" ht="28" customHeight="1">
      <x:c r="A209" s="55"/>
      <x:c r="B209" s="55"/>
      <x:c r="C209" s="60"/>
      <x:c r="D209" s="55"/>
      <x:c r="E209" s="55"/>
      <x:c r="F209" s="55"/>
      <x:c r="G209" s="56"/>
      <x:c r="H209" s="56"/>
      <x:c r="I209" s="56"/>
      <x:c r="J209" s="55"/>
      <x:c r="K209" s="63"/>
      <x:c r="L209" s="55"/>
      <x:c r="M209" s="55"/>
      <x:c r="N209" s="55"/>
      <x:c r="O209" s="56"/>
      <x:c r="P209" s="55"/>
      <x:c r="Q209" s="55"/>
      <x:c r="R209" s="55"/>
      <x:c r="S209" s="55"/>
      <x:c r="T209" s="56"/>
      <x:c r="U209" s="55"/>
    </x:row>
    <x:row r="210" ht="28" customHeight="1">
      <x:c r="A210" s="55"/>
      <x:c r="B210" s="55"/>
      <x:c r="C210" s="60"/>
      <x:c r="D210" s="55"/>
      <x:c r="E210" s="55"/>
      <x:c r="F210" s="55"/>
      <x:c r="G210" s="56"/>
      <x:c r="H210" s="56"/>
      <x:c r="I210" s="56"/>
      <x:c r="J210" s="55"/>
      <x:c r="K210" s="63"/>
      <x:c r="L210" s="55"/>
      <x:c r="M210" s="55"/>
      <x:c r="N210" s="55"/>
      <x:c r="O210" s="56"/>
      <x:c r="P210" s="55"/>
      <x:c r="Q210" s="55"/>
      <x:c r="R210" s="55"/>
      <x:c r="S210" s="55"/>
      <x:c r="T210" s="56"/>
      <x:c r="U210" s="55"/>
    </x:row>
    <x:row r="211" ht="28" customHeight="1">
      <x:c r="A211" s="55"/>
      <x:c r="B211" s="55"/>
      <x:c r="C211" s="60"/>
      <x:c r="D211" s="55"/>
      <x:c r="E211" s="55"/>
      <x:c r="F211" s="55"/>
      <x:c r="G211" s="56"/>
      <x:c r="H211" s="56"/>
      <x:c r="I211" s="56"/>
      <x:c r="J211" s="55"/>
      <x:c r="K211" s="63"/>
      <x:c r="L211" s="55"/>
      <x:c r="M211" s="55"/>
      <x:c r="N211" s="55"/>
      <x:c r="O211" s="56"/>
      <x:c r="P211" s="55"/>
      <x:c r="Q211" s="55"/>
      <x:c r="R211" s="55"/>
      <x:c r="S211" s="55"/>
      <x:c r="T211" s="56"/>
      <x:c r="U211" s="55"/>
    </x:row>
    <x:row r="212" ht="28" customHeight="1">
      <x:c r="A212" s="55"/>
      <x:c r="B212" s="55"/>
      <x:c r="C212" s="60"/>
      <x:c r="D212" s="55"/>
      <x:c r="E212" s="55"/>
      <x:c r="F212" s="55"/>
      <x:c r="G212" s="56"/>
      <x:c r="H212" s="56"/>
      <x:c r="I212" s="56"/>
      <x:c r="J212" s="55"/>
      <x:c r="K212" s="63"/>
      <x:c r="L212" s="55"/>
      <x:c r="M212" s="55"/>
      <x:c r="N212" s="55"/>
      <x:c r="O212" s="56"/>
      <x:c r="P212" s="55"/>
      <x:c r="Q212" s="55"/>
      <x:c r="R212" s="55"/>
      <x:c r="S212" s="55"/>
      <x:c r="T212" s="56"/>
      <x:c r="U212" s="55"/>
    </x:row>
    <x:row r="213" ht="28" customHeight="1">
      <x:c r="A213" s="55"/>
      <x:c r="B213" s="55"/>
      <x:c r="C213" s="60"/>
      <x:c r="D213" s="55"/>
      <x:c r="E213" s="55"/>
      <x:c r="F213" s="55"/>
      <x:c r="G213" s="56"/>
      <x:c r="H213" s="56"/>
      <x:c r="I213" s="56"/>
      <x:c r="J213" s="55"/>
      <x:c r="K213" s="63"/>
      <x:c r="L213" s="55"/>
      <x:c r="M213" s="55"/>
      <x:c r="N213" s="55"/>
      <x:c r="O213" s="56"/>
      <x:c r="P213" s="55"/>
      <x:c r="Q213" s="55"/>
      <x:c r="R213" s="55"/>
      <x:c r="S213" s="55"/>
      <x:c r="T213" s="56"/>
      <x:c r="U213" s="55"/>
    </x:row>
    <x:row r="214" ht="28" customHeight="1">
      <x:c r="A214" s="55"/>
      <x:c r="B214" s="55"/>
      <x:c r="C214" s="60"/>
      <x:c r="D214" s="55"/>
      <x:c r="E214" s="55"/>
      <x:c r="F214" s="55"/>
      <x:c r="G214" s="56"/>
      <x:c r="H214" s="56"/>
      <x:c r="I214" s="56"/>
      <x:c r="J214" s="55"/>
      <x:c r="K214" s="63"/>
      <x:c r="L214" s="55"/>
      <x:c r="M214" s="55"/>
      <x:c r="N214" s="55"/>
      <x:c r="O214" s="56"/>
      <x:c r="P214" s="55"/>
      <x:c r="Q214" s="55"/>
      <x:c r="R214" s="55"/>
      <x:c r="S214" s="55"/>
      <x:c r="T214" s="56"/>
      <x:c r="U214" s="55"/>
    </x:row>
    <x:row r="215" ht="28" customHeight="1">
      <x:c r="A215" s="55"/>
      <x:c r="B215" s="55"/>
      <x:c r="C215" s="60"/>
      <x:c r="D215" s="55"/>
      <x:c r="E215" s="55"/>
      <x:c r="F215" s="55"/>
      <x:c r="G215" s="56"/>
      <x:c r="H215" s="56"/>
      <x:c r="I215" s="56"/>
      <x:c r="J215" s="55"/>
      <x:c r="K215" s="63"/>
      <x:c r="L215" s="55"/>
      <x:c r="M215" s="55"/>
      <x:c r="N215" s="55"/>
      <x:c r="O215" s="56"/>
      <x:c r="P215" s="55"/>
      <x:c r="Q215" s="55"/>
      <x:c r="R215" s="55"/>
      <x:c r="S215" s="55"/>
      <x:c r="T215" s="56"/>
      <x:c r="U215" s="55"/>
    </x:row>
    <x:row r="216" ht="28" customHeight="1">
      <x:c r="A216" s="55"/>
      <x:c r="B216" s="55"/>
      <x:c r="C216" s="60"/>
      <x:c r="D216" s="55"/>
      <x:c r="E216" s="55"/>
      <x:c r="F216" s="55"/>
      <x:c r="G216" s="56"/>
      <x:c r="H216" s="56"/>
      <x:c r="I216" s="56"/>
      <x:c r="J216" s="55"/>
      <x:c r="K216" s="63"/>
      <x:c r="L216" s="55"/>
      <x:c r="M216" s="55"/>
      <x:c r="N216" s="55"/>
      <x:c r="O216" s="56"/>
      <x:c r="P216" s="55"/>
      <x:c r="Q216" s="55"/>
      <x:c r="R216" s="55"/>
      <x:c r="S216" s="55"/>
      <x:c r="T216" s="56"/>
      <x:c r="U216" s="55"/>
    </x:row>
  </x:sheetData>
  <x:conditionalFormatting sqref="L17:L216">
    <x:cfRule type="expression" dxfId="26" priority="1">
      <x:formula>L17="Blocked"</x:formula>
    </x:cfRule>
  </x:conditionalFormatting>
  <x:conditionalFormatting sqref="O17:O216">
    <x:cfRule type="expression" dxfId="35" priority="2">
      <x:formula>AND(ISNUMBER(O17),ISNUMBER(H17),O17&gt;H17)</x:formula>
    </x:cfRule>
  </x:conditionalFormatting>
  <x:dataValidations count="5">
    <x:dataValidation type="list" sqref="B4">
      <x:formula1>INDIRECT("'Project Status &amp; EVM'!$A$17:$A$216")</x:formula1>
    </x:dataValidation>
    <x:dataValidation type="list" sqref="L17:L216">
      <x:formula1>"Ready,At risk,Blocked"</x:formula1>
    </x:dataValidation>
    <x:dataValidation type="list" sqref="S17:S216">
      <x:formula1>"Not started,In progress,Completed,Deferred"</x:formula1>
    </x:dataValidation>
    <x:dataValidation type="list" sqref="A17:A216">
      <x:formula1>INDIRECT("'Project Status &amp; EVM'!$A$17:$A$216")</x:formula1>
    </x:dataValidation>
    <x:dataValidation type="list" sqref="Q17:Q216">
      <x:formula1>INDIRECT("'MD Decisions'!$C$17:$C$216")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f6b5c8f64f49a7"/>
  </x:tableParts>
</x:worksheet>
</file>

<file path=xl/worksheets/sheet9.xml><?xml version="1.0" encoding="utf-8"?>
<x:worksheet xmlns:x="http://schemas.openxmlformats.org/spreadsheetml/2006/main">
  <x:sheetPr>
    <x:tabColor rgb="FF8AA1B4"/>
  </x:sheetPr>
  <x:sheetViews>
    <x:sheetView showGridLines="0" workbookViewId="0">
      <x:pane xSplit="2" ySplit="16" topLeftCell="C17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2" hidden="0" customWidth="1"/>
    <x:col min="4" max="4" width="17" hidden="0" customWidth="1"/>
    <x:col min="5" max="5" width="22" hidden="0" customWidth="1"/>
    <x:col min="6" max="6" width="25" hidden="0" customWidth="1"/>
    <x:col min="7" max="7" width="46" hidden="0" customWidth="1"/>
    <x:col min="8" max="8" width="22" hidden="0" customWidth="1"/>
    <x:col min="9" max="9" width="46" hidden="0" customWidth="1"/>
    <x:col min="10" max="10" width="46" hidden="0" customWidth="1"/>
    <x:col min="11" max="11" width="46" hidden="0" customWidth="1"/>
    <x:col min="12" max="12" width="25" hidden="0" customWidth="1"/>
    <x:col min="13" max="13" width="17" hidden="0" customWidth="1"/>
    <x:col min="14" max="14" width="25" hidden="0" customWidth="1"/>
    <x:col min="15" max="15" width="46" hidden="0" customWidth="1"/>
    <x:col min="16" max="16" width="17" hidden="0" customWidth="1"/>
    <x:col min="17" max="17" width="22" hidden="0" customWidth="1"/>
    <x:col min="18" max="18" width="22" hidden="0" customWidth="1"/>
    <x:col min="19" max="19" width="17" hidden="0" customWidth="1"/>
    <x:col min="20" max="20" width="4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4" t="str">
        <x:v>9. Daily MOM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3" t="str">
        <x:v>Project code</x:v>
      </x:c>
      <x:c r="B4" s="6" t="str">
        <x:v>S25WRJ01</x:v>
      </x:c>
      <x:c r="C4" s="2"/>
      <x:c r="D4" s="3" t="str">
        <x:v>Total actions</x:v>
      </x:c>
      <x:c r="E4" s="31" t="n">
        <x:f>COUNTIFS($A$17:$A$216,$B$4,$D$17:$D$216,$B$6,$G$17:$G$216,"&lt;&gt;")</x:f>
        <x:v>4</x:v>
      </x:c>
      <x:c r="F4" s="2"/>
      <x:c r="G4" s="3" t="str">
        <x:v>Overdue actions</x:v>
      </x:c>
      <x:c r="H4" s="31" t="n">
        <x:f>COUNTIFS($A$17:$A$216,$B$4,$D$17:$D$216,$B$6,$G$17:$G$216,"&lt;&gt;",$M$17:$M$216,"&gt;0",$M$17:$M$216,"&lt;"&amp;$B$5,$N$17:$N$216,"&lt;&gt;Closed")</x:f>
        <x:v>1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3" t="str">
        <x:v>Review date</x:v>
      </x:c>
      <x:c r="B5" s="8" t="n">
        <x:v>46285</x:v>
      </x:c>
      <x:c r="C5" s="2"/>
      <x:c r="D5" s="3" t="str">
        <x:v>Open actions</x:v>
      </x:c>
      <x:c r="E5" s="31" t="n">
        <x:f>E4-E6</x:f>
        <x:v>3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4" customHeight="1">
      <x:c r="A6" s="3" t="str">
        <x:v>Meeting date</x:v>
      </x:c>
      <x:c r="B6" s="8" t="n">
        <x:v>46285</x:v>
      </x:c>
      <x:c r="C6" s="2"/>
      <x:c r="D6" s="3" t="str">
        <x:v>Closed actions</x:v>
      </x:c>
      <x:c r="E6" s="31" t="n">
        <x:f>COUNTIFS($A$17:$A$216,$B$4,$D$17:$D$216,$B$6,$G$17:$G$216,"&lt;&gt;",$N$17:$N$216,"Closed")</x:f>
        <x:v>1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4" customHeight="1">
      <x:c r="A7" s="9" t="str">
        <x:v>Enter data below. Blue text = editable. Grey cells = calculated. Dates: dd-mmm-yy. Money: INR lakh.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4" customHeight="1">
      <x:c r="A8" s="9" t="str">
        <x:v>Keep stable IDs. Blank means unknown; enter zero only if confirmed. Filter the table separately from the project selector.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4" customHeight="1">
      <x:c r="A9" s="58" t="str">
        <x:v>FICTIONAL TEST DATA — all records and values are invented solely for system testing.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4" customHeight="1">
      <x:c r="A10" s="9" t="str">
        <x:v>Test review date: 20-Sep-2026. September dates are scenario dates, not real commitments. Replace these records before live use.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4" customHeight="1">
      <x:c r="A11" s="3" t="str">
        <x:v>One row per action. Repeat the meeting reference/date for its actions. Open counts include In progress and On hold.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4" customHeight="1">
      <x:c r="A12" s="3" t="str">
        <x:v>Overdue compares target closure with the Review date above. Enter Actual closure date and closure remarks before marking Closed.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54" customHeight="1">
      <x:c r="A16" s="13" t="str">
        <x:v>Project code</x:v>
      </x:c>
      <x:c r="B16" s="13" t="str">
        <x:v>Site / location</x:v>
      </x:c>
      <x:c r="C16" s="13" t="str">
        <x:v>Meeting reference</x:v>
      </x:c>
      <x:c r="D16" s="13" t="str">
        <x:v>Meeting date</x:v>
      </x:c>
      <x:c r="E16" s="13" t="str">
        <x:v>Meeting chaired by</x:v>
      </x:c>
      <x:c r="F16" s="13" t="str">
        <x:v>Participants</x:v>
      </x:c>
      <x:c r="G16" s="13" t="str">
        <x:v>Item / action ID</x:v>
      </x:c>
      <x:c r="H16" s="13" t="str">
        <x:v>Category</x:v>
      </x:c>
      <x:c r="I16" s="13" t="str">
        <x:v>Discussion point / issue</x:v>
      </x:c>
      <x:c r="J16" s="13" t="str">
        <x:v>Decision / instruction given</x:v>
      </x:c>
      <x:c r="K16" s="13" t="str">
        <x:v>Agreed action</x:v>
      </x:c>
      <x:c r="L16" s="13" t="str">
        <x:v>Responsible owner</x:v>
      </x:c>
      <x:c r="M16" s="13" t="str">
        <x:v>Target closure date</x:v>
      </x:c>
      <x:c r="N16" s="13" t="str">
        <x:v>Present Status</x:v>
      </x:c>
      <x:c r="O16" s="13" t="str">
        <x:v>Progress / closure remarks</x:v>
      </x:c>
      <x:c r="P16" s="13" t="str">
        <x:v>Actual closure date</x:v>
      </x:c>
      <x:c r="Q16" s="13" t="str">
        <x:v>MD escalation required</x:v>
      </x:c>
      <x:c r="R16" s="13" t="str">
        <x:v>Linked Decision ID</x:v>
      </x:c>
      <x:c r="S16" s="13" t="str">
        <x:v>Last updated</x:v>
      </x:c>
      <x:c r="T16" s="13" t="str">
        <x:v>Source / entry notes</x:v>
      </x:c>
    </x:row>
    <x:row r="17" ht="102" customHeight="1">
      <x:c r="A17" s="55" t="str">
        <x:v>S25WRJ01</x:v>
      </x:c>
      <x:c r="B17" s="55" t="str">
        <x:v>P1-SITE-1</x:v>
      </x:c>
      <x:c r="C17" s="55" t="str">
        <x:v>S25WRJ01-MOM-20260920</x:v>
      </x:c>
      <x:c r="D17" s="56" t="n">
        <x:v>46285</x:v>
      </x:c>
      <x:c r="E17" s="55" t="str">
        <x:v>Demo Project Head P1</x:v>
      </x:c>
      <x:c r="F17" s="55" t="str">
        <x:v>Demo Construction Lead P1, Demo Planning Lead P1, Demo Finance Lead P1</x:v>
      </x:c>
      <x:c r="G17" s="55" t="str">
        <x:v>S25WRJ01-MOM-A1</x:v>
      </x:c>
      <x:c r="H17" s="55" t="str">
        <x:v>Construction</x:v>
      </x:c>
      <x:c r="I17" s="55" t="str">
        <x:v>Review completed pour</x:v>
      </x:c>
      <x:c r="J17" s="55" t="str">
        <x:v>Accept completion evidence and close.</x:v>
      </x:c>
      <x:c r="K17" s="55" t="str">
        <x:v>Record completion of the test item.</x:v>
      </x:c>
      <x:c r="L17" s="55" t="str">
        <x:v>Demo Action Owner 1 P1</x:v>
      </x:c>
      <x:c r="M17" s="56" t="n">
        <x:v>46285</x:v>
      </x:c>
      <x:c r="N17" s="55" t="str">
        <x:v>Closed</x:v>
      </x:c>
      <x:c r="O17" s="55" t="str">
        <x:v>Demo completion checked at meeting.</x:v>
      </x:c>
      <x:c r="P17" s="56" t="n">
        <x:v>46285</x:v>
      </x:c>
      <x:c r="Q17" s="55" t="str">
        <x:v>NO</x:v>
      </x:c>
      <x:c r="R17" s="55" t="str">
        <x:v>S25WRJ01-DEC-01</x:v>
      </x:c>
      <x:c r="S17" s="56" t="n">
        <x:v>46285</x:v>
      </x:c>
      <x:c r="T17" s="55" t="str">
        <x:v>FICTIONAL TEST DATA. All people, quantities, money, dates and statuses are invented; not project records.</x:v>
      </x:c>
    </x:row>
    <x:row r="18" ht="102" customHeight="1">
      <x:c r="A18" s="55" t="str">
        <x:v>S25WRJ01</x:v>
      </x:c>
      <x:c r="B18" s="55" t="str">
        <x:v>P1-SITE-2</x:v>
      </x:c>
      <x:c r="C18" s="55" t="str">
        <x:v>S25WRJ01-MOM-20260920</x:v>
      </x:c>
      <x:c r="D18" s="56" t="n">
        <x:v>46285</x:v>
      </x:c>
      <x:c r="E18" s="55" t="str">
        <x:v>Demo Project Head P1</x:v>
      </x:c>
      <x:c r="F18" s="55" t="str">
        <x:v>Demo Construction Lead P1, Demo Planning Lead P1, Demo Finance Lead P1</x:v>
      </x:c>
      <x:c r="G18" s="55" t="str">
        <x:v>S25WRJ01-MOM-A2</x:v>
      </x:c>
      <x:c r="H18" s="55" t="str">
        <x:v>Liability</x:v>
      </x:c>
      <x:c r="I18" s="55" t="str">
        <x:v>Review overdue vendor release</x:v>
      </x:c>
      <x:c r="J18" s="55" t="str">
        <x:v>Implement agreed action and report against target date.</x:v>
      </x:c>
      <x:c r="K18" s="55" t="str">
        <x:v>Resolve vendor payment.</x:v>
      </x:c>
      <x:c r="L18" s="55" t="str">
        <x:v>Demo Action Owner 2 P1</x:v>
      </x:c>
      <x:c r="M18" s="56" t="n">
        <x:v>46283</x:v>
      </x:c>
      <x:c r="N18" s="55" t="str">
        <x:v>In progress</x:v>
      </x:c>
      <x:c r="O18" s="55" t="str">
        <x:v>Carry-forward action overdue; payment documentation pending.</x:v>
      </x:c>
      <x:c r="P18" s="56" t="str">
        <x:v>Not yet occurred</x:v>
      </x:c>
      <x:c r="Q18" s="55" t="str">
        <x:v>YES</x:v>
      </x:c>
      <x:c r="R18" s="55" t="str">
        <x:v>S25WRJ01-DEC-02</x:v>
      </x:c>
      <x:c r="S18" s="56" t="n">
        <x:v>46285</x:v>
      </x:c>
      <x:c r="T18" s="55" t="str">
        <x:v>FICTIONAL TEST DATA. All people, quantities, money, dates and statuses are invented; not project records. Carry-forward commitment from the 15-Sep meeting.</x:v>
      </x:c>
    </x:row>
    <x:row r="19" ht="102" customHeight="1">
      <x:c r="A19" s="55" t="str">
        <x:v>S25WRJ01</x:v>
      </x:c>
      <x:c r="B19" s="55" t="str">
        <x:v>P1-SITE-1</x:v>
      </x:c>
      <x:c r="C19" s="55" t="str">
        <x:v>S25WRJ01-MOM-20260920</x:v>
      </x:c>
      <x:c r="D19" s="56" t="n">
        <x:v>46285</x:v>
      </x:c>
      <x:c r="E19" s="55" t="str">
        <x:v>Demo Project Head P1</x:v>
      </x:c>
      <x:c r="F19" s="55" t="str">
        <x:v>Demo Construction Lead P1, Demo Planning Lead P1, Demo Finance Lead P1</x:v>
      </x:c>
      <x:c r="G19" s="55" t="str">
        <x:v>S25WRJ01-MOM-A3</x:v>
      </x:c>
      <x:c r="H19" s="55" t="str">
        <x:v>Engineering</x:v>
      </x:c>
      <x:c r="I19" s="55" t="str">
        <x:v>Resolve drawing revision</x:v>
      </x:c>
      <x:c r="J19" s="55" t="str">
        <x:v>Implement agreed action and report against target date.</x:v>
      </x:c>
      <x:c r="K19" s="55" t="str">
        <x:v>Resolve drawing revision.</x:v>
      </x:c>
      <x:c r="L19" s="55" t="str">
        <x:v>Demo Action Owner 3 P1</x:v>
      </x:c>
      <x:c r="M19" s="56" t="n">
        <x:v>46289</x:v>
      </x:c>
      <x:c r="N19" s="55" t="str">
        <x:v>Open</x:v>
      </x:c>
      <x:c r="O19" s="55" t="str">
        <x:v>Owner assigned; follow-up required.</x:v>
      </x:c>
      <x:c r="P19" s="56" t="str">
        <x:v>Not yet occurred</x:v>
      </x:c>
      <x:c r="Q19" s="55" t="str">
        <x:v>YES</x:v>
      </x:c>
      <x:c r="R19" s="55" t="str">
        <x:v>S25WRJ01-DEC-03</x:v>
      </x:c>
      <x:c r="S19" s="56" t="n">
        <x:v>46285</x:v>
      </x:c>
      <x:c r="T19" s="55" t="str">
        <x:v>FICTIONAL TEST DATA. All people, quantities, money, dates and statuses are invented; not project records.</x:v>
      </x:c>
    </x:row>
    <x:row r="20" ht="102" customHeight="1">
      <x:c r="A20" s="55" t="str">
        <x:v>S25WRJ01</x:v>
      </x:c>
      <x:c r="B20" s="55" t="str">
        <x:v>P1-SITE-2</x:v>
      </x:c>
      <x:c r="C20" s="55" t="str">
        <x:v>S25WRJ01-MOM-20260920</x:v>
      </x:c>
      <x:c r="D20" s="56" t="n">
        <x:v>46285</x:v>
      </x:c>
      <x:c r="E20" s="55" t="str">
        <x:v>Demo Project Head P1</x:v>
      </x:c>
      <x:c r="F20" s="55" t="str">
        <x:v>Demo Construction Lead P1, Demo Planning Lead P1, Demo Finance Lead P1</x:v>
      </x:c>
      <x:c r="G20" s="55" t="str">
        <x:v>S25WRJ01-MOM-A4</x:v>
      </x:c>
      <x:c r="H20" s="55" t="str">
        <x:v>Resources</x:v>
      </x:c>
      <x:c r="I20" s="55" t="str">
        <x:v>Mobilise next-week crew</x:v>
      </x:c>
      <x:c r="J20" s="55" t="str">
        <x:v>Implement agreed action and report against target date.</x:v>
      </x:c>
      <x:c r="K20" s="55" t="str">
        <x:v>Resolve crew shortage.</x:v>
      </x:c>
      <x:c r="L20" s="55" t="str">
        <x:v>Demo Action Owner 4 P1</x:v>
      </x:c>
      <x:c r="M20" s="56" t="n">
        <x:v>46290</x:v>
      </x:c>
      <x:c r="N20" s="55" t="str">
        <x:v>On hold</x:v>
      </x:c>
      <x:c r="O20" s="55" t="str">
        <x:v>Owner assigned; follow-up required.</x:v>
      </x:c>
      <x:c r="P20" s="56" t="str">
        <x:v>Not yet occurred</x:v>
      </x:c>
      <x:c r="Q20" s="55" t="str">
        <x:v>YES</x:v>
      </x:c>
      <x:c r="R20" s="55" t="str">
        <x:v>S25WRJ01-DEC-04</x:v>
      </x:c>
      <x:c r="S20" s="56" t="n">
        <x:v>46285</x:v>
      </x:c>
      <x:c r="T20" s="55" t="str">
        <x:v>FICTIONAL TEST DATA. All people, quantities, money, dates and statuses are invented; not project records.</x:v>
      </x:c>
    </x:row>
    <x:row r="21" ht="102" customHeight="1">
      <x:c r="A21" s="55" t="str">
        <x:v>S25WJH01</x:v>
      </x:c>
      <x:c r="B21" s="55" t="str">
        <x:v>P2-SITE-1</x:v>
      </x:c>
      <x:c r="C21" s="55" t="str">
        <x:v>S25WJH01-MOM-20260920</x:v>
      </x:c>
      <x:c r="D21" s="56" t="n">
        <x:v>46285</x:v>
      </x:c>
      <x:c r="E21" s="55" t="str">
        <x:v>Demo Project Head P2</x:v>
      </x:c>
      <x:c r="F21" s="55" t="str">
        <x:v>Demo Construction Lead P2, Demo Planning Lead P2, Demo Finance Lead P2</x:v>
      </x:c>
      <x:c r="G21" s="55" t="str">
        <x:v>S25WJH01-MOM-A1</x:v>
      </x:c>
      <x:c r="H21" s="55" t="str">
        <x:v>Construction</x:v>
      </x:c>
      <x:c r="I21" s="55" t="str">
        <x:v>Review completed pour</x:v>
      </x:c>
      <x:c r="J21" s="55" t="str">
        <x:v>Accept completion evidence and close.</x:v>
      </x:c>
      <x:c r="K21" s="55" t="str">
        <x:v>Record completion of the test item.</x:v>
      </x:c>
      <x:c r="L21" s="55" t="str">
        <x:v>Demo Action Owner 1 P2</x:v>
      </x:c>
      <x:c r="M21" s="56" t="n">
        <x:v>46285</x:v>
      </x:c>
      <x:c r="N21" s="55" t="str">
        <x:v>Closed</x:v>
      </x:c>
      <x:c r="O21" s="55" t="str">
        <x:v>Demo completion checked at meeting.</x:v>
      </x:c>
      <x:c r="P21" s="56" t="n">
        <x:v>46285</x:v>
      </x:c>
      <x:c r="Q21" s="55" t="str">
        <x:v>NO</x:v>
      </x:c>
      <x:c r="R21" s="55" t="str">
        <x:v>S25WJH01-DEC-01</x:v>
      </x:c>
      <x:c r="S21" s="56" t="n">
        <x:v>46285</x:v>
      </x:c>
      <x:c r="T21" s="55" t="str">
        <x:v>FICTIONAL TEST DATA. All people, quantities, money, dates and statuses are invented; not project records.</x:v>
      </x:c>
    </x:row>
    <x:row r="22" ht="102" customHeight="1">
      <x:c r="A22" s="55" t="str">
        <x:v>S25WJH01</x:v>
      </x:c>
      <x:c r="B22" s="55" t="str">
        <x:v>P2-SITE-2</x:v>
      </x:c>
      <x:c r="C22" s="55" t="str">
        <x:v>S25WJH01-MOM-20260920</x:v>
      </x:c>
      <x:c r="D22" s="56" t="n">
        <x:v>46285</x:v>
      </x:c>
      <x:c r="E22" s="55" t="str">
        <x:v>Demo Project Head P2</x:v>
      </x:c>
      <x:c r="F22" s="55" t="str">
        <x:v>Demo Construction Lead P2, Demo Planning Lead P2, Demo Finance Lead P2</x:v>
      </x:c>
      <x:c r="G22" s="55" t="str">
        <x:v>S25WJH01-MOM-A2</x:v>
      </x:c>
      <x:c r="H22" s="55" t="str">
        <x:v>Liability</x:v>
      </x:c>
      <x:c r="I22" s="55" t="str">
        <x:v>Review overdue vendor release</x:v>
      </x:c>
      <x:c r="J22" s="55" t="str">
        <x:v>Implement agreed action and report against target date.</x:v>
      </x:c>
      <x:c r="K22" s="55" t="str">
        <x:v>Resolve vendor payment.</x:v>
      </x:c>
      <x:c r="L22" s="55" t="str">
        <x:v>Demo Action Owner 2 P2</x:v>
      </x:c>
      <x:c r="M22" s="56" t="n">
        <x:v>46283</x:v>
      </x:c>
      <x:c r="N22" s="55" t="str">
        <x:v>In progress</x:v>
      </x:c>
      <x:c r="O22" s="55" t="str">
        <x:v>Carry-forward action overdue; payment documentation pending.</x:v>
      </x:c>
      <x:c r="P22" s="56" t="str">
        <x:v>Not yet occurred</x:v>
      </x:c>
      <x:c r="Q22" s="55" t="str">
        <x:v>YES</x:v>
      </x:c>
      <x:c r="R22" s="55" t="str">
        <x:v>S25WJH01-DEC-02</x:v>
      </x:c>
      <x:c r="S22" s="56" t="n">
        <x:v>46285</x:v>
      </x:c>
      <x:c r="T22" s="55" t="str">
        <x:v>FICTIONAL TEST DATA. All people, quantities, money, dates and statuses are invented; not project records. Carry-forward commitment from the 15-Sep meeting.</x:v>
      </x:c>
    </x:row>
    <x:row r="23" ht="102" customHeight="1">
      <x:c r="A23" s="55" t="str">
        <x:v>S25WJH01</x:v>
      </x:c>
      <x:c r="B23" s="55" t="str">
        <x:v>P2-SITE-1</x:v>
      </x:c>
      <x:c r="C23" s="55" t="str">
        <x:v>S25WJH01-MOM-20260920</x:v>
      </x:c>
      <x:c r="D23" s="56" t="n">
        <x:v>46285</x:v>
      </x:c>
      <x:c r="E23" s="55" t="str">
        <x:v>Demo Project Head P2</x:v>
      </x:c>
      <x:c r="F23" s="55" t="str">
        <x:v>Demo Construction Lead P2, Demo Planning Lead P2, Demo Finance Lead P2</x:v>
      </x:c>
      <x:c r="G23" s="55" t="str">
        <x:v>S25WJH01-MOM-A3</x:v>
      </x:c>
      <x:c r="H23" s="55" t="str">
        <x:v>Engineering</x:v>
      </x:c>
      <x:c r="I23" s="55" t="str">
        <x:v>Resolve drawing revision</x:v>
      </x:c>
      <x:c r="J23" s="55" t="str">
        <x:v>Implement agreed action and report against target date.</x:v>
      </x:c>
      <x:c r="K23" s="55" t="str">
        <x:v>Resolve drawing revision.</x:v>
      </x:c>
      <x:c r="L23" s="55" t="str">
        <x:v>Demo Action Owner 3 P2</x:v>
      </x:c>
      <x:c r="M23" s="56" t="n">
        <x:v>46289</x:v>
      </x:c>
      <x:c r="N23" s="55" t="str">
        <x:v>Open</x:v>
      </x:c>
      <x:c r="O23" s="55" t="str">
        <x:v>Owner assigned; follow-up required.</x:v>
      </x:c>
      <x:c r="P23" s="56" t="str">
        <x:v>Not yet occurred</x:v>
      </x:c>
      <x:c r="Q23" s="55" t="str">
        <x:v>YES</x:v>
      </x:c>
      <x:c r="R23" s="55" t="str">
        <x:v>S25WJH01-DEC-03</x:v>
      </x:c>
      <x:c r="S23" s="56" t="n">
        <x:v>46285</x:v>
      </x:c>
      <x:c r="T23" s="55" t="str">
        <x:v>FICTIONAL TEST DATA. All people, quantities, money, dates and statuses are invented; not project records.</x:v>
      </x:c>
    </x:row>
    <x:row r="24" ht="102" customHeight="1">
      <x:c r="A24" s="55" t="str">
        <x:v>S25WJH01</x:v>
      </x:c>
      <x:c r="B24" s="55" t="str">
        <x:v>P2-SITE-2</x:v>
      </x:c>
      <x:c r="C24" s="55" t="str">
        <x:v>S25WJH01-MOM-20260920</x:v>
      </x:c>
      <x:c r="D24" s="56" t="n">
        <x:v>46285</x:v>
      </x:c>
      <x:c r="E24" s="55" t="str">
        <x:v>Demo Project Head P2</x:v>
      </x:c>
      <x:c r="F24" s="55" t="str">
        <x:v>Demo Construction Lead P2, Demo Planning Lead P2, Demo Finance Lead P2</x:v>
      </x:c>
      <x:c r="G24" s="55" t="str">
        <x:v>S25WJH01-MOM-A4</x:v>
      </x:c>
      <x:c r="H24" s="55" t="str">
        <x:v>Resources</x:v>
      </x:c>
      <x:c r="I24" s="55" t="str">
        <x:v>Mobilise next-week crew</x:v>
      </x:c>
      <x:c r="J24" s="55" t="str">
        <x:v>Implement agreed action and report against target date.</x:v>
      </x:c>
      <x:c r="K24" s="55" t="str">
        <x:v>Resolve crew shortage.</x:v>
      </x:c>
      <x:c r="L24" s="55" t="str">
        <x:v>Demo Action Owner 4 P2</x:v>
      </x:c>
      <x:c r="M24" s="56" t="n">
        <x:v>46290</x:v>
      </x:c>
      <x:c r="N24" s="55" t="str">
        <x:v>On hold</x:v>
      </x:c>
      <x:c r="O24" s="55" t="str">
        <x:v>Owner assigned; follow-up required.</x:v>
      </x:c>
      <x:c r="P24" s="56" t="str">
        <x:v>Not yet occurred</x:v>
      </x:c>
      <x:c r="Q24" s="55" t="str">
        <x:v>YES</x:v>
      </x:c>
      <x:c r="R24" s="55" t="str">
        <x:v>S25WJH01-DEC-04</x:v>
      </x:c>
      <x:c r="S24" s="56" t="n">
        <x:v>46285</x:v>
      </x:c>
      <x:c r="T24" s="55" t="str">
        <x:v>FICTIONAL TEST DATA. All people, quantities, money, dates and statuses are invented; not project records.</x:v>
      </x:c>
    </x:row>
    <x:row r="25" ht="102" customHeight="1">
      <x:c r="A25" s="55" t="str">
        <x:v>S25WMP01</x:v>
      </x:c>
      <x:c r="B25" s="55" t="str">
        <x:v>P3-SITE-1</x:v>
      </x:c>
      <x:c r="C25" s="55" t="str">
        <x:v>S25WMP01-MOM-20260920</x:v>
      </x:c>
      <x:c r="D25" s="56" t="n">
        <x:v>46285</x:v>
      </x:c>
      <x:c r="E25" s="55" t="str">
        <x:v>Demo Project Head P3</x:v>
      </x:c>
      <x:c r="F25" s="55" t="str">
        <x:v>Demo Construction Lead P3, Demo Planning Lead P3, Demo Finance Lead P3</x:v>
      </x:c>
      <x:c r="G25" s="55" t="str">
        <x:v>S25WMP01-MOM-A1</x:v>
      </x:c>
      <x:c r="H25" s="55" t="str">
        <x:v>Construction</x:v>
      </x:c>
      <x:c r="I25" s="55" t="str">
        <x:v>Review completed pour</x:v>
      </x:c>
      <x:c r="J25" s="55" t="str">
        <x:v>Accept completion evidence and close.</x:v>
      </x:c>
      <x:c r="K25" s="55" t="str">
        <x:v>Record completion of the test item.</x:v>
      </x:c>
      <x:c r="L25" s="55" t="str">
        <x:v>Demo Action Owner 1 P3</x:v>
      </x:c>
      <x:c r="M25" s="56" t="n">
        <x:v>46285</x:v>
      </x:c>
      <x:c r="N25" s="55" t="str">
        <x:v>Closed</x:v>
      </x:c>
      <x:c r="O25" s="55" t="str">
        <x:v>Demo completion checked at meeting.</x:v>
      </x:c>
      <x:c r="P25" s="56" t="n">
        <x:v>46285</x:v>
      </x:c>
      <x:c r="Q25" s="55" t="str">
        <x:v>NO</x:v>
      </x:c>
      <x:c r="R25" s="55" t="str">
        <x:v>S25WMP01-DEC-01</x:v>
      </x:c>
      <x:c r="S25" s="56" t="n">
        <x:v>46285</x:v>
      </x:c>
      <x:c r="T25" s="55" t="str">
        <x:v>FICTIONAL TEST DATA. All people, quantities, money, dates and statuses are invented; not project records.</x:v>
      </x:c>
    </x:row>
    <x:row r="26" ht="102" customHeight="1">
      <x:c r="A26" s="55" t="str">
        <x:v>S25WMP01</x:v>
      </x:c>
      <x:c r="B26" s="55" t="str">
        <x:v>P3-SITE-2</x:v>
      </x:c>
      <x:c r="C26" s="55" t="str">
        <x:v>S25WMP01-MOM-20260920</x:v>
      </x:c>
      <x:c r="D26" s="56" t="n">
        <x:v>46285</x:v>
      </x:c>
      <x:c r="E26" s="55" t="str">
        <x:v>Demo Project Head P3</x:v>
      </x:c>
      <x:c r="F26" s="55" t="str">
        <x:v>Demo Construction Lead P3, Demo Planning Lead P3, Demo Finance Lead P3</x:v>
      </x:c>
      <x:c r="G26" s="55" t="str">
        <x:v>S25WMP01-MOM-A2</x:v>
      </x:c>
      <x:c r="H26" s="55" t="str">
        <x:v>Liability</x:v>
      </x:c>
      <x:c r="I26" s="55" t="str">
        <x:v>Review overdue vendor release</x:v>
      </x:c>
      <x:c r="J26" s="55" t="str">
        <x:v>Implement agreed action and report against target date.</x:v>
      </x:c>
      <x:c r="K26" s="55" t="str">
        <x:v>Resolve vendor payment.</x:v>
      </x:c>
      <x:c r="L26" s="55" t="str">
        <x:v>Demo Action Owner 2 P3</x:v>
      </x:c>
      <x:c r="M26" s="56" t="n">
        <x:v>46283</x:v>
      </x:c>
      <x:c r="N26" s="55" t="str">
        <x:v>In progress</x:v>
      </x:c>
      <x:c r="O26" s="55" t="str">
        <x:v>Carry-forward action overdue; payment documentation pending.</x:v>
      </x:c>
      <x:c r="P26" s="56" t="str">
        <x:v>Not yet occurred</x:v>
      </x:c>
      <x:c r="Q26" s="55" t="str">
        <x:v>YES</x:v>
      </x:c>
      <x:c r="R26" s="55" t="str">
        <x:v>S25WMP01-DEC-02</x:v>
      </x:c>
      <x:c r="S26" s="56" t="n">
        <x:v>46285</x:v>
      </x:c>
      <x:c r="T26" s="55" t="str">
        <x:v>FICTIONAL TEST DATA. All people, quantities, money, dates and statuses are invented; not project records. Carry-forward commitment from the 15-Sep meeting.</x:v>
      </x:c>
    </x:row>
    <x:row r="27" ht="102" customHeight="1">
      <x:c r="A27" s="55" t="str">
        <x:v>S25WMP01</x:v>
      </x:c>
      <x:c r="B27" s="55" t="str">
        <x:v>P3-SITE-1</x:v>
      </x:c>
      <x:c r="C27" s="55" t="str">
        <x:v>S25WMP01-MOM-20260920</x:v>
      </x:c>
      <x:c r="D27" s="56" t="n">
        <x:v>46285</x:v>
      </x:c>
      <x:c r="E27" s="55" t="str">
        <x:v>Demo Project Head P3</x:v>
      </x:c>
      <x:c r="F27" s="55" t="str">
        <x:v>Demo Construction Lead P3, Demo Planning Lead P3, Demo Finance Lead P3</x:v>
      </x:c>
      <x:c r="G27" s="55" t="str">
        <x:v>S25WMP01-MOM-A3</x:v>
      </x:c>
      <x:c r="H27" s="55" t="str">
        <x:v>Engineering</x:v>
      </x:c>
      <x:c r="I27" s="55" t="str">
        <x:v>Resolve drawing revision</x:v>
      </x:c>
      <x:c r="J27" s="55" t="str">
        <x:v>Implement agreed action and report against target date.</x:v>
      </x:c>
      <x:c r="K27" s="55" t="str">
        <x:v>Resolve drawing revision.</x:v>
      </x:c>
      <x:c r="L27" s="55" t="str">
        <x:v>Demo Action Owner 3 P3</x:v>
      </x:c>
      <x:c r="M27" s="56" t="n">
        <x:v>46289</x:v>
      </x:c>
      <x:c r="N27" s="55" t="str">
        <x:v>Open</x:v>
      </x:c>
      <x:c r="O27" s="55" t="str">
        <x:v>Owner assigned; follow-up required.</x:v>
      </x:c>
      <x:c r="P27" s="56" t="str">
        <x:v>Not yet occurred</x:v>
      </x:c>
      <x:c r="Q27" s="55" t="str">
        <x:v>YES</x:v>
      </x:c>
      <x:c r="R27" s="55" t="str">
        <x:v>S25WMP01-DEC-03</x:v>
      </x:c>
      <x:c r="S27" s="56" t="n">
        <x:v>46285</x:v>
      </x:c>
      <x:c r="T27" s="55" t="str">
        <x:v>FICTIONAL TEST DATA. All people, quantities, money, dates and statuses are invented; not project records.</x:v>
      </x:c>
    </x:row>
    <x:row r="28" ht="102" customHeight="1">
      <x:c r="A28" s="55" t="str">
        <x:v>S25WMP01</x:v>
      </x:c>
      <x:c r="B28" s="55" t="str">
        <x:v>P3-SITE-2</x:v>
      </x:c>
      <x:c r="C28" s="55" t="str">
        <x:v>S25WMP01-MOM-20260920</x:v>
      </x:c>
      <x:c r="D28" s="56" t="n">
        <x:v>46285</x:v>
      </x:c>
      <x:c r="E28" s="55" t="str">
        <x:v>Demo Project Head P3</x:v>
      </x:c>
      <x:c r="F28" s="55" t="str">
        <x:v>Demo Construction Lead P3, Demo Planning Lead P3, Demo Finance Lead P3</x:v>
      </x:c>
      <x:c r="G28" s="55" t="str">
        <x:v>S25WMP01-MOM-A4</x:v>
      </x:c>
      <x:c r="H28" s="55" t="str">
        <x:v>Resources</x:v>
      </x:c>
      <x:c r="I28" s="55" t="str">
        <x:v>Mobilise next-week crew</x:v>
      </x:c>
      <x:c r="J28" s="55" t="str">
        <x:v>Implement agreed action and report against target date.</x:v>
      </x:c>
      <x:c r="K28" s="55" t="str">
        <x:v>Resolve crew shortage.</x:v>
      </x:c>
      <x:c r="L28" s="55" t="str">
        <x:v>Demo Action Owner 4 P3</x:v>
      </x:c>
      <x:c r="M28" s="56" t="n">
        <x:v>46290</x:v>
      </x:c>
      <x:c r="N28" s="55" t="str">
        <x:v>On hold</x:v>
      </x:c>
      <x:c r="O28" s="55" t="str">
        <x:v>Owner assigned; follow-up required.</x:v>
      </x:c>
      <x:c r="P28" s="56" t="str">
        <x:v>Not yet occurred</x:v>
      </x:c>
      <x:c r="Q28" s="55" t="str">
        <x:v>YES</x:v>
      </x:c>
      <x:c r="R28" s="55" t="str">
        <x:v>S25WMP01-DEC-04</x:v>
      </x:c>
      <x:c r="S28" s="56" t="n">
        <x:v>46285</x:v>
      </x:c>
      <x:c r="T28" s="55" t="str">
        <x:v>FICTIONAL TEST DATA. All people, quantities, money, dates and statuses are invented; not project records.</x:v>
      </x:c>
    </x:row>
    <x:row r="29" ht="102" customHeight="1">
      <x:c r="A29" s="55" t="str">
        <x:v>S26BBI01</x:v>
      </x:c>
      <x:c r="B29" s="55" t="str">
        <x:v>P4-SITE-1</x:v>
      </x:c>
      <x:c r="C29" s="55" t="str">
        <x:v>S26BBI01-MOM-20260920</x:v>
      </x:c>
      <x:c r="D29" s="56" t="n">
        <x:v>46285</x:v>
      </x:c>
      <x:c r="E29" s="55" t="str">
        <x:v>Demo Project Head P4</x:v>
      </x:c>
      <x:c r="F29" s="55" t="str">
        <x:v>Demo Construction Lead P4, Demo Planning Lead P4, Demo Finance Lead P4</x:v>
      </x:c>
      <x:c r="G29" s="55" t="str">
        <x:v>S26BBI01-MOM-A1</x:v>
      </x:c>
      <x:c r="H29" s="55" t="str">
        <x:v>Construction</x:v>
      </x:c>
      <x:c r="I29" s="55" t="str">
        <x:v>Review completed pour</x:v>
      </x:c>
      <x:c r="J29" s="55" t="str">
        <x:v>Accept completion evidence and close.</x:v>
      </x:c>
      <x:c r="K29" s="55" t="str">
        <x:v>Record completion of the test item.</x:v>
      </x:c>
      <x:c r="L29" s="55" t="str">
        <x:v>Demo Action Owner 1 P4</x:v>
      </x:c>
      <x:c r="M29" s="56" t="n">
        <x:v>46285</x:v>
      </x:c>
      <x:c r="N29" s="55" t="str">
        <x:v>Closed</x:v>
      </x:c>
      <x:c r="O29" s="55" t="str">
        <x:v>Demo completion checked at meeting.</x:v>
      </x:c>
      <x:c r="P29" s="56" t="n">
        <x:v>46285</x:v>
      </x:c>
      <x:c r="Q29" s="55" t="str">
        <x:v>NO</x:v>
      </x:c>
      <x:c r="R29" s="55" t="str">
        <x:v>S26BBI01-DEC-01</x:v>
      </x:c>
      <x:c r="S29" s="56" t="n">
        <x:v>46285</x:v>
      </x:c>
      <x:c r="T29" s="55" t="str">
        <x:v>FICTIONAL TEST DATA. All people, quantities, money, dates and statuses are invented; not project records.</x:v>
      </x:c>
    </x:row>
    <x:row r="30" ht="102" customHeight="1">
      <x:c r="A30" s="55" t="str">
        <x:v>S26BBI01</x:v>
      </x:c>
      <x:c r="B30" s="55" t="str">
        <x:v>P4-SITE-2</x:v>
      </x:c>
      <x:c r="C30" s="55" t="str">
        <x:v>S26BBI01-MOM-20260920</x:v>
      </x:c>
      <x:c r="D30" s="56" t="n">
        <x:v>46285</x:v>
      </x:c>
      <x:c r="E30" s="55" t="str">
        <x:v>Demo Project Head P4</x:v>
      </x:c>
      <x:c r="F30" s="55" t="str">
        <x:v>Demo Construction Lead P4, Demo Planning Lead P4, Demo Finance Lead P4</x:v>
      </x:c>
      <x:c r="G30" s="55" t="str">
        <x:v>S26BBI01-MOM-A2</x:v>
      </x:c>
      <x:c r="H30" s="55" t="str">
        <x:v>Liability</x:v>
      </x:c>
      <x:c r="I30" s="55" t="str">
        <x:v>Review overdue vendor release</x:v>
      </x:c>
      <x:c r="J30" s="55" t="str">
        <x:v>Implement agreed action and report against target date.</x:v>
      </x:c>
      <x:c r="K30" s="55" t="str">
        <x:v>Resolve vendor payment.</x:v>
      </x:c>
      <x:c r="L30" s="55" t="str">
        <x:v>Demo Action Owner 2 P4</x:v>
      </x:c>
      <x:c r="M30" s="56" t="n">
        <x:v>46283</x:v>
      </x:c>
      <x:c r="N30" s="55" t="str">
        <x:v>In progress</x:v>
      </x:c>
      <x:c r="O30" s="55" t="str">
        <x:v>Carry-forward action overdue; payment documentation pending.</x:v>
      </x:c>
      <x:c r="P30" s="56" t="str">
        <x:v>Not yet occurred</x:v>
      </x:c>
      <x:c r="Q30" s="55" t="str">
        <x:v>YES</x:v>
      </x:c>
      <x:c r="R30" s="55" t="str">
        <x:v>S26BBI01-DEC-02</x:v>
      </x:c>
      <x:c r="S30" s="56" t="n">
        <x:v>46285</x:v>
      </x:c>
      <x:c r="T30" s="55" t="str">
        <x:v>FICTIONAL TEST DATA. All people, quantities, money, dates and statuses are invented; not project records. Carry-forward commitment from the 15-Sep meeting.</x:v>
      </x:c>
    </x:row>
    <x:row r="31" ht="102" customHeight="1">
      <x:c r="A31" s="55" t="str">
        <x:v>S26BBI01</x:v>
      </x:c>
      <x:c r="B31" s="55" t="str">
        <x:v>P4-SITE-1</x:v>
      </x:c>
      <x:c r="C31" s="55" t="str">
        <x:v>S26BBI01-MOM-20260920</x:v>
      </x:c>
      <x:c r="D31" s="56" t="n">
        <x:v>46285</x:v>
      </x:c>
      <x:c r="E31" s="55" t="str">
        <x:v>Demo Project Head P4</x:v>
      </x:c>
      <x:c r="F31" s="55" t="str">
        <x:v>Demo Construction Lead P4, Demo Planning Lead P4, Demo Finance Lead P4</x:v>
      </x:c>
      <x:c r="G31" s="55" t="str">
        <x:v>S26BBI01-MOM-A3</x:v>
      </x:c>
      <x:c r="H31" s="55" t="str">
        <x:v>Engineering</x:v>
      </x:c>
      <x:c r="I31" s="55" t="str">
        <x:v>Resolve drawing revision</x:v>
      </x:c>
      <x:c r="J31" s="55" t="str">
        <x:v>Implement agreed action and report against target date.</x:v>
      </x:c>
      <x:c r="K31" s="55" t="str">
        <x:v>Resolve drawing revision.</x:v>
      </x:c>
      <x:c r="L31" s="55" t="str">
        <x:v>Demo Action Owner 3 P4</x:v>
      </x:c>
      <x:c r="M31" s="56" t="n">
        <x:v>46289</x:v>
      </x:c>
      <x:c r="N31" s="55" t="str">
        <x:v>Open</x:v>
      </x:c>
      <x:c r="O31" s="55" t="str">
        <x:v>Owner assigned; follow-up required.</x:v>
      </x:c>
      <x:c r="P31" s="56" t="str">
        <x:v>Not yet occurred</x:v>
      </x:c>
      <x:c r="Q31" s="55" t="str">
        <x:v>YES</x:v>
      </x:c>
      <x:c r="R31" s="55" t="str">
        <x:v>S26BBI01-DEC-03</x:v>
      </x:c>
      <x:c r="S31" s="56" t="n">
        <x:v>46285</x:v>
      </x:c>
      <x:c r="T31" s="55" t="str">
        <x:v>FICTIONAL TEST DATA. All people, quantities, money, dates and statuses are invented; not project records.</x:v>
      </x:c>
    </x:row>
    <x:row r="32" ht="102" customHeight="1">
      <x:c r="A32" s="55" t="str">
        <x:v>S26BBI01</x:v>
      </x:c>
      <x:c r="B32" s="55" t="str">
        <x:v>P4-SITE-2</x:v>
      </x:c>
      <x:c r="C32" s="55" t="str">
        <x:v>S26BBI01-MOM-20260920</x:v>
      </x:c>
      <x:c r="D32" s="56" t="n">
        <x:v>46285</x:v>
      </x:c>
      <x:c r="E32" s="55" t="str">
        <x:v>Demo Project Head P4</x:v>
      </x:c>
      <x:c r="F32" s="55" t="str">
        <x:v>Demo Construction Lead P4, Demo Planning Lead P4, Demo Finance Lead P4</x:v>
      </x:c>
      <x:c r="G32" s="55" t="str">
        <x:v>S26BBI01-MOM-A4</x:v>
      </x:c>
      <x:c r="H32" s="55" t="str">
        <x:v>Resources</x:v>
      </x:c>
      <x:c r="I32" s="55" t="str">
        <x:v>Mobilise next-week crew</x:v>
      </x:c>
      <x:c r="J32" s="55" t="str">
        <x:v>Implement agreed action and report against target date.</x:v>
      </x:c>
      <x:c r="K32" s="55" t="str">
        <x:v>Resolve crew shortage.</x:v>
      </x:c>
      <x:c r="L32" s="55" t="str">
        <x:v>Demo Action Owner 4 P4</x:v>
      </x:c>
      <x:c r="M32" s="56" t="n">
        <x:v>46290</x:v>
      </x:c>
      <x:c r="N32" s="55" t="str">
        <x:v>On hold</x:v>
      </x:c>
      <x:c r="O32" s="55" t="str">
        <x:v>Owner assigned; follow-up required.</x:v>
      </x:c>
      <x:c r="P32" s="56" t="str">
        <x:v>Not yet occurred</x:v>
      </x:c>
      <x:c r="Q32" s="55" t="str">
        <x:v>YES</x:v>
      </x:c>
      <x:c r="R32" s="55" t="str">
        <x:v>S26BBI01-DEC-04</x:v>
      </x:c>
      <x:c r="S32" s="56" t="n">
        <x:v>46285</x:v>
      </x:c>
      <x:c r="T32" s="55" t="str">
        <x:v>FICTIONAL TEST DATA. All people, quantities, money, dates and statuses are invented; not project records.</x:v>
      </x:c>
    </x:row>
    <x:row r="33" ht="102" customHeight="1">
      <x:c r="A33" s="55" t="str">
        <x:v>S26PRJ01</x:v>
      </x:c>
      <x:c r="B33" s="55" t="str">
        <x:v>P5-SITE-1</x:v>
      </x:c>
      <x:c r="C33" s="55" t="str">
        <x:v>S26PRJ01-MOM-20260920</x:v>
      </x:c>
      <x:c r="D33" s="56" t="n">
        <x:v>46285</x:v>
      </x:c>
      <x:c r="E33" s="55" t="str">
        <x:v>Demo Project Head P5</x:v>
      </x:c>
      <x:c r="F33" s="55" t="str">
        <x:v>Demo Construction Lead P5, Demo Planning Lead P5, Demo Finance Lead P5</x:v>
      </x:c>
      <x:c r="G33" s="55" t="str">
        <x:v>S26PRJ01-MOM-A1</x:v>
      </x:c>
      <x:c r="H33" s="55" t="str">
        <x:v>Construction</x:v>
      </x:c>
      <x:c r="I33" s="55" t="str">
        <x:v>Review completed pour</x:v>
      </x:c>
      <x:c r="J33" s="55" t="str">
        <x:v>Accept completion evidence and close.</x:v>
      </x:c>
      <x:c r="K33" s="55" t="str">
        <x:v>Record completion of the test item.</x:v>
      </x:c>
      <x:c r="L33" s="55" t="str">
        <x:v>Demo Action Owner 1 P5</x:v>
      </x:c>
      <x:c r="M33" s="56" t="n">
        <x:v>46285</x:v>
      </x:c>
      <x:c r="N33" s="55" t="str">
        <x:v>Closed</x:v>
      </x:c>
      <x:c r="O33" s="55" t="str">
        <x:v>Demo completion checked at meeting.</x:v>
      </x:c>
      <x:c r="P33" s="56" t="n">
        <x:v>46285</x:v>
      </x:c>
      <x:c r="Q33" s="55" t="str">
        <x:v>NO</x:v>
      </x:c>
      <x:c r="R33" s="55" t="str">
        <x:v>S26PRJ01-DEC-01</x:v>
      </x:c>
      <x:c r="S33" s="56" t="n">
        <x:v>46285</x:v>
      </x:c>
      <x:c r="T33" s="55" t="str">
        <x:v>FICTIONAL TEST DATA. All people, quantities, money, dates and statuses are invented; not project records.</x:v>
      </x:c>
    </x:row>
    <x:row r="34" ht="102" customHeight="1">
      <x:c r="A34" s="55" t="str">
        <x:v>S26PRJ01</x:v>
      </x:c>
      <x:c r="B34" s="55" t="str">
        <x:v>P5-SITE-2</x:v>
      </x:c>
      <x:c r="C34" s="55" t="str">
        <x:v>S26PRJ01-MOM-20260920</x:v>
      </x:c>
      <x:c r="D34" s="56" t="n">
        <x:v>46285</x:v>
      </x:c>
      <x:c r="E34" s="55" t="str">
        <x:v>Demo Project Head P5</x:v>
      </x:c>
      <x:c r="F34" s="55" t="str">
        <x:v>Demo Construction Lead P5, Demo Planning Lead P5, Demo Finance Lead P5</x:v>
      </x:c>
      <x:c r="G34" s="55" t="str">
        <x:v>S26PRJ01-MOM-A2</x:v>
      </x:c>
      <x:c r="H34" s="55" t="str">
        <x:v>Liability</x:v>
      </x:c>
      <x:c r="I34" s="55" t="str">
        <x:v>Review overdue vendor release</x:v>
      </x:c>
      <x:c r="J34" s="55" t="str">
        <x:v>Implement agreed action and report against target date.</x:v>
      </x:c>
      <x:c r="K34" s="55" t="str">
        <x:v>Resolve vendor payment.</x:v>
      </x:c>
      <x:c r="L34" s="55" t="str">
        <x:v>Demo Action Owner 2 P5</x:v>
      </x:c>
      <x:c r="M34" s="56" t="n">
        <x:v>46283</x:v>
      </x:c>
      <x:c r="N34" s="55" t="str">
        <x:v>In progress</x:v>
      </x:c>
      <x:c r="O34" s="55" t="str">
        <x:v>Carry-forward action overdue; payment documentation pending.</x:v>
      </x:c>
      <x:c r="P34" s="56" t="str">
        <x:v>Not yet occurred</x:v>
      </x:c>
      <x:c r="Q34" s="55" t="str">
        <x:v>YES</x:v>
      </x:c>
      <x:c r="R34" s="55" t="str">
        <x:v>S26PRJ01-DEC-02</x:v>
      </x:c>
      <x:c r="S34" s="56" t="n">
        <x:v>46285</x:v>
      </x:c>
      <x:c r="T34" s="55" t="str">
        <x:v>FICTIONAL TEST DATA. All people, quantities, money, dates and statuses are invented; not project records. Carry-forward commitment from the 15-Sep meeting.</x:v>
      </x:c>
    </x:row>
    <x:row r="35" ht="102" customHeight="1">
      <x:c r="A35" s="55" t="str">
        <x:v>S26PRJ01</x:v>
      </x:c>
      <x:c r="B35" s="55" t="str">
        <x:v>P5-SITE-1</x:v>
      </x:c>
      <x:c r="C35" s="55" t="str">
        <x:v>S26PRJ01-MOM-20260920</x:v>
      </x:c>
      <x:c r="D35" s="56" t="n">
        <x:v>46285</x:v>
      </x:c>
      <x:c r="E35" s="55" t="str">
        <x:v>Demo Project Head P5</x:v>
      </x:c>
      <x:c r="F35" s="55" t="str">
        <x:v>Demo Construction Lead P5, Demo Planning Lead P5, Demo Finance Lead P5</x:v>
      </x:c>
      <x:c r="G35" s="55" t="str">
        <x:v>S26PRJ01-MOM-A3</x:v>
      </x:c>
      <x:c r="H35" s="55" t="str">
        <x:v>Engineering</x:v>
      </x:c>
      <x:c r="I35" s="55" t="str">
        <x:v>Resolve drawing revision</x:v>
      </x:c>
      <x:c r="J35" s="55" t="str">
        <x:v>Implement agreed action and report against target date.</x:v>
      </x:c>
      <x:c r="K35" s="55" t="str">
        <x:v>Resolve drawing revision.</x:v>
      </x:c>
      <x:c r="L35" s="55" t="str">
        <x:v>Demo Action Owner 3 P5</x:v>
      </x:c>
      <x:c r="M35" s="56" t="n">
        <x:v>46289</x:v>
      </x:c>
      <x:c r="N35" s="55" t="str">
        <x:v>Open</x:v>
      </x:c>
      <x:c r="O35" s="55" t="str">
        <x:v>Owner assigned; follow-up required.</x:v>
      </x:c>
      <x:c r="P35" s="56" t="str">
        <x:v>Not yet occurred</x:v>
      </x:c>
      <x:c r="Q35" s="55" t="str">
        <x:v>YES</x:v>
      </x:c>
      <x:c r="R35" s="55" t="str">
        <x:v>S26PRJ01-DEC-03</x:v>
      </x:c>
      <x:c r="S35" s="56" t="n">
        <x:v>46285</x:v>
      </x:c>
      <x:c r="T35" s="55" t="str">
        <x:v>FICTIONAL TEST DATA. All people, quantities, money, dates and statuses are invented; not project records.</x:v>
      </x:c>
    </x:row>
    <x:row r="36" ht="102" customHeight="1">
      <x:c r="A36" s="55" t="str">
        <x:v>S26PRJ01</x:v>
      </x:c>
      <x:c r="B36" s="55" t="str">
        <x:v>P5-SITE-2</x:v>
      </x:c>
      <x:c r="C36" s="55" t="str">
        <x:v>S26PRJ01-MOM-20260920</x:v>
      </x:c>
      <x:c r="D36" s="56" t="n">
        <x:v>46285</x:v>
      </x:c>
      <x:c r="E36" s="55" t="str">
        <x:v>Demo Project Head P5</x:v>
      </x:c>
      <x:c r="F36" s="55" t="str">
        <x:v>Demo Construction Lead P5, Demo Planning Lead P5, Demo Finance Lead P5</x:v>
      </x:c>
      <x:c r="G36" s="55" t="str">
        <x:v>S26PRJ01-MOM-A4</x:v>
      </x:c>
      <x:c r="H36" s="55" t="str">
        <x:v>Resources</x:v>
      </x:c>
      <x:c r="I36" s="55" t="str">
        <x:v>Mobilise next-week crew</x:v>
      </x:c>
      <x:c r="J36" s="55" t="str">
        <x:v>Implement agreed action and report against target date.</x:v>
      </x:c>
      <x:c r="K36" s="55" t="str">
        <x:v>Resolve crew shortage.</x:v>
      </x:c>
      <x:c r="L36" s="55" t="str">
        <x:v>Demo Action Owner 4 P5</x:v>
      </x:c>
      <x:c r="M36" s="56" t="n">
        <x:v>46290</x:v>
      </x:c>
      <x:c r="N36" s="55" t="str">
        <x:v>On hold</x:v>
      </x:c>
      <x:c r="O36" s="55" t="str">
        <x:v>Owner assigned; follow-up required.</x:v>
      </x:c>
      <x:c r="P36" s="56" t="str">
        <x:v>Not yet occurred</x:v>
      </x:c>
      <x:c r="Q36" s="55" t="str">
        <x:v>YES</x:v>
      </x:c>
      <x:c r="R36" s="55" t="str">
        <x:v>S26PRJ01-DEC-04</x:v>
      </x:c>
      <x:c r="S36" s="56" t="n">
        <x:v>46285</x:v>
      </x:c>
      <x:c r="T36" s="55" t="str">
        <x:v>FICTIONAL TEST DATA. All people, quantities, money, dates and statuses are invented; not project records.</x:v>
      </x:c>
    </x:row>
    <x:row r="37" ht="28" customHeight="1">
      <x:c r="A37" s="55"/>
      <x:c r="B37" s="55"/>
      <x:c r="C37" s="55"/>
      <x:c r="D37" s="56"/>
      <x:c r="E37" s="55"/>
      <x:c r="F37" s="55"/>
      <x:c r="G37" s="55"/>
      <x:c r="H37" s="55"/>
      <x:c r="I37" s="55"/>
      <x:c r="J37" s="55"/>
      <x:c r="K37" s="55"/>
      <x:c r="L37" s="55"/>
      <x:c r="M37" s="56"/>
      <x:c r="N37" s="55"/>
      <x:c r="O37" s="55"/>
      <x:c r="P37" s="56"/>
      <x:c r="Q37" s="55"/>
      <x:c r="R37" s="55"/>
      <x:c r="S37" s="56"/>
      <x:c r="T37" s="55"/>
    </x:row>
    <x:row r="38" ht="28" customHeight="1">
      <x:c r="A38" s="55"/>
      <x:c r="B38" s="55"/>
      <x:c r="C38" s="55"/>
      <x:c r="D38" s="56"/>
      <x:c r="E38" s="55"/>
      <x:c r="F38" s="55"/>
      <x:c r="G38" s="55"/>
      <x:c r="H38" s="55"/>
      <x:c r="I38" s="55"/>
      <x:c r="J38" s="55"/>
      <x:c r="K38" s="55"/>
      <x:c r="L38" s="55"/>
      <x:c r="M38" s="56"/>
      <x:c r="N38" s="55"/>
      <x:c r="O38" s="55"/>
      <x:c r="P38" s="56"/>
      <x:c r="Q38" s="55"/>
      <x:c r="R38" s="55"/>
      <x:c r="S38" s="56"/>
      <x:c r="T38" s="55"/>
    </x:row>
    <x:row r="39" ht="28" customHeight="1">
      <x:c r="A39" s="55"/>
      <x:c r="B39" s="55"/>
      <x:c r="C39" s="55"/>
      <x:c r="D39" s="56"/>
      <x:c r="E39" s="55"/>
      <x:c r="F39" s="55"/>
      <x:c r="G39" s="55"/>
      <x:c r="H39" s="55"/>
      <x:c r="I39" s="55"/>
      <x:c r="J39" s="55"/>
      <x:c r="K39" s="55"/>
      <x:c r="L39" s="55"/>
      <x:c r="M39" s="56"/>
      <x:c r="N39" s="55"/>
      <x:c r="O39" s="55"/>
      <x:c r="P39" s="56"/>
      <x:c r="Q39" s="55"/>
      <x:c r="R39" s="55"/>
      <x:c r="S39" s="56"/>
      <x:c r="T39" s="55"/>
    </x:row>
    <x:row r="40" ht="28" customHeight="1">
      <x:c r="A40" s="55"/>
      <x:c r="B40" s="55"/>
      <x:c r="C40" s="55"/>
      <x:c r="D40" s="56"/>
      <x:c r="E40" s="55"/>
      <x:c r="F40" s="55"/>
      <x:c r="G40" s="55"/>
      <x:c r="H40" s="55"/>
      <x:c r="I40" s="55"/>
      <x:c r="J40" s="55"/>
      <x:c r="K40" s="55"/>
      <x:c r="L40" s="55"/>
      <x:c r="M40" s="56"/>
      <x:c r="N40" s="55"/>
      <x:c r="O40" s="55"/>
      <x:c r="P40" s="56"/>
      <x:c r="Q40" s="55"/>
      <x:c r="R40" s="55"/>
      <x:c r="S40" s="56"/>
      <x:c r="T40" s="55"/>
    </x:row>
    <x:row r="41" ht="28" customHeight="1">
      <x:c r="A41" s="55"/>
      <x:c r="B41" s="55"/>
      <x:c r="C41" s="55"/>
      <x:c r="D41" s="56"/>
      <x:c r="E41" s="55"/>
      <x:c r="F41" s="55"/>
      <x:c r="G41" s="55"/>
      <x:c r="H41" s="55"/>
      <x:c r="I41" s="55"/>
      <x:c r="J41" s="55"/>
      <x:c r="K41" s="55"/>
      <x:c r="L41" s="55"/>
      <x:c r="M41" s="56"/>
      <x:c r="N41" s="55"/>
      <x:c r="O41" s="55"/>
      <x:c r="P41" s="56"/>
      <x:c r="Q41" s="55"/>
      <x:c r="R41" s="55"/>
      <x:c r="S41" s="56"/>
      <x:c r="T41" s="55"/>
    </x:row>
    <x:row r="42" ht="28" customHeight="1">
      <x:c r="A42" s="55"/>
      <x:c r="B42" s="55"/>
      <x:c r="C42" s="55"/>
      <x:c r="D42" s="56"/>
      <x:c r="E42" s="55"/>
      <x:c r="F42" s="55"/>
      <x:c r="G42" s="55"/>
      <x:c r="H42" s="55"/>
      <x:c r="I42" s="55"/>
      <x:c r="J42" s="55"/>
      <x:c r="K42" s="55"/>
      <x:c r="L42" s="55"/>
      <x:c r="M42" s="56"/>
      <x:c r="N42" s="55"/>
      <x:c r="O42" s="55"/>
      <x:c r="P42" s="56"/>
      <x:c r="Q42" s="55"/>
      <x:c r="R42" s="55"/>
      <x:c r="S42" s="56"/>
      <x:c r="T42" s="55"/>
    </x:row>
    <x:row r="43" ht="28" customHeight="1">
      <x:c r="A43" s="55"/>
      <x:c r="B43" s="55"/>
      <x:c r="C43" s="55"/>
      <x:c r="D43" s="56"/>
      <x:c r="E43" s="55"/>
      <x:c r="F43" s="55"/>
      <x:c r="G43" s="55"/>
      <x:c r="H43" s="55"/>
      <x:c r="I43" s="55"/>
      <x:c r="J43" s="55"/>
      <x:c r="K43" s="55"/>
      <x:c r="L43" s="55"/>
      <x:c r="M43" s="56"/>
      <x:c r="N43" s="55"/>
      <x:c r="O43" s="55"/>
      <x:c r="P43" s="56"/>
      <x:c r="Q43" s="55"/>
      <x:c r="R43" s="55"/>
      <x:c r="S43" s="56"/>
      <x:c r="T43" s="55"/>
    </x:row>
    <x:row r="44" ht="28" customHeight="1">
      <x:c r="A44" s="55"/>
      <x:c r="B44" s="55"/>
      <x:c r="C44" s="55"/>
      <x:c r="D44" s="56"/>
      <x:c r="E44" s="55"/>
      <x:c r="F44" s="55"/>
      <x:c r="G44" s="55"/>
      <x:c r="H44" s="55"/>
      <x:c r="I44" s="55"/>
      <x:c r="J44" s="55"/>
      <x:c r="K44" s="55"/>
      <x:c r="L44" s="55"/>
      <x:c r="M44" s="56"/>
      <x:c r="N44" s="55"/>
      <x:c r="O44" s="55"/>
      <x:c r="P44" s="56"/>
      <x:c r="Q44" s="55"/>
      <x:c r="R44" s="55"/>
      <x:c r="S44" s="56"/>
      <x:c r="T44" s="55"/>
    </x:row>
    <x:row r="45" ht="28" customHeight="1">
      <x:c r="A45" s="55"/>
      <x:c r="B45" s="55"/>
      <x:c r="C45" s="55"/>
      <x:c r="D45" s="56"/>
      <x:c r="E45" s="55"/>
      <x:c r="F45" s="55"/>
      <x:c r="G45" s="55"/>
      <x:c r="H45" s="55"/>
      <x:c r="I45" s="55"/>
      <x:c r="J45" s="55"/>
      <x:c r="K45" s="55"/>
      <x:c r="L45" s="55"/>
      <x:c r="M45" s="56"/>
      <x:c r="N45" s="55"/>
      <x:c r="O45" s="55"/>
      <x:c r="P45" s="56"/>
      <x:c r="Q45" s="55"/>
      <x:c r="R45" s="55"/>
      <x:c r="S45" s="56"/>
      <x:c r="T45" s="55"/>
    </x:row>
    <x:row r="46" ht="28" customHeight="1">
      <x:c r="A46" s="55"/>
      <x:c r="B46" s="55"/>
      <x:c r="C46" s="55"/>
      <x:c r="D46" s="56"/>
      <x:c r="E46" s="55"/>
      <x:c r="F46" s="55"/>
      <x:c r="G46" s="55"/>
      <x:c r="H46" s="55"/>
      <x:c r="I46" s="55"/>
      <x:c r="J46" s="55"/>
      <x:c r="K46" s="55"/>
      <x:c r="L46" s="55"/>
      <x:c r="M46" s="56"/>
      <x:c r="N46" s="55"/>
      <x:c r="O46" s="55"/>
      <x:c r="P46" s="56"/>
      <x:c r="Q46" s="55"/>
      <x:c r="R46" s="55"/>
      <x:c r="S46" s="56"/>
      <x:c r="T46" s="55"/>
    </x:row>
    <x:row r="47" ht="28" customHeight="1">
      <x:c r="A47" s="55"/>
      <x:c r="B47" s="55"/>
      <x:c r="C47" s="55"/>
      <x:c r="D47" s="56"/>
      <x:c r="E47" s="55"/>
      <x:c r="F47" s="55"/>
      <x:c r="G47" s="55"/>
      <x:c r="H47" s="55"/>
      <x:c r="I47" s="55"/>
      <x:c r="J47" s="55"/>
      <x:c r="K47" s="55"/>
      <x:c r="L47" s="55"/>
      <x:c r="M47" s="56"/>
      <x:c r="N47" s="55"/>
      <x:c r="O47" s="55"/>
      <x:c r="P47" s="56"/>
      <x:c r="Q47" s="55"/>
      <x:c r="R47" s="55"/>
      <x:c r="S47" s="56"/>
      <x:c r="T47" s="55"/>
    </x:row>
    <x:row r="48" ht="28" customHeight="1">
      <x:c r="A48" s="55"/>
      <x:c r="B48" s="55"/>
      <x:c r="C48" s="55"/>
      <x:c r="D48" s="56"/>
      <x:c r="E48" s="55"/>
      <x:c r="F48" s="55"/>
      <x:c r="G48" s="55"/>
      <x:c r="H48" s="55"/>
      <x:c r="I48" s="55"/>
      <x:c r="J48" s="55"/>
      <x:c r="K48" s="55"/>
      <x:c r="L48" s="55"/>
      <x:c r="M48" s="56"/>
      <x:c r="N48" s="55"/>
      <x:c r="O48" s="55"/>
      <x:c r="P48" s="56"/>
      <x:c r="Q48" s="55"/>
      <x:c r="R48" s="55"/>
      <x:c r="S48" s="56"/>
      <x:c r="T48" s="55"/>
    </x:row>
    <x:row r="49" ht="28" customHeight="1">
      <x:c r="A49" s="55"/>
      <x:c r="B49" s="55"/>
      <x:c r="C49" s="55"/>
      <x:c r="D49" s="56"/>
      <x:c r="E49" s="55"/>
      <x:c r="F49" s="55"/>
      <x:c r="G49" s="55"/>
      <x:c r="H49" s="55"/>
      <x:c r="I49" s="55"/>
      <x:c r="J49" s="55"/>
      <x:c r="K49" s="55"/>
      <x:c r="L49" s="55"/>
      <x:c r="M49" s="56"/>
      <x:c r="N49" s="55"/>
      <x:c r="O49" s="55"/>
      <x:c r="P49" s="56"/>
      <x:c r="Q49" s="55"/>
      <x:c r="R49" s="55"/>
      <x:c r="S49" s="56"/>
      <x:c r="T49" s="55"/>
    </x:row>
    <x:row r="50" ht="28" customHeight="1">
      <x:c r="A50" s="55"/>
      <x:c r="B50" s="55"/>
      <x:c r="C50" s="55"/>
      <x:c r="D50" s="56"/>
      <x:c r="E50" s="55"/>
      <x:c r="F50" s="55"/>
      <x:c r="G50" s="55"/>
      <x:c r="H50" s="55"/>
      <x:c r="I50" s="55"/>
      <x:c r="J50" s="55"/>
      <x:c r="K50" s="55"/>
      <x:c r="L50" s="55"/>
      <x:c r="M50" s="56"/>
      <x:c r="N50" s="55"/>
      <x:c r="O50" s="55"/>
      <x:c r="P50" s="56"/>
      <x:c r="Q50" s="55"/>
      <x:c r="R50" s="55"/>
      <x:c r="S50" s="56"/>
      <x:c r="T50" s="55"/>
    </x:row>
    <x:row r="51" ht="28" customHeight="1">
      <x:c r="A51" s="55"/>
      <x:c r="B51" s="55"/>
      <x:c r="C51" s="55"/>
      <x:c r="D51" s="56"/>
      <x:c r="E51" s="55"/>
      <x:c r="F51" s="55"/>
      <x:c r="G51" s="55"/>
      <x:c r="H51" s="55"/>
      <x:c r="I51" s="55"/>
      <x:c r="J51" s="55"/>
      <x:c r="K51" s="55"/>
      <x:c r="L51" s="55"/>
      <x:c r="M51" s="56"/>
      <x:c r="N51" s="55"/>
      <x:c r="O51" s="55"/>
      <x:c r="P51" s="56"/>
      <x:c r="Q51" s="55"/>
      <x:c r="R51" s="55"/>
      <x:c r="S51" s="56"/>
      <x:c r="T51" s="55"/>
    </x:row>
    <x:row r="52" ht="28" customHeight="1">
      <x:c r="A52" s="55"/>
      <x:c r="B52" s="55"/>
      <x:c r="C52" s="55"/>
      <x:c r="D52" s="56"/>
      <x:c r="E52" s="55"/>
      <x:c r="F52" s="55"/>
      <x:c r="G52" s="55"/>
      <x:c r="H52" s="55"/>
      <x:c r="I52" s="55"/>
      <x:c r="J52" s="55"/>
      <x:c r="K52" s="55"/>
      <x:c r="L52" s="55"/>
      <x:c r="M52" s="56"/>
      <x:c r="N52" s="55"/>
      <x:c r="O52" s="55"/>
      <x:c r="P52" s="56"/>
      <x:c r="Q52" s="55"/>
      <x:c r="R52" s="55"/>
      <x:c r="S52" s="56"/>
      <x:c r="T52" s="55"/>
    </x:row>
    <x:row r="53" ht="28" customHeight="1">
      <x:c r="A53" s="55"/>
      <x:c r="B53" s="55"/>
      <x:c r="C53" s="55"/>
      <x:c r="D53" s="56"/>
      <x:c r="E53" s="55"/>
      <x:c r="F53" s="55"/>
      <x:c r="G53" s="55"/>
      <x:c r="H53" s="55"/>
      <x:c r="I53" s="55"/>
      <x:c r="J53" s="55"/>
      <x:c r="K53" s="55"/>
      <x:c r="L53" s="55"/>
      <x:c r="M53" s="56"/>
      <x:c r="N53" s="55"/>
      <x:c r="O53" s="55"/>
      <x:c r="P53" s="56"/>
      <x:c r="Q53" s="55"/>
      <x:c r="R53" s="55"/>
      <x:c r="S53" s="56"/>
      <x:c r="T53" s="55"/>
    </x:row>
    <x:row r="54" ht="28" customHeight="1">
      <x:c r="A54" s="55"/>
      <x:c r="B54" s="55"/>
      <x:c r="C54" s="55"/>
      <x:c r="D54" s="56"/>
      <x:c r="E54" s="55"/>
      <x:c r="F54" s="55"/>
      <x:c r="G54" s="55"/>
      <x:c r="H54" s="55"/>
      <x:c r="I54" s="55"/>
      <x:c r="J54" s="55"/>
      <x:c r="K54" s="55"/>
      <x:c r="L54" s="55"/>
      <x:c r="M54" s="56"/>
      <x:c r="N54" s="55"/>
      <x:c r="O54" s="55"/>
      <x:c r="P54" s="56"/>
      <x:c r="Q54" s="55"/>
      <x:c r="R54" s="55"/>
      <x:c r="S54" s="56"/>
      <x:c r="T54" s="55"/>
    </x:row>
    <x:row r="55" ht="28" customHeight="1">
      <x:c r="A55" s="55"/>
      <x:c r="B55" s="55"/>
      <x:c r="C55" s="55"/>
      <x:c r="D55" s="56"/>
      <x:c r="E55" s="55"/>
      <x:c r="F55" s="55"/>
      <x:c r="G55" s="55"/>
      <x:c r="H55" s="55"/>
      <x:c r="I55" s="55"/>
      <x:c r="J55" s="55"/>
      <x:c r="K55" s="55"/>
      <x:c r="L55" s="55"/>
      <x:c r="M55" s="56"/>
      <x:c r="N55" s="55"/>
      <x:c r="O55" s="55"/>
      <x:c r="P55" s="56"/>
      <x:c r="Q55" s="55"/>
      <x:c r="R55" s="55"/>
      <x:c r="S55" s="56"/>
      <x:c r="T55" s="55"/>
    </x:row>
    <x:row r="56" ht="28" customHeight="1">
      <x:c r="A56" s="55"/>
      <x:c r="B56" s="55"/>
      <x:c r="C56" s="55"/>
      <x:c r="D56" s="56"/>
      <x:c r="E56" s="55"/>
      <x:c r="F56" s="55"/>
      <x:c r="G56" s="55"/>
      <x:c r="H56" s="55"/>
      <x:c r="I56" s="55"/>
      <x:c r="J56" s="55"/>
      <x:c r="K56" s="55"/>
      <x:c r="L56" s="55"/>
      <x:c r="M56" s="56"/>
      <x:c r="N56" s="55"/>
      <x:c r="O56" s="55"/>
      <x:c r="P56" s="56"/>
      <x:c r="Q56" s="55"/>
      <x:c r="R56" s="55"/>
      <x:c r="S56" s="56"/>
      <x:c r="T56" s="55"/>
    </x:row>
    <x:row r="57" ht="28" customHeight="1">
      <x:c r="A57" s="55"/>
      <x:c r="B57" s="55"/>
      <x:c r="C57" s="55"/>
      <x:c r="D57" s="56"/>
      <x:c r="E57" s="55"/>
      <x:c r="F57" s="55"/>
      <x:c r="G57" s="55"/>
      <x:c r="H57" s="55"/>
      <x:c r="I57" s="55"/>
      <x:c r="J57" s="55"/>
      <x:c r="K57" s="55"/>
      <x:c r="L57" s="55"/>
      <x:c r="M57" s="56"/>
      <x:c r="N57" s="55"/>
      <x:c r="O57" s="55"/>
      <x:c r="P57" s="56"/>
      <x:c r="Q57" s="55"/>
      <x:c r="R57" s="55"/>
      <x:c r="S57" s="56"/>
      <x:c r="T57" s="55"/>
    </x:row>
    <x:row r="58" ht="28" customHeight="1">
      <x:c r="A58" s="55"/>
      <x:c r="B58" s="55"/>
      <x:c r="C58" s="55"/>
      <x:c r="D58" s="56"/>
      <x:c r="E58" s="55"/>
      <x:c r="F58" s="55"/>
      <x:c r="G58" s="55"/>
      <x:c r="H58" s="55"/>
      <x:c r="I58" s="55"/>
      <x:c r="J58" s="55"/>
      <x:c r="K58" s="55"/>
      <x:c r="L58" s="55"/>
      <x:c r="M58" s="56"/>
      <x:c r="N58" s="55"/>
      <x:c r="O58" s="55"/>
      <x:c r="P58" s="56"/>
      <x:c r="Q58" s="55"/>
      <x:c r="R58" s="55"/>
      <x:c r="S58" s="56"/>
      <x:c r="T58" s="55"/>
    </x:row>
    <x:row r="59" ht="28" customHeight="1">
      <x:c r="A59" s="55"/>
      <x:c r="B59" s="55"/>
      <x:c r="C59" s="55"/>
      <x:c r="D59" s="56"/>
      <x:c r="E59" s="55"/>
      <x:c r="F59" s="55"/>
      <x:c r="G59" s="55"/>
      <x:c r="H59" s="55"/>
      <x:c r="I59" s="55"/>
      <x:c r="J59" s="55"/>
      <x:c r="K59" s="55"/>
      <x:c r="L59" s="55"/>
      <x:c r="M59" s="56"/>
      <x:c r="N59" s="55"/>
      <x:c r="O59" s="55"/>
      <x:c r="P59" s="56"/>
      <x:c r="Q59" s="55"/>
      <x:c r="R59" s="55"/>
      <x:c r="S59" s="56"/>
      <x:c r="T59" s="55"/>
    </x:row>
    <x:row r="60" ht="28" customHeight="1">
      <x:c r="A60" s="55"/>
      <x:c r="B60" s="55"/>
      <x:c r="C60" s="55"/>
      <x:c r="D60" s="56"/>
      <x:c r="E60" s="55"/>
      <x:c r="F60" s="55"/>
      <x:c r="G60" s="55"/>
      <x:c r="H60" s="55"/>
      <x:c r="I60" s="55"/>
      <x:c r="J60" s="55"/>
      <x:c r="K60" s="55"/>
      <x:c r="L60" s="55"/>
      <x:c r="M60" s="56"/>
      <x:c r="N60" s="55"/>
      <x:c r="O60" s="55"/>
      <x:c r="P60" s="56"/>
      <x:c r="Q60" s="55"/>
      <x:c r="R60" s="55"/>
      <x:c r="S60" s="56"/>
      <x:c r="T60" s="55"/>
    </x:row>
    <x:row r="61" ht="28" customHeight="1">
      <x:c r="A61" s="55"/>
      <x:c r="B61" s="55"/>
      <x:c r="C61" s="55"/>
      <x:c r="D61" s="56"/>
      <x:c r="E61" s="55"/>
      <x:c r="F61" s="55"/>
      <x:c r="G61" s="55"/>
      <x:c r="H61" s="55"/>
      <x:c r="I61" s="55"/>
      <x:c r="J61" s="55"/>
      <x:c r="K61" s="55"/>
      <x:c r="L61" s="55"/>
      <x:c r="M61" s="56"/>
      <x:c r="N61" s="55"/>
      <x:c r="O61" s="55"/>
      <x:c r="P61" s="56"/>
      <x:c r="Q61" s="55"/>
      <x:c r="R61" s="55"/>
      <x:c r="S61" s="56"/>
      <x:c r="T61" s="55"/>
    </x:row>
    <x:row r="62" ht="28" customHeight="1">
      <x:c r="A62" s="55"/>
      <x:c r="B62" s="55"/>
      <x:c r="C62" s="55"/>
      <x:c r="D62" s="56"/>
      <x:c r="E62" s="55"/>
      <x:c r="F62" s="55"/>
      <x:c r="G62" s="55"/>
      <x:c r="H62" s="55"/>
      <x:c r="I62" s="55"/>
      <x:c r="J62" s="55"/>
      <x:c r="K62" s="55"/>
      <x:c r="L62" s="55"/>
      <x:c r="M62" s="56"/>
      <x:c r="N62" s="55"/>
      <x:c r="O62" s="55"/>
      <x:c r="P62" s="56"/>
      <x:c r="Q62" s="55"/>
      <x:c r="R62" s="55"/>
      <x:c r="S62" s="56"/>
      <x:c r="T62" s="55"/>
    </x:row>
    <x:row r="63" ht="28" customHeight="1">
      <x:c r="A63" s="55"/>
      <x:c r="B63" s="55"/>
      <x:c r="C63" s="55"/>
      <x:c r="D63" s="56"/>
      <x:c r="E63" s="55"/>
      <x:c r="F63" s="55"/>
      <x:c r="G63" s="55"/>
      <x:c r="H63" s="55"/>
      <x:c r="I63" s="55"/>
      <x:c r="J63" s="55"/>
      <x:c r="K63" s="55"/>
      <x:c r="L63" s="55"/>
      <x:c r="M63" s="56"/>
      <x:c r="N63" s="55"/>
      <x:c r="O63" s="55"/>
      <x:c r="P63" s="56"/>
      <x:c r="Q63" s="55"/>
      <x:c r="R63" s="55"/>
      <x:c r="S63" s="56"/>
      <x:c r="T63" s="55"/>
    </x:row>
    <x:row r="64" ht="28" customHeight="1">
      <x:c r="A64" s="55"/>
      <x:c r="B64" s="55"/>
      <x:c r="C64" s="55"/>
      <x:c r="D64" s="56"/>
      <x:c r="E64" s="55"/>
      <x:c r="F64" s="55"/>
      <x:c r="G64" s="55"/>
      <x:c r="H64" s="55"/>
      <x:c r="I64" s="55"/>
      <x:c r="J64" s="55"/>
      <x:c r="K64" s="55"/>
      <x:c r="L64" s="55"/>
      <x:c r="M64" s="56"/>
      <x:c r="N64" s="55"/>
      <x:c r="O64" s="55"/>
      <x:c r="P64" s="56"/>
      <x:c r="Q64" s="55"/>
      <x:c r="R64" s="55"/>
      <x:c r="S64" s="56"/>
      <x:c r="T64" s="55"/>
    </x:row>
    <x:row r="65" ht="28" customHeight="1">
      <x:c r="A65" s="55"/>
      <x:c r="B65" s="55"/>
      <x:c r="C65" s="55"/>
      <x:c r="D65" s="56"/>
      <x:c r="E65" s="55"/>
      <x:c r="F65" s="55"/>
      <x:c r="G65" s="55"/>
      <x:c r="H65" s="55"/>
      <x:c r="I65" s="55"/>
      <x:c r="J65" s="55"/>
      <x:c r="K65" s="55"/>
      <x:c r="L65" s="55"/>
      <x:c r="M65" s="56"/>
      <x:c r="N65" s="55"/>
      <x:c r="O65" s="55"/>
      <x:c r="P65" s="56"/>
      <x:c r="Q65" s="55"/>
      <x:c r="R65" s="55"/>
      <x:c r="S65" s="56"/>
      <x:c r="T65" s="55"/>
    </x:row>
    <x:row r="66" ht="28" customHeight="1">
      <x:c r="A66" s="55"/>
      <x:c r="B66" s="55"/>
      <x:c r="C66" s="55"/>
      <x:c r="D66" s="56"/>
      <x:c r="E66" s="55"/>
      <x:c r="F66" s="55"/>
      <x:c r="G66" s="55"/>
      <x:c r="H66" s="55"/>
      <x:c r="I66" s="55"/>
      <x:c r="J66" s="55"/>
      <x:c r="K66" s="55"/>
      <x:c r="L66" s="55"/>
      <x:c r="M66" s="56"/>
      <x:c r="N66" s="55"/>
      <x:c r="O66" s="55"/>
      <x:c r="P66" s="56"/>
      <x:c r="Q66" s="55"/>
      <x:c r="R66" s="55"/>
      <x:c r="S66" s="56"/>
      <x:c r="T66" s="55"/>
    </x:row>
    <x:row r="67" ht="28" customHeight="1">
      <x:c r="A67" s="55"/>
      <x:c r="B67" s="55"/>
      <x:c r="C67" s="55"/>
      <x:c r="D67" s="56"/>
      <x:c r="E67" s="55"/>
      <x:c r="F67" s="55"/>
      <x:c r="G67" s="55"/>
      <x:c r="H67" s="55"/>
      <x:c r="I67" s="55"/>
      <x:c r="J67" s="55"/>
      <x:c r="K67" s="55"/>
      <x:c r="L67" s="55"/>
      <x:c r="M67" s="56"/>
      <x:c r="N67" s="55"/>
      <x:c r="O67" s="55"/>
      <x:c r="P67" s="56"/>
      <x:c r="Q67" s="55"/>
      <x:c r="R67" s="55"/>
      <x:c r="S67" s="56"/>
      <x:c r="T67" s="55"/>
    </x:row>
    <x:row r="68" ht="28" customHeight="1">
      <x:c r="A68" s="55"/>
      <x:c r="B68" s="55"/>
      <x:c r="C68" s="55"/>
      <x:c r="D68" s="56"/>
      <x:c r="E68" s="55"/>
      <x:c r="F68" s="55"/>
      <x:c r="G68" s="55"/>
      <x:c r="H68" s="55"/>
      <x:c r="I68" s="55"/>
      <x:c r="J68" s="55"/>
      <x:c r="K68" s="55"/>
      <x:c r="L68" s="55"/>
      <x:c r="M68" s="56"/>
      <x:c r="N68" s="55"/>
      <x:c r="O68" s="55"/>
      <x:c r="P68" s="56"/>
      <x:c r="Q68" s="55"/>
      <x:c r="R68" s="55"/>
      <x:c r="S68" s="56"/>
      <x:c r="T68" s="55"/>
    </x:row>
    <x:row r="69" ht="28" customHeight="1">
      <x:c r="A69" s="55"/>
      <x:c r="B69" s="55"/>
      <x:c r="C69" s="55"/>
      <x:c r="D69" s="56"/>
      <x:c r="E69" s="55"/>
      <x:c r="F69" s="55"/>
      <x:c r="G69" s="55"/>
      <x:c r="H69" s="55"/>
      <x:c r="I69" s="55"/>
      <x:c r="J69" s="55"/>
      <x:c r="K69" s="55"/>
      <x:c r="L69" s="55"/>
      <x:c r="M69" s="56"/>
      <x:c r="N69" s="55"/>
      <x:c r="O69" s="55"/>
      <x:c r="P69" s="56"/>
      <x:c r="Q69" s="55"/>
      <x:c r="R69" s="55"/>
      <x:c r="S69" s="56"/>
      <x:c r="T69" s="55"/>
    </x:row>
    <x:row r="70" ht="28" customHeight="1">
      <x:c r="A70" s="55"/>
      <x:c r="B70" s="55"/>
      <x:c r="C70" s="55"/>
      <x:c r="D70" s="56"/>
      <x:c r="E70" s="55"/>
      <x:c r="F70" s="55"/>
      <x:c r="G70" s="55"/>
      <x:c r="H70" s="55"/>
      <x:c r="I70" s="55"/>
      <x:c r="J70" s="55"/>
      <x:c r="K70" s="55"/>
      <x:c r="L70" s="55"/>
      <x:c r="M70" s="56"/>
      <x:c r="N70" s="55"/>
      <x:c r="O70" s="55"/>
      <x:c r="P70" s="56"/>
      <x:c r="Q70" s="55"/>
      <x:c r="R70" s="55"/>
      <x:c r="S70" s="56"/>
      <x:c r="T70" s="55"/>
    </x:row>
    <x:row r="71" ht="28" customHeight="1">
      <x:c r="A71" s="55"/>
      <x:c r="B71" s="55"/>
      <x:c r="C71" s="55"/>
      <x:c r="D71" s="56"/>
      <x:c r="E71" s="55"/>
      <x:c r="F71" s="55"/>
      <x:c r="G71" s="55"/>
      <x:c r="H71" s="55"/>
      <x:c r="I71" s="55"/>
      <x:c r="J71" s="55"/>
      <x:c r="K71" s="55"/>
      <x:c r="L71" s="55"/>
      <x:c r="M71" s="56"/>
      <x:c r="N71" s="55"/>
      <x:c r="O71" s="55"/>
      <x:c r="P71" s="56"/>
      <x:c r="Q71" s="55"/>
      <x:c r="R71" s="55"/>
      <x:c r="S71" s="56"/>
      <x:c r="T71" s="55"/>
    </x:row>
    <x:row r="72" ht="28" customHeight="1">
      <x:c r="A72" s="55"/>
      <x:c r="B72" s="55"/>
      <x:c r="C72" s="55"/>
      <x:c r="D72" s="56"/>
      <x:c r="E72" s="55"/>
      <x:c r="F72" s="55"/>
      <x:c r="G72" s="55"/>
      <x:c r="H72" s="55"/>
      <x:c r="I72" s="55"/>
      <x:c r="J72" s="55"/>
      <x:c r="K72" s="55"/>
      <x:c r="L72" s="55"/>
      <x:c r="M72" s="56"/>
      <x:c r="N72" s="55"/>
      <x:c r="O72" s="55"/>
      <x:c r="P72" s="56"/>
      <x:c r="Q72" s="55"/>
      <x:c r="R72" s="55"/>
      <x:c r="S72" s="56"/>
      <x:c r="T72" s="55"/>
    </x:row>
    <x:row r="73" ht="28" customHeight="1">
      <x:c r="A73" s="55"/>
      <x:c r="B73" s="55"/>
      <x:c r="C73" s="55"/>
      <x:c r="D73" s="56"/>
      <x:c r="E73" s="55"/>
      <x:c r="F73" s="55"/>
      <x:c r="G73" s="55"/>
      <x:c r="H73" s="55"/>
      <x:c r="I73" s="55"/>
      <x:c r="J73" s="55"/>
      <x:c r="K73" s="55"/>
      <x:c r="L73" s="55"/>
      <x:c r="M73" s="56"/>
      <x:c r="N73" s="55"/>
      <x:c r="O73" s="55"/>
      <x:c r="P73" s="56"/>
      <x:c r="Q73" s="55"/>
      <x:c r="R73" s="55"/>
      <x:c r="S73" s="56"/>
      <x:c r="T73" s="55"/>
    </x:row>
    <x:row r="74" ht="28" customHeight="1">
      <x:c r="A74" s="55"/>
      <x:c r="B74" s="55"/>
      <x:c r="C74" s="55"/>
      <x:c r="D74" s="56"/>
      <x:c r="E74" s="55"/>
      <x:c r="F74" s="55"/>
      <x:c r="G74" s="55"/>
      <x:c r="H74" s="55"/>
      <x:c r="I74" s="55"/>
      <x:c r="J74" s="55"/>
      <x:c r="K74" s="55"/>
      <x:c r="L74" s="55"/>
      <x:c r="M74" s="56"/>
      <x:c r="N74" s="55"/>
      <x:c r="O74" s="55"/>
      <x:c r="P74" s="56"/>
      <x:c r="Q74" s="55"/>
      <x:c r="R74" s="55"/>
      <x:c r="S74" s="56"/>
      <x:c r="T74" s="55"/>
    </x:row>
    <x:row r="75" ht="28" customHeight="1">
      <x:c r="A75" s="55"/>
      <x:c r="B75" s="55"/>
      <x:c r="C75" s="55"/>
      <x:c r="D75" s="56"/>
      <x:c r="E75" s="55"/>
      <x:c r="F75" s="55"/>
      <x:c r="G75" s="55"/>
      <x:c r="H75" s="55"/>
      <x:c r="I75" s="55"/>
      <x:c r="J75" s="55"/>
      <x:c r="K75" s="55"/>
      <x:c r="L75" s="55"/>
      <x:c r="M75" s="56"/>
      <x:c r="N75" s="55"/>
      <x:c r="O75" s="55"/>
      <x:c r="P75" s="56"/>
      <x:c r="Q75" s="55"/>
      <x:c r="R75" s="55"/>
      <x:c r="S75" s="56"/>
      <x:c r="T75" s="55"/>
    </x:row>
    <x:row r="76" ht="28" customHeight="1">
      <x:c r="A76" s="55"/>
      <x:c r="B76" s="55"/>
      <x:c r="C76" s="55"/>
      <x:c r="D76" s="56"/>
      <x:c r="E76" s="55"/>
      <x:c r="F76" s="55"/>
      <x:c r="G76" s="55"/>
      <x:c r="H76" s="55"/>
      <x:c r="I76" s="55"/>
      <x:c r="J76" s="55"/>
      <x:c r="K76" s="55"/>
      <x:c r="L76" s="55"/>
      <x:c r="M76" s="56"/>
      <x:c r="N76" s="55"/>
      <x:c r="O76" s="55"/>
      <x:c r="P76" s="56"/>
      <x:c r="Q76" s="55"/>
      <x:c r="R76" s="55"/>
      <x:c r="S76" s="56"/>
      <x:c r="T76" s="55"/>
    </x:row>
    <x:row r="77" ht="28" customHeight="1">
      <x:c r="A77" s="55"/>
      <x:c r="B77" s="55"/>
      <x:c r="C77" s="55"/>
      <x:c r="D77" s="56"/>
      <x:c r="E77" s="55"/>
      <x:c r="F77" s="55"/>
      <x:c r="G77" s="55"/>
      <x:c r="H77" s="55"/>
      <x:c r="I77" s="55"/>
      <x:c r="J77" s="55"/>
      <x:c r="K77" s="55"/>
      <x:c r="L77" s="55"/>
      <x:c r="M77" s="56"/>
      <x:c r="N77" s="55"/>
      <x:c r="O77" s="55"/>
      <x:c r="P77" s="56"/>
      <x:c r="Q77" s="55"/>
      <x:c r="R77" s="55"/>
      <x:c r="S77" s="56"/>
      <x:c r="T77" s="55"/>
    </x:row>
    <x:row r="78" ht="28" customHeight="1">
      <x:c r="A78" s="55"/>
      <x:c r="B78" s="55"/>
      <x:c r="C78" s="55"/>
      <x:c r="D78" s="56"/>
      <x:c r="E78" s="55"/>
      <x:c r="F78" s="55"/>
      <x:c r="G78" s="55"/>
      <x:c r="H78" s="55"/>
      <x:c r="I78" s="55"/>
      <x:c r="J78" s="55"/>
      <x:c r="K78" s="55"/>
      <x:c r="L78" s="55"/>
      <x:c r="M78" s="56"/>
      <x:c r="N78" s="55"/>
      <x:c r="O78" s="55"/>
      <x:c r="P78" s="56"/>
      <x:c r="Q78" s="55"/>
      <x:c r="R78" s="55"/>
      <x:c r="S78" s="56"/>
      <x:c r="T78" s="55"/>
    </x:row>
    <x:row r="79" ht="28" customHeight="1">
      <x:c r="A79" s="55"/>
      <x:c r="B79" s="55"/>
      <x:c r="C79" s="55"/>
      <x:c r="D79" s="56"/>
      <x:c r="E79" s="55"/>
      <x:c r="F79" s="55"/>
      <x:c r="G79" s="55"/>
      <x:c r="H79" s="55"/>
      <x:c r="I79" s="55"/>
      <x:c r="J79" s="55"/>
      <x:c r="K79" s="55"/>
      <x:c r="L79" s="55"/>
      <x:c r="M79" s="56"/>
      <x:c r="N79" s="55"/>
      <x:c r="O79" s="55"/>
      <x:c r="P79" s="56"/>
      <x:c r="Q79" s="55"/>
      <x:c r="R79" s="55"/>
      <x:c r="S79" s="56"/>
      <x:c r="T79" s="55"/>
    </x:row>
    <x:row r="80" ht="28" customHeight="1">
      <x:c r="A80" s="55"/>
      <x:c r="B80" s="55"/>
      <x:c r="C80" s="55"/>
      <x:c r="D80" s="56"/>
      <x:c r="E80" s="55"/>
      <x:c r="F80" s="55"/>
      <x:c r="G80" s="55"/>
      <x:c r="H80" s="55"/>
      <x:c r="I80" s="55"/>
      <x:c r="J80" s="55"/>
      <x:c r="K80" s="55"/>
      <x:c r="L80" s="55"/>
      <x:c r="M80" s="56"/>
      <x:c r="N80" s="55"/>
      <x:c r="O80" s="55"/>
      <x:c r="P80" s="56"/>
      <x:c r="Q80" s="55"/>
      <x:c r="R80" s="55"/>
      <x:c r="S80" s="56"/>
      <x:c r="T80" s="55"/>
    </x:row>
    <x:row r="81" ht="28" customHeight="1">
      <x:c r="A81" s="55"/>
      <x:c r="B81" s="55"/>
      <x:c r="C81" s="55"/>
      <x:c r="D81" s="56"/>
      <x:c r="E81" s="55"/>
      <x:c r="F81" s="55"/>
      <x:c r="G81" s="55"/>
      <x:c r="H81" s="55"/>
      <x:c r="I81" s="55"/>
      <x:c r="J81" s="55"/>
      <x:c r="K81" s="55"/>
      <x:c r="L81" s="55"/>
      <x:c r="M81" s="56"/>
      <x:c r="N81" s="55"/>
      <x:c r="O81" s="55"/>
      <x:c r="P81" s="56"/>
      <x:c r="Q81" s="55"/>
      <x:c r="R81" s="55"/>
      <x:c r="S81" s="56"/>
      <x:c r="T81" s="55"/>
    </x:row>
    <x:row r="82" ht="28" customHeight="1">
      <x:c r="A82" s="55"/>
      <x:c r="B82" s="55"/>
      <x:c r="C82" s="55"/>
      <x:c r="D82" s="56"/>
      <x:c r="E82" s="55"/>
      <x:c r="F82" s="55"/>
      <x:c r="G82" s="55"/>
      <x:c r="H82" s="55"/>
      <x:c r="I82" s="55"/>
      <x:c r="J82" s="55"/>
      <x:c r="K82" s="55"/>
      <x:c r="L82" s="55"/>
      <x:c r="M82" s="56"/>
      <x:c r="N82" s="55"/>
      <x:c r="O82" s="55"/>
      <x:c r="P82" s="56"/>
      <x:c r="Q82" s="55"/>
      <x:c r="R82" s="55"/>
      <x:c r="S82" s="56"/>
      <x:c r="T82" s="55"/>
    </x:row>
    <x:row r="83" ht="28" customHeight="1">
      <x:c r="A83" s="55"/>
      <x:c r="B83" s="55"/>
      <x:c r="C83" s="55"/>
      <x:c r="D83" s="56"/>
      <x:c r="E83" s="55"/>
      <x:c r="F83" s="55"/>
      <x:c r="G83" s="55"/>
      <x:c r="H83" s="55"/>
      <x:c r="I83" s="55"/>
      <x:c r="J83" s="55"/>
      <x:c r="K83" s="55"/>
      <x:c r="L83" s="55"/>
      <x:c r="M83" s="56"/>
      <x:c r="N83" s="55"/>
      <x:c r="O83" s="55"/>
      <x:c r="P83" s="56"/>
      <x:c r="Q83" s="55"/>
      <x:c r="R83" s="55"/>
      <x:c r="S83" s="56"/>
      <x:c r="T83" s="55"/>
    </x:row>
    <x:row r="84" ht="28" customHeight="1">
      <x:c r="A84" s="55"/>
      <x:c r="B84" s="55"/>
      <x:c r="C84" s="55"/>
      <x:c r="D84" s="56"/>
      <x:c r="E84" s="55"/>
      <x:c r="F84" s="55"/>
      <x:c r="G84" s="55"/>
      <x:c r="H84" s="55"/>
      <x:c r="I84" s="55"/>
      <x:c r="J84" s="55"/>
      <x:c r="K84" s="55"/>
      <x:c r="L84" s="55"/>
      <x:c r="M84" s="56"/>
      <x:c r="N84" s="55"/>
      <x:c r="O84" s="55"/>
      <x:c r="P84" s="56"/>
      <x:c r="Q84" s="55"/>
      <x:c r="R84" s="55"/>
      <x:c r="S84" s="56"/>
      <x:c r="T84" s="55"/>
    </x:row>
    <x:row r="85" ht="28" customHeight="1">
      <x:c r="A85" s="55"/>
      <x:c r="B85" s="55"/>
      <x:c r="C85" s="55"/>
      <x:c r="D85" s="56"/>
      <x:c r="E85" s="55"/>
      <x:c r="F85" s="55"/>
      <x:c r="G85" s="55"/>
      <x:c r="H85" s="55"/>
      <x:c r="I85" s="55"/>
      <x:c r="J85" s="55"/>
      <x:c r="K85" s="55"/>
      <x:c r="L85" s="55"/>
      <x:c r="M85" s="56"/>
      <x:c r="N85" s="55"/>
      <x:c r="O85" s="55"/>
      <x:c r="P85" s="56"/>
      <x:c r="Q85" s="55"/>
      <x:c r="R85" s="55"/>
      <x:c r="S85" s="56"/>
      <x:c r="T85" s="55"/>
    </x:row>
    <x:row r="86" ht="28" customHeight="1">
      <x:c r="A86" s="55"/>
      <x:c r="B86" s="55"/>
      <x:c r="C86" s="55"/>
      <x:c r="D86" s="56"/>
      <x:c r="E86" s="55"/>
      <x:c r="F86" s="55"/>
      <x:c r="G86" s="55"/>
      <x:c r="H86" s="55"/>
      <x:c r="I86" s="55"/>
      <x:c r="J86" s="55"/>
      <x:c r="K86" s="55"/>
      <x:c r="L86" s="55"/>
      <x:c r="M86" s="56"/>
      <x:c r="N86" s="55"/>
      <x:c r="O86" s="55"/>
      <x:c r="P86" s="56"/>
      <x:c r="Q86" s="55"/>
      <x:c r="R86" s="55"/>
      <x:c r="S86" s="56"/>
      <x:c r="T86" s="55"/>
    </x:row>
    <x:row r="87" ht="28" customHeight="1">
      <x:c r="A87" s="55"/>
      <x:c r="B87" s="55"/>
      <x:c r="C87" s="55"/>
      <x:c r="D87" s="56"/>
      <x:c r="E87" s="55"/>
      <x:c r="F87" s="55"/>
      <x:c r="G87" s="55"/>
      <x:c r="H87" s="55"/>
      <x:c r="I87" s="55"/>
      <x:c r="J87" s="55"/>
      <x:c r="K87" s="55"/>
      <x:c r="L87" s="55"/>
      <x:c r="M87" s="56"/>
      <x:c r="N87" s="55"/>
      <x:c r="O87" s="55"/>
      <x:c r="P87" s="56"/>
      <x:c r="Q87" s="55"/>
      <x:c r="R87" s="55"/>
      <x:c r="S87" s="56"/>
      <x:c r="T87" s="55"/>
    </x:row>
    <x:row r="88" ht="28" customHeight="1">
      <x:c r="A88" s="55"/>
      <x:c r="B88" s="55"/>
      <x:c r="C88" s="55"/>
      <x:c r="D88" s="56"/>
      <x:c r="E88" s="55"/>
      <x:c r="F88" s="55"/>
      <x:c r="G88" s="55"/>
      <x:c r="H88" s="55"/>
      <x:c r="I88" s="55"/>
      <x:c r="J88" s="55"/>
      <x:c r="K88" s="55"/>
      <x:c r="L88" s="55"/>
      <x:c r="M88" s="56"/>
      <x:c r="N88" s="55"/>
      <x:c r="O88" s="55"/>
      <x:c r="P88" s="56"/>
      <x:c r="Q88" s="55"/>
      <x:c r="R88" s="55"/>
      <x:c r="S88" s="56"/>
      <x:c r="T88" s="55"/>
    </x:row>
    <x:row r="89" ht="28" customHeight="1">
      <x:c r="A89" s="55"/>
      <x:c r="B89" s="55"/>
      <x:c r="C89" s="55"/>
      <x:c r="D89" s="56"/>
      <x:c r="E89" s="55"/>
      <x:c r="F89" s="55"/>
      <x:c r="G89" s="55"/>
      <x:c r="H89" s="55"/>
      <x:c r="I89" s="55"/>
      <x:c r="J89" s="55"/>
      <x:c r="K89" s="55"/>
      <x:c r="L89" s="55"/>
      <x:c r="M89" s="56"/>
      <x:c r="N89" s="55"/>
      <x:c r="O89" s="55"/>
      <x:c r="P89" s="56"/>
      <x:c r="Q89" s="55"/>
      <x:c r="R89" s="55"/>
      <x:c r="S89" s="56"/>
      <x:c r="T89" s="55"/>
    </x:row>
    <x:row r="90" ht="28" customHeight="1">
      <x:c r="A90" s="55"/>
      <x:c r="B90" s="55"/>
      <x:c r="C90" s="55"/>
      <x:c r="D90" s="56"/>
      <x:c r="E90" s="55"/>
      <x:c r="F90" s="55"/>
      <x:c r="G90" s="55"/>
      <x:c r="H90" s="55"/>
      <x:c r="I90" s="55"/>
      <x:c r="J90" s="55"/>
      <x:c r="K90" s="55"/>
      <x:c r="L90" s="55"/>
      <x:c r="M90" s="56"/>
      <x:c r="N90" s="55"/>
      <x:c r="O90" s="55"/>
      <x:c r="P90" s="56"/>
      <x:c r="Q90" s="55"/>
      <x:c r="R90" s="55"/>
      <x:c r="S90" s="56"/>
      <x:c r="T90" s="55"/>
    </x:row>
    <x:row r="91" ht="28" customHeight="1">
      <x:c r="A91" s="55"/>
      <x:c r="B91" s="55"/>
      <x:c r="C91" s="55"/>
      <x:c r="D91" s="56"/>
      <x:c r="E91" s="55"/>
      <x:c r="F91" s="55"/>
      <x:c r="G91" s="55"/>
      <x:c r="H91" s="55"/>
      <x:c r="I91" s="55"/>
      <x:c r="J91" s="55"/>
      <x:c r="K91" s="55"/>
      <x:c r="L91" s="55"/>
      <x:c r="M91" s="56"/>
      <x:c r="N91" s="55"/>
      <x:c r="O91" s="55"/>
      <x:c r="P91" s="56"/>
      <x:c r="Q91" s="55"/>
      <x:c r="R91" s="55"/>
      <x:c r="S91" s="56"/>
      <x:c r="T91" s="55"/>
    </x:row>
    <x:row r="92" ht="28" customHeight="1">
      <x:c r="A92" s="55"/>
      <x:c r="B92" s="55"/>
      <x:c r="C92" s="55"/>
      <x:c r="D92" s="56"/>
      <x:c r="E92" s="55"/>
      <x:c r="F92" s="55"/>
      <x:c r="G92" s="55"/>
      <x:c r="H92" s="55"/>
      <x:c r="I92" s="55"/>
      <x:c r="J92" s="55"/>
      <x:c r="K92" s="55"/>
      <x:c r="L92" s="55"/>
      <x:c r="M92" s="56"/>
      <x:c r="N92" s="55"/>
      <x:c r="O92" s="55"/>
      <x:c r="P92" s="56"/>
      <x:c r="Q92" s="55"/>
      <x:c r="R92" s="55"/>
      <x:c r="S92" s="56"/>
      <x:c r="T92" s="55"/>
    </x:row>
    <x:row r="93" ht="28" customHeight="1">
      <x:c r="A93" s="55"/>
      <x:c r="B93" s="55"/>
      <x:c r="C93" s="55"/>
      <x:c r="D93" s="56"/>
      <x:c r="E93" s="55"/>
      <x:c r="F93" s="55"/>
      <x:c r="G93" s="55"/>
      <x:c r="H93" s="55"/>
      <x:c r="I93" s="55"/>
      <x:c r="J93" s="55"/>
      <x:c r="K93" s="55"/>
      <x:c r="L93" s="55"/>
      <x:c r="M93" s="56"/>
      <x:c r="N93" s="55"/>
      <x:c r="O93" s="55"/>
      <x:c r="P93" s="56"/>
      <x:c r="Q93" s="55"/>
      <x:c r="R93" s="55"/>
      <x:c r="S93" s="56"/>
      <x:c r="T93" s="55"/>
    </x:row>
    <x:row r="94" ht="28" customHeight="1">
      <x:c r="A94" s="55"/>
      <x:c r="B94" s="55"/>
      <x:c r="C94" s="55"/>
      <x:c r="D94" s="56"/>
      <x:c r="E94" s="55"/>
      <x:c r="F94" s="55"/>
      <x:c r="G94" s="55"/>
      <x:c r="H94" s="55"/>
      <x:c r="I94" s="55"/>
      <x:c r="J94" s="55"/>
      <x:c r="K94" s="55"/>
      <x:c r="L94" s="55"/>
      <x:c r="M94" s="56"/>
      <x:c r="N94" s="55"/>
      <x:c r="O94" s="55"/>
      <x:c r="P94" s="56"/>
      <x:c r="Q94" s="55"/>
      <x:c r="R94" s="55"/>
      <x:c r="S94" s="56"/>
      <x:c r="T94" s="55"/>
    </x:row>
    <x:row r="95" ht="28" customHeight="1">
      <x:c r="A95" s="55"/>
      <x:c r="B95" s="55"/>
      <x:c r="C95" s="55"/>
      <x:c r="D95" s="56"/>
      <x:c r="E95" s="55"/>
      <x:c r="F95" s="55"/>
      <x:c r="G95" s="55"/>
      <x:c r="H95" s="55"/>
      <x:c r="I95" s="55"/>
      <x:c r="J95" s="55"/>
      <x:c r="K95" s="55"/>
      <x:c r="L95" s="55"/>
      <x:c r="M95" s="56"/>
      <x:c r="N95" s="55"/>
      <x:c r="O95" s="55"/>
      <x:c r="P95" s="56"/>
      <x:c r="Q95" s="55"/>
      <x:c r="R95" s="55"/>
      <x:c r="S95" s="56"/>
      <x:c r="T95" s="55"/>
    </x:row>
    <x:row r="96" ht="28" customHeight="1">
      <x:c r="A96" s="55"/>
      <x:c r="B96" s="55"/>
      <x:c r="C96" s="55"/>
      <x:c r="D96" s="56"/>
      <x:c r="E96" s="55"/>
      <x:c r="F96" s="55"/>
      <x:c r="G96" s="55"/>
      <x:c r="H96" s="55"/>
      <x:c r="I96" s="55"/>
      <x:c r="J96" s="55"/>
      <x:c r="K96" s="55"/>
      <x:c r="L96" s="55"/>
      <x:c r="M96" s="56"/>
      <x:c r="N96" s="55"/>
      <x:c r="O96" s="55"/>
      <x:c r="P96" s="56"/>
      <x:c r="Q96" s="55"/>
      <x:c r="R96" s="55"/>
      <x:c r="S96" s="56"/>
      <x:c r="T96" s="55"/>
    </x:row>
    <x:row r="97" ht="28" customHeight="1">
      <x:c r="A97" s="55"/>
      <x:c r="B97" s="55"/>
      <x:c r="C97" s="55"/>
      <x:c r="D97" s="56"/>
      <x:c r="E97" s="55"/>
      <x:c r="F97" s="55"/>
      <x:c r="G97" s="55"/>
      <x:c r="H97" s="55"/>
      <x:c r="I97" s="55"/>
      <x:c r="J97" s="55"/>
      <x:c r="K97" s="55"/>
      <x:c r="L97" s="55"/>
      <x:c r="M97" s="56"/>
      <x:c r="N97" s="55"/>
      <x:c r="O97" s="55"/>
      <x:c r="P97" s="56"/>
      <x:c r="Q97" s="55"/>
      <x:c r="R97" s="55"/>
      <x:c r="S97" s="56"/>
      <x:c r="T97" s="55"/>
    </x:row>
    <x:row r="98" ht="28" customHeight="1">
      <x:c r="A98" s="55"/>
      <x:c r="B98" s="55"/>
      <x:c r="C98" s="55"/>
      <x:c r="D98" s="56"/>
      <x:c r="E98" s="55"/>
      <x:c r="F98" s="55"/>
      <x:c r="G98" s="55"/>
      <x:c r="H98" s="55"/>
      <x:c r="I98" s="55"/>
      <x:c r="J98" s="55"/>
      <x:c r="K98" s="55"/>
      <x:c r="L98" s="55"/>
      <x:c r="M98" s="56"/>
      <x:c r="N98" s="55"/>
      <x:c r="O98" s="55"/>
      <x:c r="P98" s="56"/>
      <x:c r="Q98" s="55"/>
      <x:c r="R98" s="55"/>
      <x:c r="S98" s="56"/>
      <x:c r="T98" s="55"/>
    </x:row>
    <x:row r="99" ht="28" customHeight="1">
      <x:c r="A99" s="55"/>
      <x:c r="B99" s="55"/>
      <x:c r="C99" s="55"/>
      <x:c r="D99" s="56"/>
      <x:c r="E99" s="55"/>
      <x:c r="F99" s="55"/>
      <x:c r="G99" s="55"/>
      <x:c r="H99" s="55"/>
      <x:c r="I99" s="55"/>
      <x:c r="J99" s="55"/>
      <x:c r="K99" s="55"/>
      <x:c r="L99" s="55"/>
      <x:c r="M99" s="56"/>
      <x:c r="N99" s="55"/>
      <x:c r="O99" s="55"/>
      <x:c r="P99" s="56"/>
      <x:c r="Q99" s="55"/>
      <x:c r="R99" s="55"/>
      <x:c r="S99" s="56"/>
      <x:c r="T99" s="55"/>
    </x:row>
    <x:row r="100" ht="28" customHeight="1">
      <x:c r="A100" s="55"/>
      <x:c r="B100" s="55"/>
      <x:c r="C100" s="55"/>
      <x:c r="D100" s="56"/>
      <x:c r="E100" s="55"/>
      <x:c r="F100" s="55"/>
      <x:c r="G100" s="55"/>
      <x:c r="H100" s="55"/>
      <x:c r="I100" s="55"/>
      <x:c r="J100" s="55"/>
      <x:c r="K100" s="55"/>
      <x:c r="L100" s="55"/>
      <x:c r="M100" s="56"/>
      <x:c r="N100" s="55"/>
      <x:c r="O100" s="55"/>
      <x:c r="P100" s="56"/>
      <x:c r="Q100" s="55"/>
      <x:c r="R100" s="55"/>
      <x:c r="S100" s="56"/>
      <x:c r="T100" s="55"/>
    </x:row>
    <x:row r="101" ht="28" customHeight="1">
      <x:c r="A101" s="55"/>
      <x:c r="B101" s="55"/>
      <x:c r="C101" s="55"/>
      <x:c r="D101" s="56"/>
      <x:c r="E101" s="55"/>
      <x:c r="F101" s="55"/>
      <x:c r="G101" s="55"/>
      <x:c r="H101" s="55"/>
      <x:c r="I101" s="55"/>
      <x:c r="J101" s="55"/>
      <x:c r="K101" s="55"/>
      <x:c r="L101" s="55"/>
      <x:c r="M101" s="56"/>
      <x:c r="N101" s="55"/>
      <x:c r="O101" s="55"/>
      <x:c r="P101" s="56"/>
      <x:c r="Q101" s="55"/>
      <x:c r="R101" s="55"/>
      <x:c r="S101" s="56"/>
      <x:c r="T101" s="55"/>
    </x:row>
    <x:row r="102" ht="28" customHeight="1">
      <x:c r="A102" s="55"/>
      <x:c r="B102" s="55"/>
      <x:c r="C102" s="55"/>
      <x:c r="D102" s="56"/>
      <x:c r="E102" s="55"/>
      <x:c r="F102" s="55"/>
      <x:c r="G102" s="55"/>
      <x:c r="H102" s="55"/>
      <x:c r="I102" s="55"/>
      <x:c r="J102" s="55"/>
      <x:c r="K102" s="55"/>
      <x:c r="L102" s="55"/>
      <x:c r="M102" s="56"/>
      <x:c r="N102" s="55"/>
      <x:c r="O102" s="55"/>
      <x:c r="P102" s="56"/>
      <x:c r="Q102" s="55"/>
      <x:c r="R102" s="55"/>
      <x:c r="S102" s="56"/>
      <x:c r="T102" s="55"/>
    </x:row>
    <x:row r="103" ht="28" customHeight="1">
      <x:c r="A103" s="55"/>
      <x:c r="B103" s="55"/>
      <x:c r="C103" s="55"/>
      <x:c r="D103" s="56"/>
      <x:c r="E103" s="55"/>
      <x:c r="F103" s="55"/>
      <x:c r="G103" s="55"/>
      <x:c r="H103" s="55"/>
      <x:c r="I103" s="55"/>
      <x:c r="J103" s="55"/>
      <x:c r="K103" s="55"/>
      <x:c r="L103" s="55"/>
      <x:c r="M103" s="56"/>
      <x:c r="N103" s="55"/>
      <x:c r="O103" s="55"/>
      <x:c r="P103" s="56"/>
      <x:c r="Q103" s="55"/>
      <x:c r="R103" s="55"/>
      <x:c r="S103" s="56"/>
      <x:c r="T103" s="55"/>
    </x:row>
    <x:row r="104" ht="28" customHeight="1">
      <x:c r="A104" s="55"/>
      <x:c r="B104" s="55"/>
      <x:c r="C104" s="55"/>
      <x:c r="D104" s="56"/>
      <x:c r="E104" s="55"/>
      <x:c r="F104" s="55"/>
      <x:c r="G104" s="55"/>
      <x:c r="H104" s="55"/>
      <x:c r="I104" s="55"/>
      <x:c r="J104" s="55"/>
      <x:c r="K104" s="55"/>
      <x:c r="L104" s="55"/>
      <x:c r="M104" s="56"/>
      <x:c r="N104" s="55"/>
      <x:c r="O104" s="55"/>
      <x:c r="P104" s="56"/>
      <x:c r="Q104" s="55"/>
      <x:c r="R104" s="55"/>
      <x:c r="S104" s="56"/>
      <x:c r="T104" s="55"/>
    </x:row>
    <x:row r="105" ht="28" customHeight="1">
      <x:c r="A105" s="55"/>
      <x:c r="B105" s="55"/>
      <x:c r="C105" s="55"/>
      <x:c r="D105" s="56"/>
      <x:c r="E105" s="55"/>
      <x:c r="F105" s="55"/>
      <x:c r="G105" s="55"/>
      <x:c r="H105" s="55"/>
      <x:c r="I105" s="55"/>
      <x:c r="J105" s="55"/>
      <x:c r="K105" s="55"/>
      <x:c r="L105" s="55"/>
      <x:c r="M105" s="56"/>
      <x:c r="N105" s="55"/>
      <x:c r="O105" s="55"/>
      <x:c r="P105" s="56"/>
      <x:c r="Q105" s="55"/>
      <x:c r="R105" s="55"/>
      <x:c r="S105" s="56"/>
      <x:c r="T105" s="55"/>
    </x:row>
    <x:row r="106" ht="28" customHeight="1">
      <x:c r="A106" s="55"/>
      <x:c r="B106" s="55"/>
      <x:c r="C106" s="55"/>
      <x:c r="D106" s="56"/>
      <x:c r="E106" s="55"/>
      <x:c r="F106" s="55"/>
      <x:c r="G106" s="55"/>
      <x:c r="H106" s="55"/>
      <x:c r="I106" s="55"/>
      <x:c r="J106" s="55"/>
      <x:c r="K106" s="55"/>
      <x:c r="L106" s="55"/>
      <x:c r="M106" s="56"/>
      <x:c r="N106" s="55"/>
      <x:c r="O106" s="55"/>
      <x:c r="P106" s="56"/>
      <x:c r="Q106" s="55"/>
      <x:c r="R106" s="55"/>
      <x:c r="S106" s="56"/>
      <x:c r="T106" s="55"/>
    </x:row>
    <x:row r="107" ht="28" customHeight="1">
      <x:c r="A107" s="55"/>
      <x:c r="B107" s="55"/>
      <x:c r="C107" s="55"/>
      <x:c r="D107" s="56"/>
      <x:c r="E107" s="55"/>
      <x:c r="F107" s="55"/>
      <x:c r="G107" s="55"/>
      <x:c r="H107" s="55"/>
      <x:c r="I107" s="55"/>
      <x:c r="J107" s="55"/>
      <x:c r="K107" s="55"/>
      <x:c r="L107" s="55"/>
      <x:c r="M107" s="56"/>
      <x:c r="N107" s="55"/>
      <x:c r="O107" s="55"/>
      <x:c r="P107" s="56"/>
      <x:c r="Q107" s="55"/>
      <x:c r="R107" s="55"/>
      <x:c r="S107" s="56"/>
      <x:c r="T107" s="55"/>
    </x:row>
    <x:row r="108" ht="28" customHeight="1">
      <x:c r="A108" s="55"/>
      <x:c r="B108" s="55"/>
      <x:c r="C108" s="55"/>
      <x:c r="D108" s="56"/>
      <x:c r="E108" s="55"/>
      <x:c r="F108" s="55"/>
      <x:c r="G108" s="55"/>
      <x:c r="H108" s="55"/>
      <x:c r="I108" s="55"/>
      <x:c r="J108" s="55"/>
      <x:c r="K108" s="55"/>
      <x:c r="L108" s="55"/>
      <x:c r="M108" s="56"/>
      <x:c r="N108" s="55"/>
      <x:c r="O108" s="55"/>
      <x:c r="P108" s="56"/>
      <x:c r="Q108" s="55"/>
      <x:c r="R108" s="55"/>
      <x:c r="S108" s="56"/>
      <x:c r="T108" s="55"/>
    </x:row>
    <x:row r="109" ht="28" customHeight="1">
      <x:c r="A109" s="55"/>
      <x:c r="B109" s="55"/>
      <x:c r="C109" s="55"/>
      <x:c r="D109" s="56"/>
      <x:c r="E109" s="55"/>
      <x:c r="F109" s="55"/>
      <x:c r="G109" s="55"/>
      <x:c r="H109" s="55"/>
      <x:c r="I109" s="55"/>
      <x:c r="J109" s="55"/>
      <x:c r="K109" s="55"/>
      <x:c r="L109" s="55"/>
      <x:c r="M109" s="56"/>
      <x:c r="N109" s="55"/>
      <x:c r="O109" s="55"/>
      <x:c r="P109" s="56"/>
      <x:c r="Q109" s="55"/>
      <x:c r="R109" s="55"/>
      <x:c r="S109" s="56"/>
      <x:c r="T109" s="55"/>
    </x:row>
    <x:row r="110" ht="28" customHeight="1">
      <x:c r="A110" s="55"/>
      <x:c r="B110" s="55"/>
      <x:c r="C110" s="55"/>
      <x:c r="D110" s="56"/>
      <x:c r="E110" s="55"/>
      <x:c r="F110" s="55"/>
      <x:c r="G110" s="55"/>
      <x:c r="H110" s="55"/>
      <x:c r="I110" s="55"/>
      <x:c r="J110" s="55"/>
      <x:c r="K110" s="55"/>
      <x:c r="L110" s="55"/>
      <x:c r="M110" s="56"/>
      <x:c r="N110" s="55"/>
      <x:c r="O110" s="55"/>
      <x:c r="P110" s="56"/>
      <x:c r="Q110" s="55"/>
      <x:c r="R110" s="55"/>
      <x:c r="S110" s="56"/>
      <x:c r="T110" s="55"/>
    </x:row>
    <x:row r="111" ht="28" customHeight="1">
      <x:c r="A111" s="55"/>
      <x:c r="B111" s="55"/>
      <x:c r="C111" s="55"/>
      <x:c r="D111" s="56"/>
      <x:c r="E111" s="55"/>
      <x:c r="F111" s="55"/>
      <x:c r="G111" s="55"/>
      <x:c r="H111" s="55"/>
      <x:c r="I111" s="55"/>
      <x:c r="J111" s="55"/>
      <x:c r="K111" s="55"/>
      <x:c r="L111" s="55"/>
      <x:c r="M111" s="56"/>
      <x:c r="N111" s="55"/>
      <x:c r="O111" s="55"/>
      <x:c r="P111" s="56"/>
      <x:c r="Q111" s="55"/>
      <x:c r="R111" s="55"/>
      <x:c r="S111" s="56"/>
      <x:c r="T111" s="55"/>
    </x:row>
    <x:row r="112" ht="28" customHeight="1">
      <x:c r="A112" s="55"/>
      <x:c r="B112" s="55"/>
      <x:c r="C112" s="55"/>
      <x:c r="D112" s="56"/>
      <x:c r="E112" s="55"/>
      <x:c r="F112" s="55"/>
      <x:c r="G112" s="55"/>
      <x:c r="H112" s="55"/>
      <x:c r="I112" s="55"/>
      <x:c r="J112" s="55"/>
      <x:c r="K112" s="55"/>
      <x:c r="L112" s="55"/>
      <x:c r="M112" s="56"/>
      <x:c r="N112" s="55"/>
      <x:c r="O112" s="55"/>
      <x:c r="P112" s="56"/>
      <x:c r="Q112" s="55"/>
      <x:c r="R112" s="55"/>
      <x:c r="S112" s="56"/>
      <x:c r="T112" s="55"/>
    </x:row>
    <x:row r="113" ht="28" customHeight="1">
      <x:c r="A113" s="55"/>
      <x:c r="B113" s="55"/>
      <x:c r="C113" s="55"/>
      <x:c r="D113" s="56"/>
      <x:c r="E113" s="55"/>
      <x:c r="F113" s="55"/>
      <x:c r="G113" s="55"/>
      <x:c r="H113" s="55"/>
      <x:c r="I113" s="55"/>
      <x:c r="J113" s="55"/>
      <x:c r="K113" s="55"/>
      <x:c r="L113" s="55"/>
      <x:c r="M113" s="56"/>
      <x:c r="N113" s="55"/>
      <x:c r="O113" s="55"/>
      <x:c r="P113" s="56"/>
      <x:c r="Q113" s="55"/>
      <x:c r="R113" s="55"/>
      <x:c r="S113" s="56"/>
      <x:c r="T113" s="55"/>
    </x:row>
    <x:row r="114" ht="28" customHeight="1">
      <x:c r="A114" s="55"/>
      <x:c r="B114" s="55"/>
      <x:c r="C114" s="55"/>
      <x:c r="D114" s="56"/>
      <x:c r="E114" s="55"/>
      <x:c r="F114" s="55"/>
      <x:c r="G114" s="55"/>
      <x:c r="H114" s="55"/>
      <x:c r="I114" s="55"/>
      <x:c r="J114" s="55"/>
      <x:c r="K114" s="55"/>
      <x:c r="L114" s="55"/>
      <x:c r="M114" s="56"/>
      <x:c r="N114" s="55"/>
      <x:c r="O114" s="55"/>
      <x:c r="P114" s="56"/>
      <x:c r="Q114" s="55"/>
      <x:c r="R114" s="55"/>
      <x:c r="S114" s="56"/>
      <x:c r="T114" s="55"/>
    </x:row>
    <x:row r="115" ht="28" customHeight="1">
      <x:c r="A115" s="55"/>
      <x:c r="B115" s="55"/>
      <x:c r="C115" s="55"/>
      <x:c r="D115" s="56"/>
      <x:c r="E115" s="55"/>
      <x:c r="F115" s="55"/>
      <x:c r="G115" s="55"/>
      <x:c r="H115" s="55"/>
      <x:c r="I115" s="55"/>
      <x:c r="J115" s="55"/>
      <x:c r="K115" s="55"/>
      <x:c r="L115" s="55"/>
      <x:c r="M115" s="56"/>
      <x:c r="N115" s="55"/>
      <x:c r="O115" s="55"/>
      <x:c r="P115" s="56"/>
      <x:c r="Q115" s="55"/>
      <x:c r="R115" s="55"/>
      <x:c r="S115" s="56"/>
      <x:c r="T115" s="55"/>
    </x:row>
    <x:row r="116" ht="28" customHeight="1">
      <x:c r="A116" s="55"/>
      <x:c r="B116" s="55"/>
      <x:c r="C116" s="55"/>
      <x:c r="D116" s="56"/>
      <x:c r="E116" s="55"/>
      <x:c r="F116" s="55"/>
      <x:c r="G116" s="55"/>
      <x:c r="H116" s="55"/>
      <x:c r="I116" s="55"/>
      <x:c r="J116" s="55"/>
      <x:c r="K116" s="55"/>
      <x:c r="L116" s="55"/>
      <x:c r="M116" s="56"/>
      <x:c r="N116" s="55"/>
      <x:c r="O116" s="55"/>
      <x:c r="P116" s="56"/>
      <x:c r="Q116" s="55"/>
      <x:c r="R116" s="55"/>
      <x:c r="S116" s="56"/>
      <x:c r="T116" s="55"/>
    </x:row>
    <x:row r="117" ht="28" customHeight="1">
      <x:c r="A117" s="55"/>
      <x:c r="B117" s="55"/>
      <x:c r="C117" s="55"/>
      <x:c r="D117" s="56"/>
      <x:c r="E117" s="55"/>
      <x:c r="F117" s="55"/>
      <x:c r="G117" s="55"/>
      <x:c r="H117" s="55"/>
      <x:c r="I117" s="55"/>
      <x:c r="J117" s="55"/>
      <x:c r="K117" s="55"/>
      <x:c r="L117" s="55"/>
      <x:c r="M117" s="56"/>
      <x:c r="N117" s="55"/>
      <x:c r="O117" s="55"/>
      <x:c r="P117" s="56"/>
      <x:c r="Q117" s="55"/>
      <x:c r="R117" s="55"/>
      <x:c r="S117" s="56"/>
      <x:c r="T117" s="55"/>
    </x:row>
    <x:row r="118" ht="28" customHeight="1">
      <x:c r="A118" s="55"/>
      <x:c r="B118" s="55"/>
      <x:c r="C118" s="55"/>
      <x:c r="D118" s="56"/>
      <x:c r="E118" s="55"/>
      <x:c r="F118" s="55"/>
      <x:c r="G118" s="55"/>
      <x:c r="H118" s="55"/>
      <x:c r="I118" s="55"/>
      <x:c r="J118" s="55"/>
      <x:c r="K118" s="55"/>
      <x:c r="L118" s="55"/>
      <x:c r="M118" s="56"/>
      <x:c r="N118" s="55"/>
      <x:c r="O118" s="55"/>
      <x:c r="P118" s="56"/>
      <x:c r="Q118" s="55"/>
      <x:c r="R118" s="55"/>
      <x:c r="S118" s="56"/>
      <x:c r="T118" s="55"/>
    </x:row>
    <x:row r="119" ht="28" customHeight="1">
      <x:c r="A119" s="55"/>
      <x:c r="B119" s="55"/>
      <x:c r="C119" s="55"/>
      <x:c r="D119" s="56"/>
      <x:c r="E119" s="55"/>
      <x:c r="F119" s="55"/>
      <x:c r="G119" s="55"/>
      <x:c r="H119" s="55"/>
      <x:c r="I119" s="55"/>
      <x:c r="J119" s="55"/>
      <x:c r="K119" s="55"/>
      <x:c r="L119" s="55"/>
      <x:c r="M119" s="56"/>
      <x:c r="N119" s="55"/>
      <x:c r="O119" s="55"/>
      <x:c r="P119" s="56"/>
      <x:c r="Q119" s="55"/>
      <x:c r="R119" s="55"/>
      <x:c r="S119" s="56"/>
      <x:c r="T119" s="55"/>
    </x:row>
    <x:row r="120" ht="28" customHeight="1">
      <x:c r="A120" s="55"/>
      <x:c r="B120" s="55"/>
      <x:c r="C120" s="55"/>
      <x:c r="D120" s="56"/>
      <x:c r="E120" s="55"/>
      <x:c r="F120" s="55"/>
      <x:c r="G120" s="55"/>
      <x:c r="H120" s="55"/>
      <x:c r="I120" s="55"/>
      <x:c r="J120" s="55"/>
      <x:c r="K120" s="55"/>
      <x:c r="L120" s="55"/>
      <x:c r="M120" s="56"/>
      <x:c r="N120" s="55"/>
      <x:c r="O120" s="55"/>
      <x:c r="P120" s="56"/>
      <x:c r="Q120" s="55"/>
      <x:c r="R120" s="55"/>
      <x:c r="S120" s="56"/>
      <x:c r="T120" s="55"/>
    </x:row>
    <x:row r="121" ht="28" customHeight="1">
      <x:c r="A121" s="55"/>
      <x:c r="B121" s="55"/>
      <x:c r="C121" s="55"/>
      <x:c r="D121" s="56"/>
      <x:c r="E121" s="55"/>
      <x:c r="F121" s="55"/>
      <x:c r="G121" s="55"/>
      <x:c r="H121" s="55"/>
      <x:c r="I121" s="55"/>
      <x:c r="J121" s="55"/>
      <x:c r="K121" s="55"/>
      <x:c r="L121" s="55"/>
      <x:c r="M121" s="56"/>
      <x:c r="N121" s="55"/>
      <x:c r="O121" s="55"/>
      <x:c r="P121" s="56"/>
      <x:c r="Q121" s="55"/>
      <x:c r="R121" s="55"/>
      <x:c r="S121" s="56"/>
      <x:c r="T121" s="55"/>
    </x:row>
    <x:row r="122" ht="28" customHeight="1">
      <x:c r="A122" s="55"/>
      <x:c r="B122" s="55"/>
      <x:c r="C122" s="55"/>
      <x:c r="D122" s="56"/>
      <x:c r="E122" s="55"/>
      <x:c r="F122" s="55"/>
      <x:c r="G122" s="55"/>
      <x:c r="H122" s="55"/>
      <x:c r="I122" s="55"/>
      <x:c r="J122" s="55"/>
      <x:c r="K122" s="55"/>
      <x:c r="L122" s="55"/>
      <x:c r="M122" s="56"/>
      <x:c r="N122" s="55"/>
      <x:c r="O122" s="55"/>
      <x:c r="P122" s="56"/>
      <x:c r="Q122" s="55"/>
      <x:c r="R122" s="55"/>
      <x:c r="S122" s="56"/>
      <x:c r="T122" s="55"/>
    </x:row>
    <x:row r="123" ht="28" customHeight="1">
      <x:c r="A123" s="55"/>
      <x:c r="B123" s="55"/>
      <x:c r="C123" s="55"/>
      <x:c r="D123" s="56"/>
      <x:c r="E123" s="55"/>
      <x:c r="F123" s="55"/>
      <x:c r="G123" s="55"/>
      <x:c r="H123" s="55"/>
      <x:c r="I123" s="55"/>
      <x:c r="J123" s="55"/>
      <x:c r="K123" s="55"/>
      <x:c r="L123" s="55"/>
      <x:c r="M123" s="56"/>
      <x:c r="N123" s="55"/>
      <x:c r="O123" s="55"/>
      <x:c r="P123" s="56"/>
      <x:c r="Q123" s="55"/>
      <x:c r="R123" s="55"/>
      <x:c r="S123" s="56"/>
      <x:c r="T123" s="55"/>
    </x:row>
    <x:row r="124" ht="28" customHeight="1">
      <x:c r="A124" s="55"/>
      <x:c r="B124" s="55"/>
      <x:c r="C124" s="55"/>
      <x:c r="D124" s="56"/>
      <x:c r="E124" s="55"/>
      <x:c r="F124" s="55"/>
      <x:c r="G124" s="55"/>
      <x:c r="H124" s="55"/>
      <x:c r="I124" s="55"/>
      <x:c r="J124" s="55"/>
      <x:c r="K124" s="55"/>
      <x:c r="L124" s="55"/>
      <x:c r="M124" s="56"/>
      <x:c r="N124" s="55"/>
      <x:c r="O124" s="55"/>
      <x:c r="P124" s="56"/>
      <x:c r="Q124" s="55"/>
      <x:c r="R124" s="55"/>
      <x:c r="S124" s="56"/>
      <x:c r="T124" s="55"/>
    </x:row>
    <x:row r="125" ht="28" customHeight="1">
      <x:c r="A125" s="55"/>
      <x:c r="B125" s="55"/>
      <x:c r="C125" s="55"/>
      <x:c r="D125" s="56"/>
      <x:c r="E125" s="55"/>
      <x:c r="F125" s="55"/>
      <x:c r="G125" s="55"/>
      <x:c r="H125" s="55"/>
      <x:c r="I125" s="55"/>
      <x:c r="J125" s="55"/>
      <x:c r="K125" s="55"/>
      <x:c r="L125" s="55"/>
      <x:c r="M125" s="56"/>
      <x:c r="N125" s="55"/>
      <x:c r="O125" s="55"/>
      <x:c r="P125" s="56"/>
      <x:c r="Q125" s="55"/>
      <x:c r="R125" s="55"/>
      <x:c r="S125" s="56"/>
      <x:c r="T125" s="55"/>
    </x:row>
    <x:row r="126" ht="28" customHeight="1">
      <x:c r="A126" s="55"/>
      <x:c r="B126" s="55"/>
      <x:c r="C126" s="55"/>
      <x:c r="D126" s="56"/>
      <x:c r="E126" s="55"/>
      <x:c r="F126" s="55"/>
      <x:c r="G126" s="55"/>
      <x:c r="H126" s="55"/>
      <x:c r="I126" s="55"/>
      <x:c r="J126" s="55"/>
      <x:c r="K126" s="55"/>
      <x:c r="L126" s="55"/>
      <x:c r="M126" s="56"/>
      <x:c r="N126" s="55"/>
      <x:c r="O126" s="55"/>
      <x:c r="P126" s="56"/>
      <x:c r="Q126" s="55"/>
      <x:c r="R126" s="55"/>
      <x:c r="S126" s="56"/>
      <x:c r="T126" s="55"/>
    </x:row>
    <x:row r="127" ht="28" customHeight="1">
      <x:c r="A127" s="55"/>
      <x:c r="B127" s="55"/>
      <x:c r="C127" s="55"/>
      <x:c r="D127" s="56"/>
      <x:c r="E127" s="55"/>
      <x:c r="F127" s="55"/>
      <x:c r="G127" s="55"/>
      <x:c r="H127" s="55"/>
      <x:c r="I127" s="55"/>
      <x:c r="J127" s="55"/>
      <x:c r="K127" s="55"/>
      <x:c r="L127" s="55"/>
      <x:c r="M127" s="56"/>
      <x:c r="N127" s="55"/>
      <x:c r="O127" s="55"/>
      <x:c r="P127" s="56"/>
      <x:c r="Q127" s="55"/>
      <x:c r="R127" s="55"/>
      <x:c r="S127" s="56"/>
      <x:c r="T127" s="55"/>
    </x:row>
    <x:row r="128" ht="28" customHeight="1">
      <x:c r="A128" s="55"/>
      <x:c r="B128" s="55"/>
      <x:c r="C128" s="55"/>
      <x:c r="D128" s="56"/>
      <x:c r="E128" s="55"/>
      <x:c r="F128" s="55"/>
      <x:c r="G128" s="55"/>
      <x:c r="H128" s="55"/>
      <x:c r="I128" s="55"/>
      <x:c r="J128" s="55"/>
      <x:c r="K128" s="55"/>
      <x:c r="L128" s="55"/>
      <x:c r="M128" s="56"/>
      <x:c r="N128" s="55"/>
      <x:c r="O128" s="55"/>
      <x:c r="P128" s="56"/>
      <x:c r="Q128" s="55"/>
      <x:c r="R128" s="55"/>
      <x:c r="S128" s="56"/>
      <x:c r="T128" s="55"/>
    </x:row>
    <x:row r="129" ht="28" customHeight="1">
      <x:c r="A129" s="55"/>
      <x:c r="B129" s="55"/>
      <x:c r="C129" s="55"/>
      <x:c r="D129" s="56"/>
      <x:c r="E129" s="55"/>
      <x:c r="F129" s="55"/>
      <x:c r="G129" s="55"/>
      <x:c r="H129" s="55"/>
      <x:c r="I129" s="55"/>
      <x:c r="J129" s="55"/>
      <x:c r="K129" s="55"/>
      <x:c r="L129" s="55"/>
      <x:c r="M129" s="56"/>
      <x:c r="N129" s="55"/>
      <x:c r="O129" s="55"/>
      <x:c r="P129" s="56"/>
      <x:c r="Q129" s="55"/>
      <x:c r="R129" s="55"/>
      <x:c r="S129" s="56"/>
      <x:c r="T129" s="55"/>
    </x:row>
    <x:row r="130" ht="28" customHeight="1">
      <x:c r="A130" s="55"/>
      <x:c r="B130" s="55"/>
      <x:c r="C130" s="55"/>
      <x:c r="D130" s="56"/>
      <x:c r="E130" s="55"/>
      <x:c r="F130" s="55"/>
      <x:c r="G130" s="55"/>
      <x:c r="H130" s="55"/>
      <x:c r="I130" s="55"/>
      <x:c r="J130" s="55"/>
      <x:c r="K130" s="55"/>
      <x:c r="L130" s="55"/>
      <x:c r="M130" s="56"/>
      <x:c r="N130" s="55"/>
      <x:c r="O130" s="55"/>
      <x:c r="P130" s="56"/>
      <x:c r="Q130" s="55"/>
      <x:c r="R130" s="55"/>
      <x:c r="S130" s="56"/>
      <x:c r="T130" s="55"/>
    </x:row>
    <x:row r="131" ht="28" customHeight="1">
      <x:c r="A131" s="55"/>
      <x:c r="B131" s="55"/>
      <x:c r="C131" s="55"/>
      <x:c r="D131" s="56"/>
      <x:c r="E131" s="55"/>
      <x:c r="F131" s="55"/>
      <x:c r="G131" s="55"/>
      <x:c r="H131" s="55"/>
      <x:c r="I131" s="55"/>
      <x:c r="J131" s="55"/>
      <x:c r="K131" s="55"/>
      <x:c r="L131" s="55"/>
      <x:c r="M131" s="56"/>
      <x:c r="N131" s="55"/>
      <x:c r="O131" s="55"/>
      <x:c r="P131" s="56"/>
      <x:c r="Q131" s="55"/>
      <x:c r="R131" s="55"/>
      <x:c r="S131" s="56"/>
      <x:c r="T131" s="55"/>
    </x:row>
    <x:row r="132" ht="28" customHeight="1">
      <x:c r="A132" s="55"/>
      <x:c r="B132" s="55"/>
      <x:c r="C132" s="55"/>
      <x:c r="D132" s="56"/>
      <x:c r="E132" s="55"/>
      <x:c r="F132" s="55"/>
      <x:c r="G132" s="55"/>
      <x:c r="H132" s="55"/>
      <x:c r="I132" s="55"/>
      <x:c r="J132" s="55"/>
      <x:c r="K132" s="55"/>
      <x:c r="L132" s="55"/>
      <x:c r="M132" s="56"/>
      <x:c r="N132" s="55"/>
      <x:c r="O132" s="55"/>
      <x:c r="P132" s="56"/>
      <x:c r="Q132" s="55"/>
      <x:c r="R132" s="55"/>
      <x:c r="S132" s="56"/>
      <x:c r="T132" s="55"/>
    </x:row>
    <x:row r="133" ht="28" customHeight="1">
      <x:c r="A133" s="55"/>
      <x:c r="B133" s="55"/>
      <x:c r="C133" s="55"/>
      <x:c r="D133" s="56"/>
      <x:c r="E133" s="55"/>
      <x:c r="F133" s="55"/>
      <x:c r="G133" s="55"/>
      <x:c r="H133" s="55"/>
      <x:c r="I133" s="55"/>
      <x:c r="J133" s="55"/>
      <x:c r="K133" s="55"/>
      <x:c r="L133" s="55"/>
      <x:c r="M133" s="56"/>
      <x:c r="N133" s="55"/>
      <x:c r="O133" s="55"/>
      <x:c r="P133" s="56"/>
      <x:c r="Q133" s="55"/>
      <x:c r="R133" s="55"/>
      <x:c r="S133" s="56"/>
      <x:c r="T133" s="55"/>
    </x:row>
    <x:row r="134" ht="28" customHeight="1">
      <x:c r="A134" s="55"/>
      <x:c r="B134" s="55"/>
      <x:c r="C134" s="55"/>
      <x:c r="D134" s="56"/>
      <x:c r="E134" s="55"/>
      <x:c r="F134" s="55"/>
      <x:c r="G134" s="55"/>
      <x:c r="H134" s="55"/>
      <x:c r="I134" s="55"/>
      <x:c r="J134" s="55"/>
      <x:c r="K134" s="55"/>
      <x:c r="L134" s="55"/>
      <x:c r="M134" s="56"/>
      <x:c r="N134" s="55"/>
      <x:c r="O134" s="55"/>
      <x:c r="P134" s="56"/>
      <x:c r="Q134" s="55"/>
      <x:c r="R134" s="55"/>
      <x:c r="S134" s="56"/>
      <x:c r="T134" s="55"/>
    </x:row>
    <x:row r="135" ht="28" customHeight="1">
      <x:c r="A135" s="55"/>
      <x:c r="B135" s="55"/>
      <x:c r="C135" s="55"/>
      <x:c r="D135" s="56"/>
      <x:c r="E135" s="55"/>
      <x:c r="F135" s="55"/>
      <x:c r="G135" s="55"/>
      <x:c r="H135" s="55"/>
      <x:c r="I135" s="55"/>
      <x:c r="J135" s="55"/>
      <x:c r="K135" s="55"/>
      <x:c r="L135" s="55"/>
      <x:c r="M135" s="56"/>
      <x:c r="N135" s="55"/>
      <x:c r="O135" s="55"/>
      <x:c r="P135" s="56"/>
      <x:c r="Q135" s="55"/>
      <x:c r="R135" s="55"/>
      <x:c r="S135" s="56"/>
      <x:c r="T135" s="55"/>
    </x:row>
    <x:row r="136" ht="28" customHeight="1">
      <x:c r="A136" s="55"/>
      <x:c r="B136" s="55"/>
      <x:c r="C136" s="55"/>
      <x:c r="D136" s="56"/>
      <x:c r="E136" s="55"/>
      <x:c r="F136" s="55"/>
      <x:c r="G136" s="55"/>
      <x:c r="H136" s="55"/>
      <x:c r="I136" s="55"/>
      <x:c r="J136" s="55"/>
      <x:c r="K136" s="55"/>
      <x:c r="L136" s="55"/>
      <x:c r="M136" s="56"/>
      <x:c r="N136" s="55"/>
      <x:c r="O136" s="55"/>
      <x:c r="P136" s="56"/>
      <x:c r="Q136" s="55"/>
      <x:c r="R136" s="55"/>
      <x:c r="S136" s="56"/>
      <x:c r="T136" s="55"/>
    </x:row>
    <x:row r="137" ht="28" customHeight="1">
      <x:c r="A137" s="55"/>
      <x:c r="B137" s="55"/>
      <x:c r="C137" s="55"/>
      <x:c r="D137" s="56"/>
      <x:c r="E137" s="55"/>
      <x:c r="F137" s="55"/>
      <x:c r="G137" s="55"/>
      <x:c r="H137" s="55"/>
      <x:c r="I137" s="55"/>
      <x:c r="J137" s="55"/>
      <x:c r="K137" s="55"/>
      <x:c r="L137" s="55"/>
      <x:c r="M137" s="56"/>
      <x:c r="N137" s="55"/>
      <x:c r="O137" s="55"/>
      <x:c r="P137" s="56"/>
      <x:c r="Q137" s="55"/>
      <x:c r="R137" s="55"/>
      <x:c r="S137" s="56"/>
      <x:c r="T137" s="55"/>
    </x:row>
    <x:row r="138" ht="28" customHeight="1">
      <x:c r="A138" s="55"/>
      <x:c r="B138" s="55"/>
      <x:c r="C138" s="55"/>
      <x:c r="D138" s="56"/>
      <x:c r="E138" s="55"/>
      <x:c r="F138" s="55"/>
      <x:c r="G138" s="55"/>
      <x:c r="H138" s="55"/>
      <x:c r="I138" s="55"/>
      <x:c r="J138" s="55"/>
      <x:c r="K138" s="55"/>
      <x:c r="L138" s="55"/>
      <x:c r="M138" s="56"/>
      <x:c r="N138" s="55"/>
      <x:c r="O138" s="55"/>
      <x:c r="P138" s="56"/>
      <x:c r="Q138" s="55"/>
      <x:c r="R138" s="55"/>
      <x:c r="S138" s="56"/>
      <x:c r="T138" s="55"/>
    </x:row>
    <x:row r="139" ht="28" customHeight="1">
      <x:c r="A139" s="55"/>
      <x:c r="B139" s="55"/>
      <x:c r="C139" s="55"/>
      <x:c r="D139" s="56"/>
      <x:c r="E139" s="55"/>
      <x:c r="F139" s="55"/>
      <x:c r="G139" s="55"/>
      <x:c r="H139" s="55"/>
      <x:c r="I139" s="55"/>
      <x:c r="J139" s="55"/>
      <x:c r="K139" s="55"/>
      <x:c r="L139" s="55"/>
      <x:c r="M139" s="56"/>
      <x:c r="N139" s="55"/>
      <x:c r="O139" s="55"/>
      <x:c r="P139" s="56"/>
      <x:c r="Q139" s="55"/>
      <x:c r="R139" s="55"/>
      <x:c r="S139" s="56"/>
      <x:c r="T139" s="55"/>
    </x:row>
    <x:row r="140" ht="28" customHeight="1">
      <x:c r="A140" s="55"/>
      <x:c r="B140" s="55"/>
      <x:c r="C140" s="55"/>
      <x:c r="D140" s="56"/>
      <x:c r="E140" s="55"/>
      <x:c r="F140" s="55"/>
      <x:c r="G140" s="55"/>
      <x:c r="H140" s="55"/>
      <x:c r="I140" s="55"/>
      <x:c r="J140" s="55"/>
      <x:c r="K140" s="55"/>
      <x:c r="L140" s="55"/>
      <x:c r="M140" s="56"/>
      <x:c r="N140" s="55"/>
      <x:c r="O140" s="55"/>
      <x:c r="P140" s="56"/>
      <x:c r="Q140" s="55"/>
      <x:c r="R140" s="55"/>
      <x:c r="S140" s="56"/>
      <x:c r="T140" s="55"/>
    </x:row>
    <x:row r="141" ht="28" customHeight="1">
      <x:c r="A141" s="55"/>
      <x:c r="B141" s="55"/>
      <x:c r="C141" s="55"/>
      <x:c r="D141" s="56"/>
      <x:c r="E141" s="55"/>
      <x:c r="F141" s="55"/>
      <x:c r="G141" s="55"/>
      <x:c r="H141" s="55"/>
      <x:c r="I141" s="55"/>
      <x:c r="J141" s="55"/>
      <x:c r="K141" s="55"/>
      <x:c r="L141" s="55"/>
      <x:c r="M141" s="56"/>
      <x:c r="N141" s="55"/>
      <x:c r="O141" s="55"/>
      <x:c r="P141" s="56"/>
      <x:c r="Q141" s="55"/>
      <x:c r="R141" s="55"/>
      <x:c r="S141" s="56"/>
      <x:c r="T141" s="55"/>
    </x:row>
    <x:row r="142" ht="28" customHeight="1">
      <x:c r="A142" s="55"/>
      <x:c r="B142" s="55"/>
      <x:c r="C142" s="55"/>
      <x:c r="D142" s="56"/>
      <x:c r="E142" s="55"/>
      <x:c r="F142" s="55"/>
      <x:c r="G142" s="55"/>
      <x:c r="H142" s="55"/>
      <x:c r="I142" s="55"/>
      <x:c r="J142" s="55"/>
      <x:c r="K142" s="55"/>
      <x:c r="L142" s="55"/>
      <x:c r="M142" s="56"/>
      <x:c r="N142" s="55"/>
      <x:c r="O142" s="55"/>
      <x:c r="P142" s="56"/>
      <x:c r="Q142" s="55"/>
      <x:c r="R142" s="55"/>
      <x:c r="S142" s="56"/>
      <x:c r="T142" s="55"/>
    </x:row>
    <x:row r="143" ht="28" customHeight="1">
      <x:c r="A143" s="55"/>
      <x:c r="B143" s="55"/>
      <x:c r="C143" s="55"/>
      <x:c r="D143" s="56"/>
      <x:c r="E143" s="55"/>
      <x:c r="F143" s="55"/>
      <x:c r="G143" s="55"/>
      <x:c r="H143" s="55"/>
      <x:c r="I143" s="55"/>
      <x:c r="J143" s="55"/>
      <x:c r="K143" s="55"/>
      <x:c r="L143" s="55"/>
      <x:c r="M143" s="56"/>
      <x:c r="N143" s="55"/>
      <x:c r="O143" s="55"/>
      <x:c r="P143" s="56"/>
      <x:c r="Q143" s="55"/>
      <x:c r="R143" s="55"/>
      <x:c r="S143" s="56"/>
      <x:c r="T143" s="55"/>
    </x:row>
    <x:row r="144" ht="28" customHeight="1">
      <x:c r="A144" s="55"/>
      <x:c r="B144" s="55"/>
      <x:c r="C144" s="55"/>
      <x:c r="D144" s="56"/>
      <x:c r="E144" s="55"/>
      <x:c r="F144" s="55"/>
      <x:c r="G144" s="55"/>
      <x:c r="H144" s="55"/>
      <x:c r="I144" s="55"/>
      <x:c r="J144" s="55"/>
      <x:c r="K144" s="55"/>
      <x:c r="L144" s="55"/>
      <x:c r="M144" s="56"/>
      <x:c r="N144" s="55"/>
      <x:c r="O144" s="55"/>
      <x:c r="P144" s="56"/>
      <x:c r="Q144" s="55"/>
      <x:c r="R144" s="55"/>
      <x:c r="S144" s="56"/>
      <x:c r="T144" s="55"/>
    </x:row>
    <x:row r="145" ht="28" customHeight="1">
      <x:c r="A145" s="55"/>
      <x:c r="B145" s="55"/>
      <x:c r="C145" s="55"/>
      <x:c r="D145" s="56"/>
      <x:c r="E145" s="55"/>
      <x:c r="F145" s="55"/>
      <x:c r="G145" s="55"/>
      <x:c r="H145" s="55"/>
      <x:c r="I145" s="55"/>
      <x:c r="J145" s="55"/>
      <x:c r="K145" s="55"/>
      <x:c r="L145" s="55"/>
      <x:c r="M145" s="56"/>
      <x:c r="N145" s="55"/>
      <x:c r="O145" s="55"/>
      <x:c r="P145" s="56"/>
      <x:c r="Q145" s="55"/>
      <x:c r="R145" s="55"/>
      <x:c r="S145" s="56"/>
      <x:c r="T145" s="55"/>
    </x:row>
    <x:row r="146" ht="28" customHeight="1">
      <x:c r="A146" s="55"/>
      <x:c r="B146" s="55"/>
      <x:c r="C146" s="55"/>
      <x:c r="D146" s="56"/>
      <x:c r="E146" s="55"/>
      <x:c r="F146" s="55"/>
      <x:c r="G146" s="55"/>
      <x:c r="H146" s="55"/>
      <x:c r="I146" s="55"/>
      <x:c r="J146" s="55"/>
      <x:c r="K146" s="55"/>
      <x:c r="L146" s="55"/>
      <x:c r="M146" s="56"/>
      <x:c r="N146" s="55"/>
      <x:c r="O146" s="55"/>
      <x:c r="P146" s="56"/>
      <x:c r="Q146" s="55"/>
      <x:c r="R146" s="55"/>
      <x:c r="S146" s="56"/>
      <x:c r="T146" s="55"/>
    </x:row>
    <x:row r="147" ht="28" customHeight="1">
      <x:c r="A147" s="55"/>
      <x:c r="B147" s="55"/>
      <x:c r="C147" s="55"/>
      <x:c r="D147" s="56"/>
      <x:c r="E147" s="55"/>
      <x:c r="F147" s="55"/>
      <x:c r="G147" s="55"/>
      <x:c r="H147" s="55"/>
      <x:c r="I147" s="55"/>
      <x:c r="J147" s="55"/>
      <x:c r="K147" s="55"/>
      <x:c r="L147" s="55"/>
      <x:c r="M147" s="56"/>
      <x:c r="N147" s="55"/>
      <x:c r="O147" s="55"/>
      <x:c r="P147" s="56"/>
      <x:c r="Q147" s="55"/>
      <x:c r="R147" s="55"/>
      <x:c r="S147" s="56"/>
      <x:c r="T147" s="55"/>
    </x:row>
    <x:row r="148" ht="28" customHeight="1">
      <x:c r="A148" s="55"/>
      <x:c r="B148" s="55"/>
      <x:c r="C148" s="55"/>
      <x:c r="D148" s="56"/>
      <x:c r="E148" s="55"/>
      <x:c r="F148" s="55"/>
      <x:c r="G148" s="55"/>
      <x:c r="H148" s="55"/>
      <x:c r="I148" s="55"/>
      <x:c r="J148" s="55"/>
      <x:c r="K148" s="55"/>
      <x:c r="L148" s="55"/>
      <x:c r="M148" s="56"/>
      <x:c r="N148" s="55"/>
      <x:c r="O148" s="55"/>
      <x:c r="P148" s="56"/>
      <x:c r="Q148" s="55"/>
      <x:c r="R148" s="55"/>
      <x:c r="S148" s="56"/>
      <x:c r="T148" s="55"/>
    </x:row>
    <x:row r="149" ht="28" customHeight="1">
      <x:c r="A149" s="55"/>
      <x:c r="B149" s="55"/>
      <x:c r="C149" s="55"/>
      <x:c r="D149" s="56"/>
      <x:c r="E149" s="55"/>
      <x:c r="F149" s="55"/>
      <x:c r="G149" s="55"/>
      <x:c r="H149" s="55"/>
      <x:c r="I149" s="55"/>
      <x:c r="J149" s="55"/>
      <x:c r="K149" s="55"/>
      <x:c r="L149" s="55"/>
      <x:c r="M149" s="56"/>
      <x:c r="N149" s="55"/>
      <x:c r="O149" s="55"/>
      <x:c r="P149" s="56"/>
      <x:c r="Q149" s="55"/>
      <x:c r="R149" s="55"/>
      <x:c r="S149" s="56"/>
      <x:c r="T149" s="55"/>
    </x:row>
    <x:row r="150" ht="28" customHeight="1">
      <x:c r="A150" s="55"/>
      <x:c r="B150" s="55"/>
      <x:c r="C150" s="55"/>
      <x:c r="D150" s="56"/>
      <x:c r="E150" s="55"/>
      <x:c r="F150" s="55"/>
      <x:c r="G150" s="55"/>
      <x:c r="H150" s="55"/>
      <x:c r="I150" s="55"/>
      <x:c r="J150" s="55"/>
      <x:c r="K150" s="55"/>
      <x:c r="L150" s="55"/>
      <x:c r="M150" s="56"/>
      <x:c r="N150" s="55"/>
      <x:c r="O150" s="55"/>
      <x:c r="P150" s="56"/>
      <x:c r="Q150" s="55"/>
      <x:c r="R150" s="55"/>
      <x:c r="S150" s="56"/>
      <x:c r="T150" s="55"/>
    </x:row>
    <x:row r="151" ht="28" customHeight="1">
      <x:c r="A151" s="55"/>
      <x:c r="B151" s="55"/>
      <x:c r="C151" s="55"/>
      <x:c r="D151" s="56"/>
      <x:c r="E151" s="55"/>
      <x:c r="F151" s="55"/>
      <x:c r="G151" s="55"/>
      <x:c r="H151" s="55"/>
      <x:c r="I151" s="55"/>
      <x:c r="J151" s="55"/>
      <x:c r="K151" s="55"/>
      <x:c r="L151" s="55"/>
      <x:c r="M151" s="56"/>
      <x:c r="N151" s="55"/>
      <x:c r="O151" s="55"/>
      <x:c r="P151" s="56"/>
      <x:c r="Q151" s="55"/>
      <x:c r="R151" s="55"/>
      <x:c r="S151" s="56"/>
      <x:c r="T151" s="55"/>
    </x:row>
    <x:row r="152" ht="28" customHeight="1">
      <x:c r="A152" s="55"/>
      <x:c r="B152" s="55"/>
      <x:c r="C152" s="55"/>
      <x:c r="D152" s="56"/>
      <x:c r="E152" s="55"/>
      <x:c r="F152" s="55"/>
      <x:c r="G152" s="55"/>
      <x:c r="H152" s="55"/>
      <x:c r="I152" s="55"/>
      <x:c r="J152" s="55"/>
      <x:c r="K152" s="55"/>
      <x:c r="L152" s="55"/>
      <x:c r="M152" s="56"/>
      <x:c r="N152" s="55"/>
      <x:c r="O152" s="55"/>
      <x:c r="P152" s="56"/>
      <x:c r="Q152" s="55"/>
      <x:c r="R152" s="55"/>
      <x:c r="S152" s="56"/>
      <x:c r="T152" s="55"/>
    </x:row>
    <x:row r="153" ht="28" customHeight="1">
      <x:c r="A153" s="55"/>
      <x:c r="B153" s="55"/>
      <x:c r="C153" s="55"/>
      <x:c r="D153" s="56"/>
      <x:c r="E153" s="55"/>
      <x:c r="F153" s="55"/>
      <x:c r="G153" s="55"/>
      <x:c r="H153" s="55"/>
      <x:c r="I153" s="55"/>
      <x:c r="J153" s="55"/>
      <x:c r="K153" s="55"/>
      <x:c r="L153" s="55"/>
      <x:c r="M153" s="56"/>
      <x:c r="N153" s="55"/>
      <x:c r="O153" s="55"/>
      <x:c r="P153" s="56"/>
      <x:c r="Q153" s="55"/>
      <x:c r="R153" s="55"/>
      <x:c r="S153" s="56"/>
      <x:c r="T153" s="55"/>
    </x:row>
    <x:row r="154" ht="28" customHeight="1">
      <x:c r="A154" s="55"/>
      <x:c r="B154" s="55"/>
      <x:c r="C154" s="55"/>
      <x:c r="D154" s="56"/>
      <x:c r="E154" s="55"/>
      <x:c r="F154" s="55"/>
      <x:c r="G154" s="55"/>
      <x:c r="H154" s="55"/>
      <x:c r="I154" s="55"/>
      <x:c r="J154" s="55"/>
      <x:c r="K154" s="55"/>
      <x:c r="L154" s="55"/>
      <x:c r="M154" s="56"/>
      <x:c r="N154" s="55"/>
      <x:c r="O154" s="55"/>
      <x:c r="P154" s="56"/>
      <x:c r="Q154" s="55"/>
      <x:c r="R154" s="55"/>
      <x:c r="S154" s="56"/>
      <x:c r="T154" s="55"/>
    </x:row>
    <x:row r="155" ht="28" customHeight="1">
      <x:c r="A155" s="55"/>
      <x:c r="B155" s="55"/>
      <x:c r="C155" s="55"/>
      <x:c r="D155" s="56"/>
      <x:c r="E155" s="55"/>
      <x:c r="F155" s="55"/>
      <x:c r="G155" s="55"/>
      <x:c r="H155" s="55"/>
      <x:c r="I155" s="55"/>
      <x:c r="J155" s="55"/>
      <x:c r="K155" s="55"/>
      <x:c r="L155" s="55"/>
      <x:c r="M155" s="56"/>
      <x:c r="N155" s="55"/>
      <x:c r="O155" s="55"/>
      <x:c r="P155" s="56"/>
      <x:c r="Q155" s="55"/>
      <x:c r="R155" s="55"/>
      <x:c r="S155" s="56"/>
      <x:c r="T155" s="55"/>
    </x:row>
    <x:row r="156" ht="28" customHeight="1">
      <x:c r="A156" s="55"/>
      <x:c r="B156" s="55"/>
      <x:c r="C156" s="55"/>
      <x:c r="D156" s="56"/>
      <x:c r="E156" s="55"/>
      <x:c r="F156" s="55"/>
      <x:c r="G156" s="55"/>
      <x:c r="H156" s="55"/>
      <x:c r="I156" s="55"/>
      <x:c r="J156" s="55"/>
      <x:c r="K156" s="55"/>
      <x:c r="L156" s="55"/>
      <x:c r="M156" s="56"/>
      <x:c r="N156" s="55"/>
      <x:c r="O156" s="55"/>
      <x:c r="P156" s="56"/>
      <x:c r="Q156" s="55"/>
      <x:c r="R156" s="55"/>
      <x:c r="S156" s="56"/>
      <x:c r="T156" s="55"/>
    </x:row>
    <x:row r="157" ht="28" customHeight="1">
      <x:c r="A157" s="55"/>
      <x:c r="B157" s="55"/>
      <x:c r="C157" s="55"/>
      <x:c r="D157" s="56"/>
      <x:c r="E157" s="55"/>
      <x:c r="F157" s="55"/>
      <x:c r="G157" s="55"/>
      <x:c r="H157" s="55"/>
      <x:c r="I157" s="55"/>
      <x:c r="J157" s="55"/>
      <x:c r="K157" s="55"/>
      <x:c r="L157" s="55"/>
      <x:c r="M157" s="56"/>
      <x:c r="N157" s="55"/>
      <x:c r="O157" s="55"/>
      <x:c r="P157" s="56"/>
      <x:c r="Q157" s="55"/>
      <x:c r="R157" s="55"/>
      <x:c r="S157" s="56"/>
      <x:c r="T157" s="55"/>
    </x:row>
    <x:row r="158" ht="28" customHeight="1">
      <x:c r="A158" s="55"/>
      <x:c r="B158" s="55"/>
      <x:c r="C158" s="55"/>
      <x:c r="D158" s="56"/>
      <x:c r="E158" s="55"/>
      <x:c r="F158" s="55"/>
      <x:c r="G158" s="55"/>
      <x:c r="H158" s="55"/>
      <x:c r="I158" s="55"/>
      <x:c r="J158" s="55"/>
      <x:c r="K158" s="55"/>
      <x:c r="L158" s="55"/>
      <x:c r="M158" s="56"/>
      <x:c r="N158" s="55"/>
      <x:c r="O158" s="55"/>
      <x:c r="P158" s="56"/>
      <x:c r="Q158" s="55"/>
      <x:c r="R158" s="55"/>
      <x:c r="S158" s="56"/>
      <x:c r="T158" s="55"/>
    </x:row>
    <x:row r="159" ht="28" customHeight="1">
      <x:c r="A159" s="55"/>
      <x:c r="B159" s="55"/>
      <x:c r="C159" s="55"/>
      <x:c r="D159" s="56"/>
      <x:c r="E159" s="55"/>
      <x:c r="F159" s="55"/>
      <x:c r="G159" s="55"/>
      <x:c r="H159" s="55"/>
      <x:c r="I159" s="55"/>
      <x:c r="J159" s="55"/>
      <x:c r="K159" s="55"/>
      <x:c r="L159" s="55"/>
      <x:c r="M159" s="56"/>
      <x:c r="N159" s="55"/>
      <x:c r="O159" s="55"/>
      <x:c r="P159" s="56"/>
      <x:c r="Q159" s="55"/>
      <x:c r="R159" s="55"/>
      <x:c r="S159" s="56"/>
      <x:c r="T159" s="55"/>
    </x:row>
    <x:row r="160" ht="28" customHeight="1">
      <x:c r="A160" s="55"/>
      <x:c r="B160" s="55"/>
      <x:c r="C160" s="55"/>
      <x:c r="D160" s="56"/>
      <x:c r="E160" s="55"/>
      <x:c r="F160" s="55"/>
      <x:c r="G160" s="55"/>
      <x:c r="H160" s="55"/>
      <x:c r="I160" s="55"/>
      <x:c r="J160" s="55"/>
      <x:c r="K160" s="55"/>
      <x:c r="L160" s="55"/>
      <x:c r="M160" s="56"/>
      <x:c r="N160" s="55"/>
      <x:c r="O160" s="55"/>
      <x:c r="P160" s="56"/>
      <x:c r="Q160" s="55"/>
      <x:c r="R160" s="55"/>
      <x:c r="S160" s="56"/>
      <x:c r="T160" s="55"/>
    </x:row>
    <x:row r="161" ht="28" customHeight="1">
      <x:c r="A161" s="55"/>
      <x:c r="B161" s="55"/>
      <x:c r="C161" s="55"/>
      <x:c r="D161" s="56"/>
      <x:c r="E161" s="55"/>
      <x:c r="F161" s="55"/>
      <x:c r="G161" s="55"/>
      <x:c r="H161" s="55"/>
      <x:c r="I161" s="55"/>
      <x:c r="J161" s="55"/>
      <x:c r="K161" s="55"/>
      <x:c r="L161" s="55"/>
      <x:c r="M161" s="56"/>
      <x:c r="N161" s="55"/>
      <x:c r="O161" s="55"/>
      <x:c r="P161" s="56"/>
      <x:c r="Q161" s="55"/>
      <x:c r="R161" s="55"/>
      <x:c r="S161" s="56"/>
      <x:c r="T161" s="55"/>
    </x:row>
    <x:row r="162" ht="28" customHeight="1">
      <x:c r="A162" s="55"/>
      <x:c r="B162" s="55"/>
      <x:c r="C162" s="55"/>
      <x:c r="D162" s="56"/>
      <x:c r="E162" s="55"/>
      <x:c r="F162" s="55"/>
      <x:c r="G162" s="55"/>
      <x:c r="H162" s="55"/>
      <x:c r="I162" s="55"/>
      <x:c r="J162" s="55"/>
      <x:c r="K162" s="55"/>
      <x:c r="L162" s="55"/>
      <x:c r="M162" s="56"/>
      <x:c r="N162" s="55"/>
      <x:c r="O162" s="55"/>
      <x:c r="P162" s="56"/>
      <x:c r="Q162" s="55"/>
      <x:c r="R162" s="55"/>
      <x:c r="S162" s="56"/>
      <x:c r="T162" s="55"/>
    </x:row>
    <x:row r="163" ht="28" customHeight="1">
      <x:c r="A163" s="55"/>
      <x:c r="B163" s="55"/>
      <x:c r="C163" s="55"/>
      <x:c r="D163" s="56"/>
      <x:c r="E163" s="55"/>
      <x:c r="F163" s="55"/>
      <x:c r="G163" s="55"/>
      <x:c r="H163" s="55"/>
      <x:c r="I163" s="55"/>
      <x:c r="J163" s="55"/>
      <x:c r="K163" s="55"/>
      <x:c r="L163" s="55"/>
      <x:c r="M163" s="56"/>
      <x:c r="N163" s="55"/>
      <x:c r="O163" s="55"/>
      <x:c r="P163" s="56"/>
      <x:c r="Q163" s="55"/>
      <x:c r="R163" s="55"/>
      <x:c r="S163" s="56"/>
      <x:c r="T163" s="55"/>
    </x:row>
    <x:row r="164" ht="28" customHeight="1">
      <x:c r="A164" s="55"/>
      <x:c r="B164" s="55"/>
      <x:c r="C164" s="55"/>
      <x:c r="D164" s="56"/>
      <x:c r="E164" s="55"/>
      <x:c r="F164" s="55"/>
      <x:c r="G164" s="55"/>
      <x:c r="H164" s="55"/>
      <x:c r="I164" s="55"/>
      <x:c r="J164" s="55"/>
      <x:c r="K164" s="55"/>
      <x:c r="L164" s="55"/>
      <x:c r="M164" s="56"/>
      <x:c r="N164" s="55"/>
      <x:c r="O164" s="55"/>
      <x:c r="P164" s="56"/>
      <x:c r="Q164" s="55"/>
      <x:c r="R164" s="55"/>
      <x:c r="S164" s="56"/>
      <x:c r="T164" s="55"/>
    </x:row>
    <x:row r="165" ht="28" customHeight="1">
      <x:c r="A165" s="55"/>
      <x:c r="B165" s="55"/>
      <x:c r="C165" s="55"/>
      <x:c r="D165" s="56"/>
      <x:c r="E165" s="55"/>
      <x:c r="F165" s="55"/>
      <x:c r="G165" s="55"/>
      <x:c r="H165" s="55"/>
      <x:c r="I165" s="55"/>
      <x:c r="J165" s="55"/>
      <x:c r="K165" s="55"/>
      <x:c r="L165" s="55"/>
      <x:c r="M165" s="56"/>
      <x:c r="N165" s="55"/>
      <x:c r="O165" s="55"/>
      <x:c r="P165" s="56"/>
      <x:c r="Q165" s="55"/>
      <x:c r="R165" s="55"/>
      <x:c r="S165" s="56"/>
      <x:c r="T165" s="55"/>
    </x:row>
    <x:row r="166" ht="28" customHeight="1">
      <x:c r="A166" s="55"/>
      <x:c r="B166" s="55"/>
      <x:c r="C166" s="55"/>
      <x:c r="D166" s="56"/>
      <x:c r="E166" s="55"/>
      <x:c r="F166" s="55"/>
      <x:c r="G166" s="55"/>
      <x:c r="H166" s="55"/>
      <x:c r="I166" s="55"/>
      <x:c r="J166" s="55"/>
      <x:c r="K166" s="55"/>
      <x:c r="L166" s="55"/>
      <x:c r="M166" s="56"/>
      <x:c r="N166" s="55"/>
      <x:c r="O166" s="55"/>
      <x:c r="P166" s="56"/>
      <x:c r="Q166" s="55"/>
      <x:c r="R166" s="55"/>
      <x:c r="S166" s="56"/>
      <x:c r="T166" s="55"/>
    </x:row>
    <x:row r="167" ht="28" customHeight="1">
      <x:c r="A167" s="55"/>
      <x:c r="B167" s="55"/>
      <x:c r="C167" s="55"/>
      <x:c r="D167" s="56"/>
      <x:c r="E167" s="55"/>
      <x:c r="F167" s="55"/>
      <x:c r="G167" s="55"/>
      <x:c r="H167" s="55"/>
      <x:c r="I167" s="55"/>
      <x:c r="J167" s="55"/>
      <x:c r="K167" s="55"/>
      <x:c r="L167" s="55"/>
      <x:c r="M167" s="56"/>
      <x:c r="N167" s="55"/>
      <x:c r="O167" s="55"/>
      <x:c r="P167" s="56"/>
      <x:c r="Q167" s="55"/>
      <x:c r="R167" s="55"/>
      <x:c r="S167" s="56"/>
      <x:c r="T167" s="55"/>
    </x:row>
    <x:row r="168" ht="28" customHeight="1">
      <x:c r="A168" s="55"/>
      <x:c r="B168" s="55"/>
      <x:c r="C168" s="55"/>
      <x:c r="D168" s="56"/>
      <x:c r="E168" s="55"/>
      <x:c r="F168" s="55"/>
      <x:c r="G168" s="55"/>
      <x:c r="H168" s="55"/>
      <x:c r="I168" s="55"/>
      <x:c r="J168" s="55"/>
      <x:c r="K168" s="55"/>
      <x:c r="L168" s="55"/>
      <x:c r="M168" s="56"/>
      <x:c r="N168" s="55"/>
      <x:c r="O168" s="55"/>
      <x:c r="P168" s="56"/>
      <x:c r="Q168" s="55"/>
      <x:c r="R168" s="55"/>
      <x:c r="S168" s="56"/>
      <x:c r="T168" s="55"/>
    </x:row>
    <x:row r="169" ht="28" customHeight="1">
      <x:c r="A169" s="55"/>
      <x:c r="B169" s="55"/>
      <x:c r="C169" s="55"/>
      <x:c r="D169" s="56"/>
      <x:c r="E169" s="55"/>
      <x:c r="F169" s="55"/>
      <x:c r="G169" s="55"/>
      <x:c r="H169" s="55"/>
      <x:c r="I169" s="55"/>
      <x:c r="J169" s="55"/>
      <x:c r="K169" s="55"/>
      <x:c r="L169" s="55"/>
      <x:c r="M169" s="56"/>
      <x:c r="N169" s="55"/>
      <x:c r="O169" s="55"/>
      <x:c r="P169" s="56"/>
      <x:c r="Q169" s="55"/>
      <x:c r="R169" s="55"/>
      <x:c r="S169" s="56"/>
      <x:c r="T169" s="55"/>
    </x:row>
    <x:row r="170" ht="28" customHeight="1">
      <x:c r="A170" s="55"/>
      <x:c r="B170" s="55"/>
      <x:c r="C170" s="55"/>
      <x:c r="D170" s="56"/>
      <x:c r="E170" s="55"/>
      <x:c r="F170" s="55"/>
      <x:c r="G170" s="55"/>
      <x:c r="H170" s="55"/>
      <x:c r="I170" s="55"/>
      <x:c r="J170" s="55"/>
      <x:c r="K170" s="55"/>
      <x:c r="L170" s="55"/>
      <x:c r="M170" s="56"/>
      <x:c r="N170" s="55"/>
      <x:c r="O170" s="55"/>
      <x:c r="P170" s="56"/>
      <x:c r="Q170" s="55"/>
      <x:c r="R170" s="55"/>
      <x:c r="S170" s="56"/>
      <x:c r="T170" s="55"/>
    </x:row>
    <x:row r="171" ht="28" customHeight="1">
      <x:c r="A171" s="55"/>
      <x:c r="B171" s="55"/>
      <x:c r="C171" s="55"/>
      <x:c r="D171" s="56"/>
      <x:c r="E171" s="55"/>
      <x:c r="F171" s="55"/>
      <x:c r="G171" s="55"/>
      <x:c r="H171" s="55"/>
      <x:c r="I171" s="55"/>
      <x:c r="J171" s="55"/>
      <x:c r="K171" s="55"/>
      <x:c r="L171" s="55"/>
      <x:c r="M171" s="56"/>
      <x:c r="N171" s="55"/>
      <x:c r="O171" s="55"/>
      <x:c r="P171" s="56"/>
      <x:c r="Q171" s="55"/>
      <x:c r="R171" s="55"/>
      <x:c r="S171" s="56"/>
      <x:c r="T171" s="55"/>
    </x:row>
    <x:row r="172" ht="28" customHeight="1">
      <x:c r="A172" s="55"/>
      <x:c r="B172" s="55"/>
      <x:c r="C172" s="55"/>
      <x:c r="D172" s="56"/>
      <x:c r="E172" s="55"/>
      <x:c r="F172" s="55"/>
      <x:c r="G172" s="55"/>
      <x:c r="H172" s="55"/>
      <x:c r="I172" s="55"/>
      <x:c r="J172" s="55"/>
      <x:c r="K172" s="55"/>
      <x:c r="L172" s="55"/>
      <x:c r="M172" s="56"/>
      <x:c r="N172" s="55"/>
      <x:c r="O172" s="55"/>
      <x:c r="P172" s="56"/>
      <x:c r="Q172" s="55"/>
      <x:c r="R172" s="55"/>
      <x:c r="S172" s="56"/>
      <x:c r="T172" s="55"/>
    </x:row>
    <x:row r="173" ht="28" customHeight="1">
      <x:c r="A173" s="55"/>
      <x:c r="B173" s="55"/>
      <x:c r="C173" s="55"/>
      <x:c r="D173" s="56"/>
      <x:c r="E173" s="55"/>
      <x:c r="F173" s="55"/>
      <x:c r="G173" s="55"/>
      <x:c r="H173" s="55"/>
      <x:c r="I173" s="55"/>
      <x:c r="J173" s="55"/>
      <x:c r="K173" s="55"/>
      <x:c r="L173" s="55"/>
      <x:c r="M173" s="56"/>
      <x:c r="N173" s="55"/>
      <x:c r="O173" s="55"/>
      <x:c r="P173" s="56"/>
      <x:c r="Q173" s="55"/>
      <x:c r="R173" s="55"/>
      <x:c r="S173" s="56"/>
      <x:c r="T173" s="55"/>
    </x:row>
    <x:row r="174" ht="28" customHeight="1">
      <x:c r="A174" s="55"/>
      <x:c r="B174" s="55"/>
      <x:c r="C174" s="55"/>
      <x:c r="D174" s="56"/>
      <x:c r="E174" s="55"/>
      <x:c r="F174" s="55"/>
      <x:c r="G174" s="55"/>
      <x:c r="H174" s="55"/>
      <x:c r="I174" s="55"/>
      <x:c r="J174" s="55"/>
      <x:c r="K174" s="55"/>
      <x:c r="L174" s="55"/>
      <x:c r="M174" s="56"/>
      <x:c r="N174" s="55"/>
      <x:c r="O174" s="55"/>
      <x:c r="P174" s="56"/>
      <x:c r="Q174" s="55"/>
      <x:c r="R174" s="55"/>
      <x:c r="S174" s="56"/>
      <x:c r="T174" s="55"/>
    </x:row>
    <x:row r="175" ht="28" customHeight="1">
      <x:c r="A175" s="55"/>
      <x:c r="B175" s="55"/>
      <x:c r="C175" s="55"/>
      <x:c r="D175" s="56"/>
      <x:c r="E175" s="55"/>
      <x:c r="F175" s="55"/>
      <x:c r="G175" s="55"/>
      <x:c r="H175" s="55"/>
      <x:c r="I175" s="55"/>
      <x:c r="J175" s="55"/>
      <x:c r="K175" s="55"/>
      <x:c r="L175" s="55"/>
      <x:c r="M175" s="56"/>
      <x:c r="N175" s="55"/>
      <x:c r="O175" s="55"/>
      <x:c r="P175" s="56"/>
      <x:c r="Q175" s="55"/>
      <x:c r="R175" s="55"/>
      <x:c r="S175" s="56"/>
      <x:c r="T175" s="55"/>
    </x:row>
    <x:row r="176" ht="28" customHeight="1">
      <x:c r="A176" s="55"/>
      <x:c r="B176" s="55"/>
      <x:c r="C176" s="55"/>
      <x:c r="D176" s="56"/>
      <x:c r="E176" s="55"/>
      <x:c r="F176" s="55"/>
      <x:c r="G176" s="55"/>
      <x:c r="H176" s="55"/>
      <x:c r="I176" s="55"/>
      <x:c r="J176" s="55"/>
      <x:c r="K176" s="55"/>
      <x:c r="L176" s="55"/>
      <x:c r="M176" s="56"/>
      <x:c r="N176" s="55"/>
      <x:c r="O176" s="55"/>
      <x:c r="P176" s="56"/>
      <x:c r="Q176" s="55"/>
      <x:c r="R176" s="55"/>
      <x:c r="S176" s="56"/>
      <x:c r="T176" s="55"/>
    </x:row>
    <x:row r="177" ht="28" customHeight="1">
      <x:c r="A177" s="55"/>
      <x:c r="B177" s="55"/>
      <x:c r="C177" s="55"/>
      <x:c r="D177" s="56"/>
      <x:c r="E177" s="55"/>
      <x:c r="F177" s="55"/>
      <x:c r="G177" s="55"/>
      <x:c r="H177" s="55"/>
      <x:c r="I177" s="55"/>
      <x:c r="J177" s="55"/>
      <x:c r="K177" s="55"/>
      <x:c r="L177" s="55"/>
      <x:c r="M177" s="56"/>
      <x:c r="N177" s="55"/>
      <x:c r="O177" s="55"/>
      <x:c r="P177" s="56"/>
      <x:c r="Q177" s="55"/>
      <x:c r="R177" s="55"/>
      <x:c r="S177" s="56"/>
      <x:c r="T177" s="55"/>
    </x:row>
    <x:row r="178" ht="28" customHeight="1">
      <x:c r="A178" s="55"/>
      <x:c r="B178" s="55"/>
      <x:c r="C178" s="55"/>
      <x:c r="D178" s="56"/>
      <x:c r="E178" s="55"/>
      <x:c r="F178" s="55"/>
      <x:c r="G178" s="55"/>
      <x:c r="H178" s="55"/>
      <x:c r="I178" s="55"/>
      <x:c r="J178" s="55"/>
      <x:c r="K178" s="55"/>
      <x:c r="L178" s="55"/>
      <x:c r="M178" s="56"/>
      <x:c r="N178" s="55"/>
      <x:c r="O178" s="55"/>
      <x:c r="P178" s="56"/>
      <x:c r="Q178" s="55"/>
      <x:c r="R178" s="55"/>
      <x:c r="S178" s="56"/>
      <x:c r="T178" s="55"/>
    </x:row>
    <x:row r="179" ht="28" customHeight="1">
      <x:c r="A179" s="55"/>
      <x:c r="B179" s="55"/>
      <x:c r="C179" s="55"/>
      <x:c r="D179" s="56"/>
      <x:c r="E179" s="55"/>
      <x:c r="F179" s="55"/>
      <x:c r="G179" s="55"/>
      <x:c r="H179" s="55"/>
      <x:c r="I179" s="55"/>
      <x:c r="J179" s="55"/>
      <x:c r="K179" s="55"/>
      <x:c r="L179" s="55"/>
      <x:c r="M179" s="56"/>
      <x:c r="N179" s="55"/>
      <x:c r="O179" s="55"/>
      <x:c r="P179" s="56"/>
      <x:c r="Q179" s="55"/>
      <x:c r="R179" s="55"/>
      <x:c r="S179" s="56"/>
      <x:c r="T179" s="55"/>
    </x:row>
    <x:row r="180" ht="28" customHeight="1">
      <x:c r="A180" s="55"/>
      <x:c r="B180" s="55"/>
      <x:c r="C180" s="55"/>
      <x:c r="D180" s="56"/>
      <x:c r="E180" s="55"/>
      <x:c r="F180" s="55"/>
      <x:c r="G180" s="55"/>
      <x:c r="H180" s="55"/>
      <x:c r="I180" s="55"/>
      <x:c r="J180" s="55"/>
      <x:c r="K180" s="55"/>
      <x:c r="L180" s="55"/>
      <x:c r="M180" s="56"/>
      <x:c r="N180" s="55"/>
      <x:c r="O180" s="55"/>
      <x:c r="P180" s="56"/>
      <x:c r="Q180" s="55"/>
      <x:c r="R180" s="55"/>
      <x:c r="S180" s="56"/>
      <x:c r="T180" s="55"/>
    </x:row>
    <x:row r="181" ht="28" customHeight="1">
      <x:c r="A181" s="55"/>
      <x:c r="B181" s="55"/>
      <x:c r="C181" s="55"/>
      <x:c r="D181" s="56"/>
      <x:c r="E181" s="55"/>
      <x:c r="F181" s="55"/>
      <x:c r="G181" s="55"/>
      <x:c r="H181" s="55"/>
      <x:c r="I181" s="55"/>
      <x:c r="J181" s="55"/>
      <x:c r="K181" s="55"/>
      <x:c r="L181" s="55"/>
      <x:c r="M181" s="56"/>
      <x:c r="N181" s="55"/>
      <x:c r="O181" s="55"/>
      <x:c r="P181" s="56"/>
      <x:c r="Q181" s="55"/>
      <x:c r="R181" s="55"/>
      <x:c r="S181" s="56"/>
      <x:c r="T181" s="55"/>
    </x:row>
    <x:row r="182" ht="28" customHeight="1">
      <x:c r="A182" s="55"/>
      <x:c r="B182" s="55"/>
      <x:c r="C182" s="55"/>
      <x:c r="D182" s="56"/>
      <x:c r="E182" s="55"/>
      <x:c r="F182" s="55"/>
      <x:c r="G182" s="55"/>
      <x:c r="H182" s="55"/>
      <x:c r="I182" s="55"/>
      <x:c r="J182" s="55"/>
      <x:c r="K182" s="55"/>
      <x:c r="L182" s="55"/>
      <x:c r="M182" s="56"/>
      <x:c r="N182" s="55"/>
      <x:c r="O182" s="55"/>
      <x:c r="P182" s="56"/>
      <x:c r="Q182" s="55"/>
      <x:c r="R182" s="55"/>
      <x:c r="S182" s="56"/>
      <x:c r="T182" s="55"/>
    </x:row>
    <x:row r="183" ht="28" customHeight="1">
      <x:c r="A183" s="55"/>
      <x:c r="B183" s="55"/>
      <x:c r="C183" s="55"/>
      <x:c r="D183" s="56"/>
      <x:c r="E183" s="55"/>
      <x:c r="F183" s="55"/>
      <x:c r="G183" s="55"/>
      <x:c r="H183" s="55"/>
      <x:c r="I183" s="55"/>
      <x:c r="J183" s="55"/>
      <x:c r="K183" s="55"/>
      <x:c r="L183" s="55"/>
      <x:c r="M183" s="56"/>
      <x:c r="N183" s="55"/>
      <x:c r="O183" s="55"/>
      <x:c r="P183" s="56"/>
      <x:c r="Q183" s="55"/>
      <x:c r="R183" s="55"/>
      <x:c r="S183" s="56"/>
      <x:c r="T183" s="55"/>
    </x:row>
    <x:row r="184" ht="28" customHeight="1">
      <x:c r="A184" s="55"/>
      <x:c r="B184" s="55"/>
      <x:c r="C184" s="55"/>
      <x:c r="D184" s="56"/>
      <x:c r="E184" s="55"/>
      <x:c r="F184" s="55"/>
      <x:c r="G184" s="55"/>
      <x:c r="H184" s="55"/>
      <x:c r="I184" s="55"/>
      <x:c r="J184" s="55"/>
      <x:c r="K184" s="55"/>
      <x:c r="L184" s="55"/>
      <x:c r="M184" s="56"/>
      <x:c r="N184" s="55"/>
      <x:c r="O184" s="55"/>
      <x:c r="P184" s="56"/>
      <x:c r="Q184" s="55"/>
      <x:c r="R184" s="55"/>
      <x:c r="S184" s="56"/>
      <x:c r="T184" s="55"/>
    </x:row>
    <x:row r="185" ht="28" customHeight="1">
      <x:c r="A185" s="55"/>
      <x:c r="B185" s="55"/>
      <x:c r="C185" s="55"/>
      <x:c r="D185" s="56"/>
      <x:c r="E185" s="55"/>
      <x:c r="F185" s="55"/>
      <x:c r="G185" s="55"/>
      <x:c r="H185" s="55"/>
      <x:c r="I185" s="55"/>
      <x:c r="J185" s="55"/>
      <x:c r="K185" s="55"/>
      <x:c r="L185" s="55"/>
      <x:c r="M185" s="56"/>
      <x:c r="N185" s="55"/>
      <x:c r="O185" s="55"/>
      <x:c r="P185" s="56"/>
      <x:c r="Q185" s="55"/>
      <x:c r="R185" s="55"/>
      <x:c r="S185" s="56"/>
      <x:c r="T185" s="55"/>
    </x:row>
    <x:row r="186" ht="28" customHeight="1">
      <x:c r="A186" s="55"/>
      <x:c r="B186" s="55"/>
      <x:c r="C186" s="55"/>
      <x:c r="D186" s="56"/>
      <x:c r="E186" s="55"/>
      <x:c r="F186" s="55"/>
      <x:c r="G186" s="55"/>
      <x:c r="H186" s="55"/>
      <x:c r="I186" s="55"/>
      <x:c r="J186" s="55"/>
      <x:c r="K186" s="55"/>
      <x:c r="L186" s="55"/>
      <x:c r="M186" s="56"/>
      <x:c r="N186" s="55"/>
      <x:c r="O186" s="55"/>
      <x:c r="P186" s="56"/>
      <x:c r="Q186" s="55"/>
      <x:c r="R186" s="55"/>
      <x:c r="S186" s="56"/>
      <x:c r="T186" s="55"/>
    </x:row>
    <x:row r="187" ht="28" customHeight="1">
      <x:c r="A187" s="55"/>
      <x:c r="B187" s="55"/>
      <x:c r="C187" s="55"/>
      <x:c r="D187" s="56"/>
      <x:c r="E187" s="55"/>
      <x:c r="F187" s="55"/>
      <x:c r="G187" s="55"/>
      <x:c r="H187" s="55"/>
      <x:c r="I187" s="55"/>
      <x:c r="J187" s="55"/>
      <x:c r="K187" s="55"/>
      <x:c r="L187" s="55"/>
      <x:c r="M187" s="56"/>
      <x:c r="N187" s="55"/>
      <x:c r="O187" s="55"/>
      <x:c r="P187" s="56"/>
      <x:c r="Q187" s="55"/>
      <x:c r="R187" s="55"/>
      <x:c r="S187" s="56"/>
      <x:c r="T187" s="55"/>
    </x:row>
    <x:row r="188" ht="28" customHeight="1">
      <x:c r="A188" s="55"/>
      <x:c r="B188" s="55"/>
      <x:c r="C188" s="55"/>
      <x:c r="D188" s="56"/>
      <x:c r="E188" s="55"/>
      <x:c r="F188" s="55"/>
      <x:c r="G188" s="55"/>
      <x:c r="H188" s="55"/>
      <x:c r="I188" s="55"/>
      <x:c r="J188" s="55"/>
      <x:c r="K188" s="55"/>
      <x:c r="L188" s="55"/>
      <x:c r="M188" s="56"/>
      <x:c r="N188" s="55"/>
      <x:c r="O188" s="55"/>
      <x:c r="P188" s="56"/>
      <x:c r="Q188" s="55"/>
      <x:c r="R188" s="55"/>
      <x:c r="S188" s="56"/>
      <x:c r="T188" s="55"/>
    </x:row>
    <x:row r="189" ht="28" customHeight="1">
      <x:c r="A189" s="55"/>
      <x:c r="B189" s="55"/>
      <x:c r="C189" s="55"/>
      <x:c r="D189" s="56"/>
      <x:c r="E189" s="55"/>
      <x:c r="F189" s="55"/>
      <x:c r="G189" s="55"/>
      <x:c r="H189" s="55"/>
      <x:c r="I189" s="55"/>
      <x:c r="J189" s="55"/>
      <x:c r="K189" s="55"/>
      <x:c r="L189" s="55"/>
      <x:c r="M189" s="56"/>
      <x:c r="N189" s="55"/>
      <x:c r="O189" s="55"/>
      <x:c r="P189" s="56"/>
      <x:c r="Q189" s="55"/>
      <x:c r="R189" s="55"/>
      <x:c r="S189" s="56"/>
      <x:c r="T189" s="55"/>
    </x:row>
    <x:row r="190" ht="28" customHeight="1">
      <x:c r="A190" s="55"/>
      <x:c r="B190" s="55"/>
      <x:c r="C190" s="55"/>
      <x:c r="D190" s="56"/>
      <x:c r="E190" s="55"/>
      <x:c r="F190" s="55"/>
      <x:c r="G190" s="55"/>
      <x:c r="H190" s="55"/>
      <x:c r="I190" s="55"/>
      <x:c r="J190" s="55"/>
      <x:c r="K190" s="55"/>
      <x:c r="L190" s="55"/>
      <x:c r="M190" s="56"/>
      <x:c r="N190" s="55"/>
      <x:c r="O190" s="55"/>
      <x:c r="P190" s="56"/>
      <x:c r="Q190" s="55"/>
      <x:c r="R190" s="55"/>
      <x:c r="S190" s="56"/>
      <x:c r="T190" s="55"/>
    </x:row>
    <x:row r="191" ht="28" customHeight="1">
      <x:c r="A191" s="55"/>
      <x:c r="B191" s="55"/>
      <x:c r="C191" s="55"/>
      <x:c r="D191" s="56"/>
      <x:c r="E191" s="55"/>
      <x:c r="F191" s="55"/>
      <x:c r="G191" s="55"/>
      <x:c r="H191" s="55"/>
      <x:c r="I191" s="55"/>
      <x:c r="J191" s="55"/>
      <x:c r="K191" s="55"/>
      <x:c r="L191" s="55"/>
      <x:c r="M191" s="56"/>
      <x:c r="N191" s="55"/>
      <x:c r="O191" s="55"/>
      <x:c r="P191" s="56"/>
      <x:c r="Q191" s="55"/>
      <x:c r="R191" s="55"/>
      <x:c r="S191" s="56"/>
      <x:c r="T191" s="55"/>
    </x:row>
    <x:row r="192" ht="28" customHeight="1">
      <x:c r="A192" s="55"/>
      <x:c r="B192" s="55"/>
      <x:c r="C192" s="55"/>
      <x:c r="D192" s="56"/>
      <x:c r="E192" s="55"/>
      <x:c r="F192" s="55"/>
      <x:c r="G192" s="55"/>
      <x:c r="H192" s="55"/>
      <x:c r="I192" s="55"/>
      <x:c r="J192" s="55"/>
      <x:c r="K192" s="55"/>
      <x:c r="L192" s="55"/>
      <x:c r="M192" s="56"/>
      <x:c r="N192" s="55"/>
      <x:c r="O192" s="55"/>
      <x:c r="P192" s="56"/>
      <x:c r="Q192" s="55"/>
      <x:c r="R192" s="55"/>
      <x:c r="S192" s="56"/>
      <x:c r="T192" s="55"/>
    </x:row>
    <x:row r="193" ht="28" customHeight="1">
      <x:c r="A193" s="55"/>
      <x:c r="B193" s="55"/>
      <x:c r="C193" s="55"/>
      <x:c r="D193" s="56"/>
      <x:c r="E193" s="55"/>
      <x:c r="F193" s="55"/>
      <x:c r="G193" s="55"/>
      <x:c r="H193" s="55"/>
      <x:c r="I193" s="55"/>
      <x:c r="J193" s="55"/>
      <x:c r="K193" s="55"/>
      <x:c r="L193" s="55"/>
      <x:c r="M193" s="56"/>
      <x:c r="N193" s="55"/>
      <x:c r="O193" s="55"/>
      <x:c r="P193" s="56"/>
      <x:c r="Q193" s="55"/>
      <x:c r="R193" s="55"/>
      <x:c r="S193" s="56"/>
      <x:c r="T193" s="55"/>
    </x:row>
    <x:row r="194" ht="28" customHeight="1">
      <x:c r="A194" s="55"/>
      <x:c r="B194" s="55"/>
      <x:c r="C194" s="55"/>
      <x:c r="D194" s="56"/>
      <x:c r="E194" s="55"/>
      <x:c r="F194" s="55"/>
      <x:c r="G194" s="55"/>
      <x:c r="H194" s="55"/>
      <x:c r="I194" s="55"/>
      <x:c r="J194" s="55"/>
      <x:c r="K194" s="55"/>
      <x:c r="L194" s="55"/>
      <x:c r="M194" s="56"/>
      <x:c r="N194" s="55"/>
      <x:c r="O194" s="55"/>
      <x:c r="P194" s="56"/>
      <x:c r="Q194" s="55"/>
      <x:c r="R194" s="55"/>
      <x:c r="S194" s="56"/>
      <x:c r="T194" s="55"/>
    </x:row>
    <x:row r="195" ht="28" customHeight="1">
      <x:c r="A195" s="55"/>
      <x:c r="B195" s="55"/>
      <x:c r="C195" s="55"/>
      <x:c r="D195" s="56"/>
      <x:c r="E195" s="55"/>
      <x:c r="F195" s="55"/>
      <x:c r="G195" s="55"/>
      <x:c r="H195" s="55"/>
      <x:c r="I195" s="55"/>
      <x:c r="J195" s="55"/>
      <x:c r="K195" s="55"/>
      <x:c r="L195" s="55"/>
      <x:c r="M195" s="56"/>
      <x:c r="N195" s="55"/>
      <x:c r="O195" s="55"/>
      <x:c r="P195" s="56"/>
      <x:c r="Q195" s="55"/>
      <x:c r="R195" s="55"/>
      <x:c r="S195" s="56"/>
      <x:c r="T195" s="55"/>
    </x:row>
    <x:row r="196" ht="28" customHeight="1">
      <x:c r="A196" s="55"/>
      <x:c r="B196" s="55"/>
      <x:c r="C196" s="55"/>
      <x:c r="D196" s="56"/>
      <x:c r="E196" s="55"/>
      <x:c r="F196" s="55"/>
      <x:c r="G196" s="55"/>
      <x:c r="H196" s="55"/>
      <x:c r="I196" s="55"/>
      <x:c r="J196" s="55"/>
      <x:c r="K196" s="55"/>
      <x:c r="L196" s="55"/>
      <x:c r="M196" s="56"/>
      <x:c r="N196" s="55"/>
      <x:c r="O196" s="55"/>
      <x:c r="P196" s="56"/>
      <x:c r="Q196" s="55"/>
      <x:c r="R196" s="55"/>
      <x:c r="S196" s="56"/>
      <x:c r="T196" s="55"/>
    </x:row>
    <x:row r="197" ht="28" customHeight="1">
      <x:c r="A197" s="55"/>
      <x:c r="B197" s="55"/>
      <x:c r="C197" s="55"/>
      <x:c r="D197" s="56"/>
      <x:c r="E197" s="55"/>
      <x:c r="F197" s="55"/>
      <x:c r="G197" s="55"/>
      <x:c r="H197" s="55"/>
      <x:c r="I197" s="55"/>
      <x:c r="J197" s="55"/>
      <x:c r="K197" s="55"/>
      <x:c r="L197" s="55"/>
      <x:c r="M197" s="56"/>
      <x:c r="N197" s="55"/>
      <x:c r="O197" s="55"/>
      <x:c r="P197" s="56"/>
      <x:c r="Q197" s="55"/>
      <x:c r="R197" s="55"/>
      <x:c r="S197" s="56"/>
      <x:c r="T197" s="55"/>
    </x:row>
    <x:row r="198" ht="28" customHeight="1">
      <x:c r="A198" s="55"/>
      <x:c r="B198" s="55"/>
      <x:c r="C198" s="55"/>
      <x:c r="D198" s="56"/>
      <x:c r="E198" s="55"/>
      <x:c r="F198" s="55"/>
      <x:c r="G198" s="55"/>
      <x:c r="H198" s="55"/>
      <x:c r="I198" s="55"/>
      <x:c r="J198" s="55"/>
      <x:c r="K198" s="55"/>
      <x:c r="L198" s="55"/>
      <x:c r="M198" s="56"/>
      <x:c r="N198" s="55"/>
      <x:c r="O198" s="55"/>
      <x:c r="P198" s="56"/>
      <x:c r="Q198" s="55"/>
      <x:c r="R198" s="55"/>
      <x:c r="S198" s="56"/>
      <x:c r="T198" s="55"/>
    </x:row>
    <x:row r="199" ht="28" customHeight="1">
      <x:c r="A199" s="55"/>
      <x:c r="B199" s="55"/>
      <x:c r="C199" s="55"/>
      <x:c r="D199" s="56"/>
      <x:c r="E199" s="55"/>
      <x:c r="F199" s="55"/>
      <x:c r="G199" s="55"/>
      <x:c r="H199" s="55"/>
      <x:c r="I199" s="55"/>
      <x:c r="J199" s="55"/>
      <x:c r="K199" s="55"/>
      <x:c r="L199" s="55"/>
      <x:c r="M199" s="56"/>
      <x:c r="N199" s="55"/>
      <x:c r="O199" s="55"/>
      <x:c r="P199" s="56"/>
      <x:c r="Q199" s="55"/>
      <x:c r="R199" s="55"/>
      <x:c r="S199" s="56"/>
      <x:c r="T199" s="55"/>
    </x:row>
    <x:row r="200" ht="28" customHeight="1">
      <x:c r="A200" s="55"/>
      <x:c r="B200" s="55"/>
      <x:c r="C200" s="55"/>
      <x:c r="D200" s="56"/>
      <x:c r="E200" s="55"/>
      <x:c r="F200" s="55"/>
      <x:c r="G200" s="55"/>
      <x:c r="H200" s="55"/>
      <x:c r="I200" s="55"/>
      <x:c r="J200" s="55"/>
      <x:c r="K200" s="55"/>
      <x:c r="L200" s="55"/>
      <x:c r="M200" s="56"/>
      <x:c r="N200" s="55"/>
      <x:c r="O200" s="55"/>
      <x:c r="P200" s="56"/>
      <x:c r="Q200" s="55"/>
      <x:c r="R200" s="55"/>
      <x:c r="S200" s="56"/>
      <x:c r="T200" s="55"/>
    </x:row>
    <x:row r="201" ht="28" customHeight="1">
      <x:c r="A201" s="55"/>
      <x:c r="B201" s="55"/>
      <x:c r="C201" s="55"/>
      <x:c r="D201" s="56"/>
      <x:c r="E201" s="55"/>
      <x:c r="F201" s="55"/>
      <x:c r="G201" s="55"/>
      <x:c r="H201" s="55"/>
      <x:c r="I201" s="55"/>
      <x:c r="J201" s="55"/>
      <x:c r="K201" s="55"/>
      <x:c r="L201" s="55"/>
      <x:c r="M201" s="56"/>
      <x:c r="N201" s="55"/>
      <x:c r="O201" s="55"/>
      <x:c r="P201" s="56"/>
      <x:c r="Q201" s="55"/>
      <x:c r="R201" s="55"/>
      <x:c r="S201" s="56"/>
      <x:c r="T201" s="55"/>
    </x:row>
    <x:row r="202" ht="28" customHeight="1">
      <x:c r="A202" s="55"/>
      <x:c r="B202" s="55"/>
      <x:c r="C202" s="55"/>
      <x:c r="D202" s="56"/>
      <x:c r="E202" s="55"/>
      <x:c r="F202" s="55"/>
      <x:c r="G202" s="55"/>
      <x:c r="H202" s="55"/>
      <x:c r="I202" s="55"/>
      <x:c r="J202" s="55"/>
      <x:c r="K202" s="55"/>
      <x:c r="L202" s="55"/>
      <x:c r="M202" s="56"/>
      <x:c r="N202" s="55"/>
      <x:c r="O202" s="55"/>
      <x:c r="P202" s="56"/>
      <x:c r="Q202" s="55"/>
      <x:c r="R202" s="55"/>
      <x:c r="S202" s="56"/>
      <x:c r="T202" s="55"/>
    </x:row>
    <x:row r="203" ht="28" customHeight="1">
      <x:c r="A203" s="55"/>
      <x:c r="B203" s="55"/>
      <x:c r="C203" s="55"/>
      <x:c r="D203" s="56"/>
      <x:c r="E203" s="55"/>
      <x:c r="F203" s="55"/>
      <x:c r="G203" s="55"/>
      <x:c r="H203" s="55"/>
      <x:c r="I203" s="55"/>
      <x:c r="J203" s="55"/>
      <x:c r="K203" s="55"/>
      <x:c r="L203" s="55"/>
      <x:c r="M203" s="56"/>
      <x:c r="N203" s="55"/>
      <x:c r="O203" s="55"/>
      <x:c r="P203" s="56"/>
      <x:c r="Q203" s="55"/>
      <x:c r="R203" s="55"/>
      <x:c r="S203" s="56"/>
      <x:c r="T203" s="55"/>
    </x:row>
    <x:row r="204" ht="28" customHeight="1">
      <x:c r="A204" s="55"/>
      <x:c r="B204" s="55"/>
      <x:c r="C204" s="55"/>
      <x:c r="D204" s="56"/>
      <x:c r="E204" s="55"/>
      <x:c r="F204" s="55"/>
      <x:c r="G204" s="55"/>
      <x:c r="H204" s="55"/>
      <x:c r="I204" s="55"/>
      <x:c r="J204" s="55"/>
      <x:c r="K204" s="55"/>
      <x:c r="L204" s="55"/>
      <x:c r="M204" s="56"/>
      <x:c r="N204" s="55"/>
      <x:c r="O204" s="55"/>
      <x:c r="P204" s="56"/>
      <x:c r="Q204" s="55"/>
      <x:c r="R204" s="55"/>
      <x:c r="S204" s="56"/>
      <x:c r="T204" s="55"/>
    </x:row>
    <x:row r="205" ht="28" customHeight="1">
      <x:c r="A205" s="55"/>
      <x:c r="B205" s="55"/>
      <x:c r="C205" s="55"/>
      <x:c r="D205" s="56"/>
      <x:c r="E205" s="55"/>
      <x:c r="F205" s="55"/>
      <x:c r="G205" s="55"/>
      <x:c r="H205" s="55"/>
      <x:c r="I205" s="55"/>
      <x:c r="J205" s="55"/>
      <x:c r="K205" s="55"/>
      <x:c r="L205" s="55"/>
      <x:c r="M205" s="56"/>
      <x:c r="N205" s="55"/>
      <x:c r="O205" s="55"/>
      <x:c r="P205" s="56"/>
      <x:c r="Q205" s="55"/>
      <x:c r="R205" s="55"/>
      <x:c r="S205" s="56"/>
      <x:c r="T205" s="55"/>
    </x:row>
    <x:row r="206" ht="28" customHeight="1">
      <x:c r="A206" s="55"/>
      <x:c r="B206" s="55"/>
      <x:c r="C206" s="55"/>
      <x:c r="D206" s="56"/>
      <x:c r="E206" s="55"/>
      <x:c r="F206" s="55"/>
      <x:c r="G206" s="55"/>
      <x:c r="H206" s="55"/>
      <x:c r="I206" s="55"/>
      <x:c r="J206" s="55"/>
      <x:c r="K206" s="55"/>
      <x:c r="L206" s="55"/>
      <x:c r="M206" s="56"/>
      <x:c r="N206" s="55"/>
      <x:c r="O206" s="55"/>
      <x:c r="P206" s="56"/>
      <x:c r="Q206" s="55"/>
      <x:c r="R206" s="55"/>
      <x:c r="S206" s="56"/>
      <x:c r="T206" s="55"/>
    </x:row>
    <x:row r="207" ht="28" customHeight="1">
      <x:c r="A207" s="55"/>
      <x:c r="B207" s="55"/>
      <x:c r="C207" s="55"/>
      <x:c r="D207" s="56"/>
      <x:c r="E207" s="55"/>
      <x:c r="F207" s="55"/>
      <x:c r="G207" s="55"/>
      <x:c r="H207" s="55"/>
      <x:c r="I207" s="55"/>
      <x:c r="J207" s="55"/>
      <x:c r="K207" s="55"/>
      <x:c r="L207" s="55"/>
      <x:c r="M207" s="56"/>
      <x:c r="N207" s="55"/>
      <x:c r="O207" s="55"/>
      <x:c r="P207" s="56"/>
      <x:c r="Q207" s="55"/>
      <x:c r="R207" s="55"/>
      <x:c r="S207" s="56"/>
      <x:c r="T207" s="55"/>
    </x:row>
    <x:row r="208" ht="28" customHeight="1">
      <x:c r="A208" s="55"/>
      <x:c r="B208" s="55"/>
      <x:c r="C208" s="55"/>
      <x:c r="D208" s="56"/>
      <x:c r="E208" s="55"/>
      <x:c r="F208" s="55"/>
      <x:c r="G208" s="55"/>
      <x:c r="H208" s="55"/>
      <x:c r="I208" s="55"/>
      <x:c r="J208" s="55"/>
      <x:c r="K208" s="55"/>
      <x:c r="L208" s="55"/>
      <x:c r="M208" s="56"/>
      <x:c r="N208" s="55"/>
      <x:c r="O208" s="55"/>
      <x:c r="P208" s="56"/>
      <x:c r="Q208" s="55"/>
      <x:c r="R208" s="55"/>
      <x:c r="S208" s="56"/>
      <x:c r="T208" s="55"/>
    </x:row>
    <x:row r="209" ht="28" customHeight="1">
      <x:c r="A209" s="55"/>
      <x:c r="B209" s="55"/>
      <x:c r="C209" s="55"/>
      <x:c r="D209" s="56"/>
      <x:c r="E209" s="55"/>
      <x:c r="F209" s="55"/>
      <x:c r="G209" s="55"/>
      <x:c r="H209" s="55"/>
      <x:c r="I209" s="55"/>
      <x:c r="J209" s="55"/>
      <x:c r="K209" s="55"/>
      <x:c r="L209" s="55"/>
      <x:c r="M209" s="56"/>
      <x:c r="N209" s="55"/>
      <x:c r="O209" s="55"/>
      <x:c r="P209" s="56"/>
      <x:c r="Q209" s="55"/>
      <x:c r="R209" s="55"/>
      <x:c r="S209" s="56"/>
      <x:c r="T209" s="55"/>
    </x:row>
    <x:row r="210" ht="28" customHeight="1">
      <x:c r="A210" s="55"/>
      <x:c r="B210" s="55"/>
      <x:c r="C210" s="55"/>
      <x:c r="D210" s="56"/>
      <x:c r="E210" s="55"/>
      <x:c r="F210" s="55"/>
      <x:c r="G210" s="55"/>
      <x:c r="H210" s="55"/>
      <x:c r="I210" s="55"/>
      <x:c r="J210" s="55"/>
      <x:c r="K210" s="55"/>
      <x:c r="L210" s="55"/>
      <x:c r="M210" s="56"/>
      <x:c r="N210" s="55"/>
      <x:c r="O210" s="55"/>
      <x:c r="P210" s="56"/>
      <x:c r="Q210" s="55"/>
      <x:c r="R210" s="55"/>
      <x:c r="S210" s="56"/>
      <x:c r="T210" s="55"/>
    </x:row>
    <x:row r="211" ht="28" customHeight="1">
      <x:c r="A211" s="55"/>
      <x:c r="B211" s="55"/>
      <x:c r="C211" s="55"/>
      <x:c r="D211" s="56"/>
      <x:c r="E211" s="55"/>
      <x:c r="F211" s="55"/>
      <x:c r="G211" s="55"/>
      <x:c r="H211" s="55"/>
      <x:c r="I211" s="55"/>
      <x:c r="J211" s="55"/>
      <x:c r="K211" s="55"/>
      <x:c r="L211" s="55"/>
      <x:c r="M211" s="56"/>
      <x:c r="N211" s="55"/>
      <x:c r="O211" s="55"/>
      <x:c r="P211" s="56"/>
      <x:c r="Q211" s="55"/>
      <x:c r="R211" s="55"/>
      <x:c r="S211" s="56"/>
      <x:c r="T211" s="55"/>
    </x:row>
    <x:row r="212" ht="28" customHeight="1">
      <x:c r="A212" s="55"/>
      <x:c r="B212" s="55"/>
      <x:c r="C212" s="55"/>
      <x:c r="D212" s="56"/>
      <x:c r="E212" s="55"/>
      <x:c r="F212" s="55"/>
      <x:c r="G212" s="55"/>
      <x:c r="H212" s="55"/>
      <x:c r="I212" s="55"/>
      <x:c r="J212" s="55"/>
      <x:c r="K212" s="55"/>
      <x:c r="L212" s="55"/>
      <x:c r="M212" s="56"/>
      <x:c r="N212" s="55"/>
      <x:c r="O212" s="55"/>
      <x:c r="P212" s="56"/>
      <x:c r="Q212" s="55"/>
      <x:c r="R212" s="55"/>
      <x:c r="S212" s="56"/>
      <x:c r="T212" s="55"/>
    </x:row>
    <x:row r="213" ht="28" customHeight="1">
      <x:c r="A213" s="55"/>
      <x:c r="B213" s="55"/>
      <x:c r="C213" s="55"/>
      <x:c r="D213" s="56"/>
      <x:c r="E213" s="55"/>
      <x:c r="F213" s="55"/>
      <x:c r="G213" s="55"/>
      <x:c r="H213" s="55"/>
      <x:c r="I213" s="55"/>
      <x:c r="J213" s="55"/>
      <x:c r="K213" s="55"/>
      <x:c r="L213" s="55"/>
      <x:c r="M213" s="56"/>
      <x:c r="N213" s="55"/>
      <x:c r="O213" s="55"/>
      <x:c r="P213" s="56"/>
      <x:c r="Q213" s="55"/>
      <x:c r="R213" s="55"/>
      <x:c r="S213" s="56"/>
      <x:c r="T213" s="55"/>
    </x:row>
    <x:row r="214" ht="28" customHeight="1">
      <x:c r="A214" s="55"/>
      <x:c r="B214" s="55"/>
      <x:c r="C214" s="55"/>
      <x:c r="D214" s="56"/>
      <x:c r="E214" s="55"/>
      <x:c r="F214" s="55"/>
      <x:c r="G214" s="55"/>
      <x:c r="H214" s="55"/>
      <x:c r="I214" s="55"/>
      <x:c r="J214" s="55"/>
      <x:c r="K214" s="55"/>
      <x:c r="L214" s="55"/>
      <x:c r="M214" s="56"/>
      <x:c r="N214" s="55"/>
      <x:c r="O214" s="55"/>
      <x:c r="P214" s="56"/>
      <x:c r="Q214" s="55"/>
      <x:c r="R214" s="55"/>
      <x:c r="S214" s="56"/>
      <x:c r="T214" s="55"/>
    </x:row>
    <x:row r="215" ht="28" customHeight="1">
      <x:c r="A215" s="55"/>
      <x:c r="B215" s="55"/>
      <x:c r="C215" s="55"/>
      <x:c r="D215" s="56"/>
      <x:c r="E215" s="55"/>
      <x:c r="F215" s="55"/>
      <x:c r="G215" s="55"/>
      <x:c r="H215" s="55"/>
      <x:c r="I215" s="55"/>
      <x:c r="J215" s="55"/>
      <x:c r="K215" s="55"/>
      <x:c r="L215" s="55"/>
      <x:c r="M215" s="56"/>
      <x:c r="N215" s="55"/>
      <x:c r="O215" s="55"/>
      <x:c r="P215" s="56"/>
      <x:c r="Q215" s="55"/>
      <x:c r="R215" s="55"/>
      <x:c r="S215" s="56"/>
      <x:c r="T215" s="55"/>
    </x:row>
    <x:row r="216" ht="28" customHeight="1">
      <x:c r="A216" s="55"/>
      <x:c r="B216" s="55"/>
      <x:c r="C216" s="55"/>
      <x:c r="D216" s="56"/>
      <x:c r="E216" s="55"/>
      <x:c r="F216" s="55"/>
      <x:c r="G216" s="55"/>
      <x:c r="H216" s="55"/>
      <x:c r="I216" s="55"/>
      <x:c r="J216" s="55"/>
      <x:c r="K216" s="55"/>
      <x:c r="L216" s="55"/>
      <x:c r="M216" s="56"/>
      <x:c r="N216" s="55"/>
      <x:c r="O216" s="55"/>
      <x:c r="P216" s="56"/>
      <x:c r="Q216" s="55"/>
      <x:c r="R216" s="55"/>
      <x:c r="S216" s="56"/>
      <x:c r="T216" s="55"/>
    </x:row>
  </x:sheetData>
  <x:conditionalFormatting sqref="N17:N216">
    <x:cfRule type="expression" dxfId="27" priority="1">
      <x:formula>N17="Closed"</x:formula>
    </x:cfRule>
    <x:cfRule type="expression" dxfId="37" priority="5">
      <x:formula>AND(N17="Closed",OR(NOT(ISNUMBER(P17)),O17=""))</x:formula>
    </x:cfRule>
  </x:conditionalFormatting>
  <x:conditionalFormatting sqref="Q17:Q216">
    <x:cfRule type="expression" dxfId="28" priority="2">
      <x:formula>Q17="NO"</x:formula>
    </x:cfRule>
    <x:cfRule type="expression" dxfId="29" priority="3">
      <x:formula>Q17="YES"</x:formula>
    </x:cfRule>
  </x:conditionalFormatting>
  <x:conditionalFormatting sqref="M17:M216">
    <x:cfRule type="expression" dxfId="36" priority="4">
      <x:formula>AND(ISNUMBER(M17),M17&lt;$B$5,$N17&lt;&gt;"Closed",$G17&lt;&gt;"")</x:formula>
    </x:cfRule>
  </x:conditionalFormatting>
  <x:dataValidations count="6">
    <x:dataValidation type="list" sqref="B4">
      <x:formula1>INDIRECT("'Project Status &amp; EVM'!$A$17:$A$216")</x:formula1>
    </x:dataValidation>
    <x:dataValidation type="list" sqref="H17:H216">
      <x:formula1>"Construction,Engineering,Procurement,Resources,Invoicing,Liability,Other"</x:formula1>
    </x:dataValidation>
    <x:dataValidation type="list" sqref="N17:N216">
      <x:formula1>"Open,In progress,Closed,On hold"</x:formula1>
    </x:dataValidation>
    <x:dataValidation type="list" sqref="Q17:Q216">
      <x:formula1>"YES,NO"</x:formula1>
    </x:dataValidation>
    <x:dataValidation type="list" sqref="A17:A216">
      <x:formula1>INDIRECT("'Project Status &amp; EVM'!$A$17:$A$216")</x:formula1>
    </x:dataValidation>
    <x:dataValidation type="list" sqref="R17:R216">
      <x:formula1>INDIRECT("'MD Decisions'!$C$17:$C$216")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ba25eb05e4299"/>
  </x:tableParts>
</x:worksheet>
</file>